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5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6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2 CNA\"/>
    </mc:Choice>
  </mc:AlternateContent>
  <xr:revisionPtr revIDLastSave="0" documentId="13_ncr:1_{47771E05-81BE-4411-91F2-53407604E338}" xr6:coauthVersionLast="47" xr6:coauthVersionMax="47" xr10:uidLastSave="{00000000-0000-0000-0000-000000000000}"/>
  <bookViews>
    <workbookView xWindow="20385" yWindow="-855" windowWidth="14610" windowHeight="15585" firstSheet="3" activeTab="5" xr2:uid="{4774ADFB-FF2A-4B7A-BDA5-628D9C712F2F}"/>
  </bookViews>
  <sheets>
    <sheet name="Fechas " sheetId="1" state="hidden" r:id="rId1"/>
    <sheet name="230303" sheetId="6" state="hidden" r:id="rId2"/>
    <sheet name="230903" sheetId="5" state="hidden" r:id="rId3"/>
    <sheet name="240203" sheetId="2" r:id="rId4"/>
    <sheet name="240803" sheetId="3" r:id="rId5"/>
    <sheet name="250122" sheetId="7" r:id="rId6"/>
    <sheet name="250607" sheetId="8" r:id="rId7"/>
    <sheet name="Cambios" sheetId="9" r:id="rId8"/>
  </sheets>
  <externalReferences>
    <externalReference r:id="rId9"/>
    <externalReference r:id="rId10"/>
  </externalReferences>
  <definedNames>
    <definedName name="_xlnm._FilterDatabase" localSheetId="0" hidden="1">'Fechas '!$B$2:$E$2</definedName>
    <definedName name="ubiog">'[1]U. Biogeografica'!$E$2:$E$18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3" i="8" l="1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12" i="8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12" i="7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12" i="3"/>
  <c r="AA12" i="2"/>
  <c r="AA14" i="2" l="1"/>
  <c r="AA13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Z35" i="8" l="1"/>
  <c r="Y35" i="8"/>
  <c r="X35" i="8"/>
  <c r="W35" i="8"/>
  <c r="V35" i="8"/>
  <c r="U35" i="8"/>
  <c r="T35" i="8"/>
  <c r="Z34" i="8"/>
  <c r="Y34" i="8"/>
  <c r="X34" i="8"/>
  <c r="W34" i="8"/>
  <c r="V34" i="8"/>
  <c r="U34" i="8"/>
  <c r="T34" i="8"/>
  <c r="Z33" i="8"/>
  <c r="Y33" i="8"/>
  <c r="X33" i="8"/>
  <c r="W33" i="8"/>
  <c r="V33" i="8"/>
  <c r="U33" i="8"/>
  <c r="T33" i="8"/>
  <c r="Z32" i="8"/>
  <c r="Y32" i="8"/>
  <c r="X32" i="8"/>
  <c r="W32" i="8"/>
  <c r="V32" i="8"/>
  <c r="U32" i="8"/>
  <c r="T32" i="8"/>
  <c r="Z31" i="8"/>
  <c r="Y31" i="8"/>
  <c r="X31" i="8"/>
  <c r="W31" i="8"/>
  <c r="V31" i="8"/>
  <c r="U31" i="8"/>
  <c r="T31" i="8"/>
  <c r="Z30" i="8"/>
  <c r="Y30" i="8"/>
  <c r="X30" i="8"/>
  <c r="W30" i="8"/>
  <c r="V30" i="8"/>
  <c r="U30" i="8"/>
  <c r="T30" i="8"/>
  <c r="Z29" i="8"/>
  <c r="Y29" i="8"/>
  <c r="X29" i="8"/>
  <c r="W29" i="8"/>
  <c r="V29" i="8"/>
  <c r="U29" i="8"/>
  <c r="T29" i="8"/>
  <c r="Z28" i="8"/>
  <c r="Y28" i="8"/>
  <c r="X28" i="8"/>
  <c r="W28" i="8"/>
  <c r="V28" i="8"/>
  <c r="U28" i="8"/>
  <c r="T28" i="8"/>
  <c r="Z27" i="8"/>
  <c r="Y27" i="8"/>
  <c r="X27" i="8"/>
  <c r="W27" i="8"/>
  <c r="V27" i="8"/>
  <c r="U27" i="8"/>
  <c r="T27" i="8"/>
  <c r="Z26" i="8"/>
  <c r="Y26" i="8"/>
  <c r="X26" i="8"/>
  <c r="W26" i="8"/>
  <c r="V26" i="8"/>
  <c r="U26" i="8"/>
  <c r="T26" i="8"/>
  <c r="Z25" i="8"/>
  <c r="Y25" i="8"/>
  <c r="X25" i="8"/>
  <c r="W25" i="8"/>
  <c r="V25" i="8"/>
  <c r="U25" i="8"/>
  <c r="T25" i="8"/>
  <c r="Z24" i="8"/>
  <c r="Y24" i="8"/>
  <c r="X24" i="8"/>
  <c r="W24" i="8"/>
  <c r="V24" i="8"/>
  <c r="U24" i="8"/>
  <c r="T24" i="8"/>
  <c r="Z23" i="8"/>
  <c r="Y23" i="8"/>
  <c r="X23" i="8"/>
  <c r="W23" i="8"/>
  <c r="V23" i="8"/>
  <c r="U23" i="8"/>
  <c r="T23" i="8"/>
  <c r="Z22" i="8"/>
  <c r="Y22" i="8"/>
  <c r="X22" i="8"/>
  <c r="W22" i="8"/>
  <c r="V22" i="8"/>
  <c r="U22" i="8"/>
  <c r="T22" i="8"/>
  <c r="Z21" i="8"/>
  <c r="Y21" i="8"/>
  <c r="X21" i="8"/>
  <c r="W21" i="8"/>
  <c r="V21" i="8"/>
  <c r="U21" i="8"/>
  <c r="T21" i="8"/>
  <c r="Z20" i="8"/>
  <c r="Y20" i="8"/>
  <c r="X20" i="8"/>
  <c r="W20" i="8"/>
  <c r="V20" i="8"/>
  <c r="U20" i="8"/>
  <c r="T20" i="8"/>
  <c r="Z19" i="8"/>
  <c r="Y19" i="8"/>
  <c r="X19" i="8"/>
  <c r="W19" i="8"/>
  <c r="V19" i="8"/>
  <c r="U19" i="8"/>
  <c r="T19" i="8"/>
  <c r="AB19" i="8" s="1"/>
  <c r="Z18" i="8"/>
  <c r="Y18" i="8"/>
  <c r="X18" i="8"/>
  <c r="W18" i="8"/>
  <c r="V18" i="8"/>
  <c r="U18" i="8"/>
  <c r="T18" i="8"/>
  <c r="Z17" i="8"/>
  <c r="Y17" i="8"/>
  <c r="X17" i="8"/>
  <c r="W17" i="8"/>
  <c r="V17" i="8"/>
  <c r="U17" i="8"/>
  <c r="T17" i="8"/>
  <c r="Z16" i="8"/>
  <c r="Y16" i="8"/>
  <c r="X16" i="8"/>
  <c r="W16" i="8"/>
  <c r="V16" i="8"/>
  <c r="U16" i="8"/>
  <c r="T16" i="8"/>
  <c r="Z15" i="8"/>
  <c r="Y15" i="8"/>
  <c r="X15" i="8"/>
  <c r="W15" i="8"/>
  <c r="V15" i="8"/>
  <c r="U15" i="8"/>
  <c r="T15" i="8"/>
  <c r="Z14" i="8"/>
  <c r="Y14" i="8"/>
  <c r="X14" i="8"/>
  <c r="W14" i="8"/>
  <c r="V14" i="8"/>
  <c r="U14" i="8"/>
  <c r="T14" i="8"/>
  <c r="Z13" i="8"/>
  <c r="Y13" i="8"/>
  <c r="X13" i="8"/>
  <c r="W13" i="8"/>
  <c r="V13" i="8"/>
  <c r="U13" i="8"/>
  <c r="T13" i="8"/>
  <c r="Z12" i="8"/>
  <c r="Y12" i="8"/>
  <c r="X12" i="8"/>
  <c r="W12" i="8"/>
  <c r="V12" i="8"/>
  <c r="U12" i="8"/>
  <c r="T12" i="8"/>
  <c r="Z35" i="7"/>
  <c r="Y35" i="7"/>
  <c r="X35" i="7"/>
  <c r="W35" i="7"/>
  <c r="V35" i="7"/>
  <c r="U35" i="7"/>
  <c r="T35" i="7"/>
  <c r="Z34" i="7"/>
  <c r="Y34" i="7"/>
  <c r="X34" i="7"/>
  <c r="W34" i="7"/>
  <c r="V34" i="7"/>
  <c r="U34" i="7"/>
  <c r="T34" i="7"/>
  <c r="Z33" i="7"/>
  <c r="Y33" i="7"/>
  <c r="X33" i="7"/>
  <c r="W33" i="7"/>
  <c r="V33" i="7"/>
  <c r="U33" i="7"/>
  <c r="T33" i="7"/>
  <c r="Z32" i="7"/>
  <c r="Y32" i="7"/>
  <c r="X32" i="7"/>
  <c r="W32" i="7"/>
  <c r="V32" i="7"/>
  <c r="U32" i="7"/>
  <c r="T32" i="7"/>
  <c r="Z31" i="7"/>
  <c r="Y31" i="7"/>
  <c r="X31" i="7"/>
  <c r="W31" i="7"/>
  <c r="V31" i="7"/>
  <c r="U31" i="7"/>
  <c r="T31" i="7"/>
  <c r="AB31" i="7" s="1"/>
  <c r="Z30" i="7"/>
  <c r="Y30" i="7"/>
  <c r="X30" i="7"/>
  <c r="W30" i="7"/>
  <c r="V30" i="7"/>
  <c r="U30" i="7"/>
  <c r="T30" i="7"/>
  <c r="Z29" i="7"/>
  <c r="Y29" i="7"/>
  <c r="X29" i="7"/>
  <c r="W29" i="7"/>
  <c r="V29" i="7"/>
  <c r="U29" i="7"/>
  <c r="T29" i="7"/>
  <c r="Z28" i="7"/>
  <c r="Y28" i="7"/>
  <c r="X28" i="7"/>
  <c r="W28" i="7"/>
  <c r="V28" i="7"/>
  <c r="U28" i="7"/>
  <c r="T28" i="7"/>
  <c r="Z27" i="7"/>
  <c r="Y27" i="7"/>
  <c r="X27" i="7"/>
  <c r="W27" i="7"/>
  <c r="V27" i="7"/>
  <c r="U27" i="7"/>
  <c r="T27" i="7"/>
  <c r="Z26" i="7"/>
  <c r="Y26" i="7"/>
  <c r="X26" i="7"/>
  <c r="W26" i="7"/>
  <c r="V26" i="7"/>
  <c r="U26" i="7"/>
  <c r="T26" i="7"/>
  <c r="Z25" i="7"/>
  <c r="Y25" i="7"/>
  <c r="X25" i="7"/>
  <c r="W25" i="7"/>
  <c r="V25" i="7"/>
  <c r="U25" i="7"/>
  <c r="T25" i="7"/>
  <c r="Z24" i="7"/>
  <c r="Y24" i="7"/>
  <c r="X24" i="7"/>
  <c r="W24" i="7"/>
  <c r="V24" i="7"/>
  <c r="U24" i="7"/>
  <c r="T24" i="7"/>
  <c r="AB24" i="7" s="1"/>
  <c r="Z23" i="7"/>
  <c r="Y23" i="7"/>
  <c r="X23" i="7"/>
  <c r="W23" i="7"/>
  <c r="V23" i="7"/>
  <c r="U23" i="7"/>
  <c r="T23" i="7"/>
  <c r="Z22" i="7"/>
  <c r="Y22" i="7"/>
  <c r="X22" i="7"/>
  <c r="W22" i="7"/>
  <c r="V22" i="7"/>
  <c r="U22" i="7"/>
  <c r="T22" i="7"/>
  <c r="Z21" i="7"/>
  <c r="Y21" i="7"/>
  <c r="X21" i="7"/>
  <c r="W21" i="7"/>
  <c r="V21" i="7"/>
  <c r="U21" i="7"/>
  <c r="T21" i="7"/>
  <c r="Z20" i="7"/>
  <c r="Y20" i="7"/>
  <c r="X20" i="7"/>
  <c r="W20" i="7"/>
  <c r="V20" i="7"/>
  <c r="U20" i="7"/>
  <c r="T20" i="7"/>
  <c r="Z19" i="7"/>
  <c r="Y19" i="7"/>
  <c r="X19" i="7"/>
  <c r="W19" i="7"/>
  <c r="V19" i="7"/>
  <c r="U19" i="7"/>
  <c r="T19" i="7"/>
  <c r="AB19" i="7" s="1"/>
  <c r="Z18" i="7"/>
  <c r="Y18" i="7"/>
  <c r="X18" i="7"/>
  <c r="W18" i="7"/>
  <c r="V18" i="7"/>
  <c r="U18" i="7"/>
  <c r="T18" i="7"/>
  <c r="Z17" i="7"/>
  <c r="Y17" i="7"/>
  <c r="X17" i="7"/>
  <c r="W17" i="7"/>
  <c r="V17" i="7"/>
  <c r="U17" i="7"/>
  <c r="T17" i="7"/>
  <c r="Z16" i="7"/>
  <c r="Y16" i="7"/>
  <c r="X16" i="7"/>
  <c r="W16" i="7"/>
  <c r="V16" i="7"/>
  <c r="U16" i="7"/>
  <c r="T16" i="7"/>
  <c r="Z15" i="7"/>
  <c r="Y15" i="7"/>
  <c r="X15" i="7"/>
  <c r="W15" i="7"/>
  <c r="V15" i="7"/>
  <c r="U15" i="7"/>
  <c r="T15" i="7"/>
  <c r="Z14" i="7"/>
  <c r="Y14" i="7"/>
  <c r="X14" i="7"/>
  <c r="W14" i="7"/>
  <c r="V14" i="7"/>
  <c r="U14" i="7"/>
  <c r="T14" i="7"/>
  <c r="Z13" i="7"/>
  <c r="Y13" i="7"/>
  <c r="X13" i="7"/>
  <c r="W13" i="7"/>
  <c r="V13" i="7"/>
  <c r="U13" i="7"/>
  <c r="T13" i="7"/>
  <c r="Z12" i="7"/>
  <c r="Y12" i="7"/>
  <c r="X12" i="7"/>
  <c r="W12" i="7"/>
  <c r="V12" i="7"/>
  <c r="U12" i="7"/>
  <c r="T12" i="7"/>
  <c r="AB12" i="7" s="1"/>
  <c r="AA35" i="6"/>
  <c r="Z35" i="6"/>
  <c r="Y35" i="6"/>
  <c r="X35" i="6"/>
  <c r="W35" i="6"/>
  <c r="V35" i="6"/>
  <c r="U35" i="6"/>
  <c r="T35" i="6"/>
  <c r="AA34" i="6"/>
  <c r="Z34" i="6"/>
  <c r="Y34" i="6"/>
  <c r="X34" i="6"/>
  <c r="W34" i="6"/>
  <c r="V34" i="6"/>
  <c r="U34" i="6"/>
  <c r="T34" i="6"/>
  <c r="AA33" i="6"/>
  <c r="Z33" i="6"/>
  <c r="Y33" i="6"/>
  <c r="X33" i="6"/>
  <c r="W33" i="6"/>
  <c r="V33" i="6"/>
  <c r="U33" i="6"/>
  <c r="T33" i="6"/>
  <c r="AA32" i="6"/>
  <c r="Z32" i="6"/>
  <c r="Y32" i="6"/>
  <c r="X32" i="6"/>
  <c r="W32" i="6"/>
  <c r="V32" i="6"/>
  <c r="U32" i="6"/>
  <c r="T32" i="6"/>
  <c r="AA31" i="6"/>
  <c r="Z31" i="6"/>
  <c r="Y31" i="6"/>
  <c r="X31" i="6"/>
  <c r="W31" i="6"/>
  <c r="V31" i="6"/>
  <c r="U31" i="6"/>
  <c r="T31" i="6"/>
  <c r="AA30" i="6"/>
  <c r="Z30" i="6"/>
  <c r="Y30" i="6"/>
  <c r="X30" i="6"/>
  <c r="W30" i="6"/>
  <c r="V30" i="6"/>
  <c r="U30" i="6"/>
  <c r="T30" i="6"/>
  <c r="AA29" i="6"/>
  <c r="Z29" i="6"/>
  <c r="Y29" i="6"/>
  <c r="X29" i="6"/>
  <c r="W29" i="6"/>
  <c r="V29" i="6"/>
  <c r="U29" i="6"/>
  <c r="T29" i="6"/>
  <c r="AA28" i="6"/>
  <c r="Z28" i="6"/>
  <c r="Y28" i="6"/>
  <c r="X28" i="6"/>
  <c r="W28" i="6"/>
  <c r="V28" i="6"/>
  <c r="U28" i="6"/>
  <c r="T28" i="6"/>
  <c r="AA27" i="6"/>
  <c r="Z27" i="6"/>
  <c r="Y27" i="6"/>
  <c r="X27" i="6"/>
  <c r="W27" i="6"/>
  <c r="V27" i="6"/>
  <c r="U27" i="6"/>
  <c r="T27" i="6"/>
  <c r="AA26" i="6"/>
  <c r="Z26" i="6"/>
  <c r="Y26" i="6"/>
  <c r="X26" i="6"/>
  <c r="W26" i="6"/>
  <c r="V26" i="6"/>
  <c r="U26" i="6"/>
  <c r="T26" i="6"/>
  <c r="AA25" i="6"/>
  <c r="Z25" i="6"/>
  <c r="Y25" i="6"/>
  <c r="X25" i="6"/>
  <c r="W25" i="6"/>
  <c r="V25" i="6"/>
  <c r="U25" i="6"/>
  <c r="T25" i="6"/>
  <c r="AA24" i="6"/>
  <c r="Z24" i="6"/>
  <c r="Y24" i="6"/>
  <c r="X24" i="6"/>
  <c r="W24" i="6"/>
  <c r="V24" i="6"/>
  <c r="U24" i="6"/>
  <c r="T24" i="6"/>
  <c r="AA23" i="6"/>
  <c r="Z23" i="6"/>
  <c r="Y23" i="6"/>
  <c r="X23" i="6"/>
  <c r="W23" i="6"/>
  <c r="V23" i="6"/>
  <c r="U23" i="6"/>
  <c r="T23" i="6"/>
  <c r="AA22" i="6"/>
  <c r="Z22" i="6"/>
  <c r="Y22" i="6"/>
  <c r="X22" i="6"/>
  <c r="W22" i="6"/>
  <c r="V22" i="6"/>
  <c r="U22" i="6"/>
  <c r="T22" i="6"/>
  <c r="AA21" i="6"/>
  <c r="Z21" i="6"/>
  <c r="Y21" i="6"/>
  <c r="X21" i="6"/>
  <c r="W21" i="6"/>
  <c r="V21" i="6"/>
  <c r="U21" i="6"/>
  <c r="T21" i="6"/>
  <c r="AA20" i="6"/>
  <c r="Z20" i="6"/>
  <c r="Y20" i="6"/>
  <c r="X20" i="6"/>
  <c r="W20" i="6"/>
  <c r="V20" i="6"/>
  <c r="U20" i="6"/>
  <c r="T20" i="6"/>
  <c r="AA19" i="6"/>
  <c r="Z19" i="6"/>
  <c r="Y19" i="6"/>
  <c r="X19" i="6"/>
  <c r="W19" i="6"/>
  <c r="V19" i="6"/>
  <c r="U19" i="6"/>
  <c r="T19" i="6"/>
  <c r="AA18" i="6"/>
  <c r="Z18" i="6"/>
  <c r="Y18" i="6"/>
  <c r="X18" i="6"/>
  <c r="W18" i="6"/>
  <c r="V18" i="6"/>
  <c r="U18" i="6"/>
  <c r="T18" i="6"/>
  <c r="AA17" i="6"/>
  <c r="Z17" i="6"/>
  <c r="Y17" i="6"/>
  <c r="X17" i="6"/>
  <c r="W17" i="6"/>
  <c r="V17" i="6"/>
  <c r="U17" i="6"/>
  <c r="T17" i="6"/>
  <c r="AA16" i="6"/>
  <c r="Z16" i="6"/>
  <c r="Y16" i="6"/>
  <c r="X16" i="6"/>
  <c r="W16" i="6"/>
  <c r="V16" i="6"/>
  <c r="U16" i="6"/>
  <c r="T16" i="6"/>
  <c r="AA15" i="6"/>
  <c r="Z15" i="6"/>
  <c r="Y15" i="6"/>
  <c r="X15" i="6"/>
  <c r="W15" i="6"/>
  <c r="V15" i="6"/>
  <c r="U15" i="6"/>
  <c r="T15" i="6"/>
  <c r="AA14" i="6"/>
  <c r="Z14" i="6"/>
  <c r="Y14" i="6"/>
  <c r="X14" i="6"/>
  <c r="W14" i="6"/>
  <c r="V14" i="6"/>
  <c r="U14" i="6"/>
  <c r="T14" i="6"/>
  <c r="AA13" i="6"/>
  <c r="Z13" i="6"/>
  <c r="Y13" i="6"/>
  <c r="X13" i="6"/>
  <c r="W13" i="6"/>
  <c r="V13" i="6"/>
  <c r="U13" i="6"/>
  <c r="T13" i="6"/>
  <c r="AA12" i="6"/>
  <c r="Z12" i="6"/>
  <c r="Y12" i="6"/>
  <c r="X12" i="6"/>
  <c r="W12" i="6"/>
  <c r="V12" i="6"/>
  <c r="U12" i="6"/>
  <c r="T12" i="6"/>
  <c r="AA35" i="5"/>
  <c r="Z35" i="5"/>
  <c r="Y35" i="5"/>
  <c r="X35" i="5"/>
  <c r="W35" i="5"/>
  <c r="V35" i="5"/>
  <c r="U35" i="5"/>
  <c r="T35" i="5"/>
  <c r="AA34" i="5"/>
  <c r="Z34" i="5"/>
  <c r="Y34" i="5"/>
  <c r="X34" i="5"/>
  <c r="W34" i="5"/>
  <c r="V34" i="5"/>
  <c r="U34" i="5"/>
  <c r="T34" i="5"/>
  <c r="AA33" i="5"/>
  <c r="Z33" i="5"/>
  <c r="Y33" i="5"/>
  <c r="X33" i="5"/>
  <c r="W33" i="5"/>
  <c r="V33" i="5"/>
  <c r="U33" i="5"/>
  <c r="T33" i="5"/>
  <c r="AA32" i="5"/>
  <c r="Z32" i="5"/>
  <c r="Y32" i="5"/>
  <c r="X32" i="5"/>
  <c r="W32" i="5"/>
  <c r="V32" i="5"/>
  <c r="U32" i="5"/>
  <c r="T32" i="5"/>
  <c r="AA31" i="5"/>
  <c r="Z31" i="5"/>
  <c r="Y31" i="5"/>
  <c r="X31" i="5"/>
  <c r="W31" i="5"/>
  <c r="V31" i="5"/>
  <c r="U31" i="5"/>
  <c r="T31" i="5"/>
  <c r="AA30" i="5"/>
  <c r="Z30" i="5"/>
  <c r="Y30" i="5"/>
  <c r="X30" i="5"/>
  <c r="W30" i="5"/>
  <c r="V30" i="5"/>
  <c r="U30" i="5"/>
  <c r="T30" i="5"/>
  <c r="AA29" i="5"/>
  <c r="Z29" i="5"/>
  <c r="Y29" i="5"/>
  <c r="X29" i="5"/>
  <c r="W29" i="5"/>
  <c r="V29" i="5"/>
  <c r="U29" i="5"/>
  <c r="T29" i="5"/>
  <c r="AA28" i="5"/>
  <c r="Z28" i="5"/>
  <c r="Y28" i="5"/>
  <c r="X28" i="5"/>
  <c r="W28" i="5"/>
  <c r="V28" i="5"/>
  <c r="U28" i="5"/>
  <c r="T28" i="5"/>
  <c r="AA27" i="5"/>
  <c r="Z27" i="5"/>
  <c r="Y27" i="5"/>
  <c r="X27" i="5"/>
  <c r="W27" i="5"/>
  <c r="V27" i="5"/>
  <c r="U27" i="5"/>
  <c r="T27" i="5"/>
  <c r="AA26" i="5"/>
  <c r="Z26" i="5"/>
  <c r="Y26" i="5"/>
  <c r="X26" i="5"/>
  <c r="W26" i="5"/>
  <c r="V26" i="5"/>
  <c r="U26" i="5"/>
  <c r="T26" i="5"/>
  <c r="AA25" i="5"/>
  <c r="Z25" i="5"/>
  <c r="Y25" i="5"/>
  <c r="X25" i="5"/>
  <c r="W25" i="5"/>
  <c r="V25" i="5"/>
  <c r="U25" i="5"/>
  <c r="T25" i="5"/>
  <c r="AA24" i="5"/>
  <c r="Z24" i="5"/>
  <c r="Y24" i="5"/>
  <c r="X24" i="5"/>
  <c r="W24" i="5"/>
  <c r="V24" i="5"/>
  <c r="U24" i="5"/>
  <c r="T24" i="5"/>
  <c r="AA23" i="5"/>
  <c r="Z23" i="5"/>
  <c r="Y23" i="5"/>
  <c r="X23" i="5"/>
  <c r="W23" i="5"/>
  <c r="V23" i="5"/>
  <c r="U23" i="5"/>
  <c r="T23" i="5"/>
  <c r="AA22" i="5"/>
  <c r="Z22" i="5"/>
  <c r="Y22" i="5"/>
  <c r="X22" i="5"/>
  <c r="W22" i="5"/>
  <c r="V22" i="5"/>
  <c r="U22" i="5"/>
  <c r="T22" i="5"/>
  <c r="AA21" i="5"/>
  <c r="Z21" i="5"/>
  <c r="Y21" i="5"/>
  <c r="X21" i="5"/>
  <c r="W21" i="5"/>
  <c r="V21" i="5"/>
  <c r="U21" i="5"/>
  <c r="T21" i="5"/>
  <c r="AA20" i="5"/>
  <c r="Z20" i="5"/>
  <c r="Y20" i="5"/>
  <c r="X20" i="5"/>
  <c r="W20" i="5"/>
  <c r="V20" i="5"/>
  <c r="U20" i="5"/>
  <c r="T20" i="5"/>
  <c r="AA19" i="5"/>
  <c r="Z19" i="5"/>
  <c r="Y19" i="5"/>
  <c r="X19" i="5"/>
  <c r="W19" i="5"/>
  <c r="V19" i="5"/>
  <c r="U19" i="5"/>
  <c r="T19" i="5"/>
  <c r="AA18" i="5"/>
  <c r="Z18" i="5"/>
  <c r="Y18" i="5"/>
  <c r="X18" i="5"/>
  <c r="W18" i="5"/>
  <c r="V18" i="5"/>
  <c r="U18" i="5"/>
  <c r="T18" i="5"/>
  <c r="AA17" i="5"/>
  <c r="Z17" i="5"/>
  <c r="Y17" i="5"/>
  <c r="X17" i="5"/>
  <c r="W17" i="5"/>
  <c r="V17" i="5"/>
  <c r="U17" i="5"/>
  <c r="T17" i="5"/>
  <c r="AA16" i="5"/>
  <c r="Z16" i="5"/>
  <c r="Y16" i="5"/>
  <c r="X16" i="5"/>
  <c r="W16" i="5"/>
  <c r="V16" i="5"/>
  <c r="U16" i="5"/>
  <c r="T16" i="5"/>
  <c r="AA15" i="5"/>
  <c r="Z15" i="5"/>
  <c r="Y15" i="5"/>
  <c r="X15" i="5"/>
  <c r="W15" i="5"/>
  <c r="V15" i="5"/>
  <c r="U15" i="5"/>
  <c r="T15" i="5"/>
  <c r="AA14" i="5"/>
  <c r="Z14" i="5"/>
  <c r="Y14" i="5"/>
  <c r="X14" i="5"/>
  <c r="W14" i="5"/>
  <c r="V14" i="5"/>
  <c r="U14" i="5"/>
  <c r="T14" i="5"/>
  <c r="AA13" i="5"/>
  <c r="Z13" i="5"/>
  <c r="Y13" i="5"/>
  <c r="X13" i="5"/>
  <c r="W13" i="5"/>
  <c r="V13" i="5"/>
  <c r="U13" i="5"/>
  <c r="T13" i="5"/>
  <c r="AA12" i="5"/>
  <c r="Z12" i="5"/>
  <c r="Y12" i="5"/>
  <c r="X12" i="5"/>
  <c r="W12" i="5"/>
  <c r="V12" i="5"/>
  <c r="U12" i="5"/>
  <c r="T12" i="5"/>
  <c r="Z35" i="3"/>
  <c r="Y35" i="3"/>
  <c r="X35" i="3"/>
  <c r="W35" i="3"/>
  <c r="V35" i="3"/>
  <c r="U35" i="3"/>
  <c r="T35" i="3"/>
  <c r="Z34" i="3"/>
  <c r="Y34" i="3"/>
  <c r="X34" i="3"/>
  <c r="W34" i="3"/>
  <c r="V34" i="3"/>
  <c r="U34" i="3"/>
  <c r="T34" i="3"/>
  <c r="Z33" i="3"/>
  <c r="Y33" i="3"/>
  <c r="X33" i="3"/>
  <c r="W33" i="3"/>
  <c r="V33" i="3"/>
  <c r="U33" i="3"/>
  <c r="T33" i="3"/>
  <c r="Z32" i="3"/>
  <c r="Y32" i="3"/>
  <c r="X32" i="3"/>
  <c r="W32" i="3"/>
  <c r="V32" i="3"/>
  <c r="U32" i="3"/>
  <c r="T32" i="3"/>
  <c r="Z31" i="3"/>
  <c r="Y31" i="3"/>
  <c r="X31" i="3"/>
  <c r="W31" i="3"/>
  <c r="V31" i="3"/>
  <c r="U31" i="3"/>
  <c r="T31" i="3"/>
  <c r="Z30" i="3"/>
  <c r="Y30" i="3"/>
  <c r="X30" i="3"/>
  <c r="W30" i="3"/>
  <c r="V30" i="3"/>
  <c r="U30" i="3"/>
  <c r="T30" i="3"/>
  <c r="Z29" i="3"/>
  <c r="Y29" i="3"/>
  <c r="X29" i="3"/>
  <c r="W29" i="3"/>
  <c r="V29" i="3"/>
  <c r="U29" i="3"/>
  <c r="T29" i="3"/>
  <c r="Z28" i="3"/>
  <c r="Y28" i="3"/>
  <c r="X28" i="3"/>
  <c r="W28" i="3"/>
  <c r="V28" i="3"/>
  <c r="U28" i="3"/>
  <c r="T28" i="3"/>
  <c r="AB28" i="3" s="1"/>
  <c r="Z27" i="3"/>
  <c r="Y27" i="3"/>
  <c r="X27" i="3"/>
  <c r="W27" i="3"/>
  <c r="V27" i="3"/>
  <c r="U27" i="3"/>
  <c r="T27" i="3"/>
  <c r="Z26" i="3"/>
  <c r="Y26" i="3"/>
  <c r="X26" i="3"/>
  <c r="W26" i="3"/>
  <c r="V26" i="3"/>
  <c r="U26" i="3"/>
  <c r="T26" i="3"/>
  <c r="Z25" i="3"/>
  <c r="Y25" i="3"/>
  <c r="X25" i="3"/>
  <c r="W25" i="3"/>
  <c r="V25" i="3"/>
  <c r="U25" i="3"/>
  <c r="T25" i="3"/>
  <c r="Z24" i="3"/>
  <c r="Y24" i="3"/>
  <c r="X24" i="3"/>
  <c r="W24" i="3"/>
  <c r="V24" i="3"/>
  <c r="U24" i="3"/>
  <c r="T24" i="3"/>
  <c r="Z23" i="3"/>
  <c r="Y23" i="3"/>
  <c r="X23" i="3"/>
  <c r="W23" i="3"/>
  <c r="V23" i="3"/>
  <c r="U23" i="3"/>
  <c r="T23" i="3"/>
  <c r="Z22" i="3"/>
  <c r="Y22" i="3"/>
  <c r="X22" i="3"/>
  <c r="W22" i="3"/>
  <c r="V22" i="3"/>
  <c r="U22" i="3"/>
  <c r="T22" i="3"/>
  <c r="Z21" i="3"/>
  <c r="Y21" i="3"/>
  <c r="X21" i="3"/>
  <c r="W21" i="3"/>
  <c r="V21" i="3"/>
  <c r="U21" i="3"/>
  <c r="T21" i="3"/>
  <c r="Z20" i="3"/>
  <c r="Y20" i="3"/>
  <c r="X20" i="3"/>
  <c r="W20" i="3"/>
  <c r="V20" i="3"/>
  <c r="U20" i="3"/>
  <c r="T20" i="3"/>
  <c r="Z19" i="3"/>
  <c r="Y19" i="3"/>
  <c r="X19" i="3"/>
  <c r="W19" i="3"/>
  <c r="V19" i="3"/>
  <c r="U19" i="3"/>
  <c r="T19" i="3"/>
  <c r="Z18" i="3"/>
  <c r="Y18" i="3"/>
  <c r="X18" i="3"/>
  <c r="W18" i="3"/>
  <c r="V18" i="3"/>
  <c r="U18" i="3"/>
  <c r="T18" i="3"/>
  <c r="Z17" i="3"/>
  <c r="Y17" i="3"/>
  <c r="X17" i="3"/>
  <c r="W17" i="3"/>
  <c r="V17" i="3"/>
  <c r="U17" i="3"/>
  <c r="T17" i="3"/>
  <c r="Z16" i="3"/>
  <c r="Y16" i="3"/>
  <c r="X16" i="3"/>
  <c r="W16" i="3"/>
  <c r="V16" i="3"/>
  <c r="U16" i="3"/>
  <c r="T16" i="3"/>
  <c r="AB16" i="3" s="1"/>
  <c r="Z15" i="3"/>
  <c r="Y15" i="3"/>
  <c r="X15" i="3"/>
  <c r="W15" i="3"/>
  <c r="V15" i="3"/>
  <c r="U15" i="3"/>
  <c r="T15" i="3"/>
  <c r="Z14" i="3"/>
  <c r="Y14" i="3"/>
  <c r="X14" i="3"/>
  <c r="W14" i="3"/>
  <c r="V14" i="3"/>
  <c r="U14" i="3"/>
  <c r="T14" i="3"/>
  <c r="Z13" i="3"/>
  <c r="Y13" i="3"/>
  <c r="X13" i="3"/>
  <c r="W13" i="3"/>
  <c r="V13" i="3"/>
  <c r="U13" i="3"/>
  <c r="T13" i="3"/>
  <c r="Z12" i="3"/>
  <c r="Y12" i="3"/>
  <c r="X12" i="3"/>
  <c r="W12" i="3"/>
  <c r="V12" i="3"/>
  <c r="U12" i="3"/>
  <c r="T12" i="3"/>
  <c r="AB16" i="7" l="1"/>
  <c r="AB23" i="3"/>
  <c r="AB31" i="3"/>
  <c r="AB35" i="3"/>
  <c r="AB24" i="8"/>
  <c r="AB31" i="8"/>
  <c r="AB16" i="8"/>
  <c r="AB28" i="8"/>
  <c r="AB30" i="8"/>
  <c r="AB23" i="8"/>
  <c r="AB35" i="8"/>
  <c r="AB18" i="8"/>
  <c r="AB20" i="8"/>
  <c r="AB32" i="8"/>
  <c r="AB15" i="8"/>
  <c r="AB27" i="8"/>
  <c r="AB34" i="8"/>
  <c r="AB17" i="8"/>
  <c r="AB29" i="8"/>
  <c r="AB22" i="8"/>
  <c r="AB21" i="8"/>
  <c r="AB33" i="8"/>
  <c r="AB14" i="8"/>
  <c r="AB26" i="8"/>
  <c r="AB13" i="8"/>
  <c r="AB25" i="8"/>
  <c r="AB28" i="7"/>
  <c r="AB23" i="7"/>
  <c r="AB35" i="7"/>
  <c r="AB18" i="7"/>
  <c r="AB30" i="7"/>
  <c r="AB22" i="7"/>
  <c r="AB34" i="7"/>
  <c r="AB20" i="7"/>
  <c r="AB32" i="7"/>
  <c r="AB15" i="7"/>
  <c r="AB27" i="7"/>
  <c r="AB29" i="7"/>
  <c r="AB21" i="7"/>
  <c r="AB33" i="7"/>
  <c r="AB26" i="7"/>
  <c r="AB13" i="7"/>
  <c r="AB25" i="7"/>
  <c r="AB17" i="7"/>
  <c r="AB14" i="7"/>
  <c r="AB27" i="3"/>
  <c r="AB19" i="3"/>
  <c r="AB21" i="3"/>
  <c r="AB32" i="3"/>
  <c r="AB15" i="3"/>
  <c r="AB20" i="3"/>
  <c r="AB34" i="3"/>
  <c r="AB14" i="3"/>
  <c r="AB26" i="3"/>
  <c r="AB22" i="3"/>
  <c r="AB29" i="3"/>
  <c r="AB12" i="3"/>
  <c r="AB18" i="3"/>
  <c r="AB25" i="3"/>
  <c r="AB13" i="3"/>
  <c r="AB33" i="3"/>
  <c r="AB17" i="3"/>
  <c r="AB24" i="3"/>
  <c r="AB30" i="3"/>
  <c r="AB12" i="8"/>
  <c r="Z35" i="2"/>
  <c r="Y35" i="2"/>
  <c r="X35" i="2"/>
  <c r="W35" i="2"/>
  <c r="V35" i="2"/>
  <c r="U35" i="2"/>
  <c r="T35" i="2"/>
  <c r="Z34" i="2"/>
  <c r="Y34" i="2"/>
  <c r="X34" i="2"/>
  <c r="W34" i="2"/>
  <c r="V34" i="2"/>
  <c r="U34" i="2"/>
  <c r="T34" i="2"/>
  <c r="Z33" i="2"/>
  <c r="Y33" i="2"/>
  <c r="X33" i="2"/>
  <c r="W33" i="2"/>
  <c r="V33" i="2"/>
  <c r="U33" i="2"/>
  <c r="T33" i="2"/>
  <c r="Z32" i="2"/>
  <c r="Y32" i="2"/>
  <c r="X32" i="2"/>
  <c r="W32" i="2"/>
  <c r="V32" i="2"/>
  <c r="U32" i="2"/>
  <c r="T32" i="2"/>
  <c r="Z31" i="2"/>
  <c r="Y31" i="2"/>
  <c r="X31" i="2"/>
  <c r="W31" i="2"/>
  <c r="V31" i="2"/>
  <c r="U31" i="2"/>
  <c r="T31" i="2"/>
  <c r="Z30" i="2"/>
  <c r="Y30" i="2"/>
  <c r="X30" i="2"/>
  <c r="W30" i="2"/>
  <c r="V30" i="2"/>
  <c r="U30" i="2"/>
  <c r="T30" i="2"/>
  <c r="Z29" i="2"/>
  <c r="Y29" i="2"/>
  <c r="X29" i="2"/>
  <c r="W29" i="2"/>
  <c r="V29" i="2"/>
  <c r="U29" i="2"/>
  <c r="T29" i="2"/>
  <c r="Z28" i="2"/>
  <c r="Y28" i="2"/>
  <c r="X28" i="2"/>
  <c r="W28" i="2"/>
  <c r="V28" i="2"/>
  <c r="U28" i="2"/>
  <c r="T28" i="2"/>
  <c r="Z27" i="2"/>
  <c r="Y27" i="2"/>
  <c r="X27" i="2"/>
  <c r="W27" i="2"/>
  <c r="V27" i="2"/>
  <c r="U27" i="2"/>
  <c r="T27" i="2"/>
  <c r="Z26" i="2"/>
  <c r="Y26" i="2"/>
  <c r="X26" i="2"/>
  <c r="W26" i="2"/>
  <c r="V26" i="2"/>
  <c r="U26" i="2"/>
  <c r="T26" i="2"/>
  <c r="Z25" i="2"/>
  <c r="Y25" i="2"/>
  <c r="X25" i="2"/>
  <c r="W25" i="2"/>
  <c r="V25" i="2"/>
  <c r="U25" i="2"/>
  <c r="T25" i="2"/>
  <c r="Z24" i="2"/>
  <c r="Y24" i="2"/>
  <c r="X24" i="2"/>
  <c r="W24" i="2"/>
  <c r="V24" i="2"/>
  <c r="U24" i="2"/>
  <c r="T24" i="2"/>
  <c r="Z23" i="2"/>
  <c r="Y23" i="2"/>
  <c r="X23" i="2"/>
  <c r="W23" i="2"/>
  <c r="V23" i="2"/>
  <c r="U23" i="2"/>
  <c r="T23" i="2"/>
  <c r="AB23" i="2" s="1"/>
  <c r="Z22" i="2"/>
  <c r="Y22" i="2"/>
  <c r="X22" i="2"/>
  <c r="W22" i="2"/>
  <c r="V22" i="2"/>
  <c r="U22" i="2"/>
  <c r="T22" i="2"/>
  <c r="Z21" i="2"/>
  <c r="Y21" i="2"/>
  <c r="X21" i="2"/>
  <c r="W21" i="2"/>
  <c r="V21" i="2"/>
  <c r="U21" i="2"/>
  <c r="T21" i="2"/>
  <c r="Z20" i="2"/>
  <c r="Y20" i="2"/>
  <c r="X20" i="2"/>
  <c r="W20" i="2"/>
  <c r="V20" i="2"/>
  <c r="U20" i="2"/>
  <c r="T20" i="2"/>
  <c r="Z19" i="2"/>
  <c r="Y19" i="2"/>
  <c r="X19" i="2"/>
  <c r="W19" i="2"/>
  <c r="V19" i="2"/>
  <c r="U19" i="2"/>
  <c r="T19" i="2"/>
  <c r="Z18" i="2"/>
  <c r="Y18" i="2"/>
  <c r="X18" i="2"/>
  <c r="W18" i="2"/>
  <c r="V18" i="2"/>
  <c r="U18" i="2"/>
  <c r="T18" i="2"/>
  <c r="Z17" i="2"/>
  <c r="Y17" i="2"/>
  <c r="X17" i="2"/>
  <c r="W17" i="2"/>
  <c r="V17" i="2"/>
  <c r="U17" i="2"/>
  <c r="T17" i="2"/>
  <c r="Z16" i="2"/>
  <c r="Y16" i="2"/>
  <c r="X16" i="2"/>
  <c r="W16" i="2"/>
  <c r="V16" i="2"/>
  <c r="U16" i="2"/>
  <c r="T16" i="2"/>
  <c r="Z15" i="2"/>
  <c r="Y15" i="2"/>
  <c r="X15" i="2"/>
  <c r="W15" i="2"/>
  <c r="V15" i="2"/>
  <c r="U15" i="2"/>
  <c r="T15" i="2"/>
  <c r="Z14" i="2"/>
  <c r="Y14" i="2"/>
  <c r="X14" i="2"/>
  <c r="W14" i="2"/>
  <c r="V14" i="2"/>
  <c r="U14" i="2"/>
  <c r="T14" i="2"/>
  <c r="Z13" i="2"/>
  <c r="Y13" i="2"/>
  <c r="X13" i="2"/>
  <c r="W13" i="2"/>
  <c r="V13" i="2"/>
  <c r="U13" i="2"/>
  <c r="T13" i="2"/>
  <c r="Z12" i="2"/>
  <c r="Y12" i="2"/>
  <c r="X12" i="2"/>
  <c r="W12" i="2"/>
  <c r="V12" i="2"/>
  <c r="U12" i="2"/>
  <c r="T12" i="2"/>
  <c r="AB33" i="2" l="1"/>
  <c r="AB21" i="2"/>
  <c r="AB16" i="2"/>
  <c r="AB28" i="2"/>
  <c r="AB31" i="2"/>
  <c r="AB26" i="2"/>
  <c r="AB19" i="2"/>
  <c r="AB14" i="2"/>
  <c r="AB18" i="2"/>
  <c r="AB35" i="2"/>
  <c r="AB30" i="2"/>
  <c r="AB15" i="2"/>
  <c r="AB24" i="2"/>
  <c r="AB13" i="2"/>
  <c r="AB25" i="2"/>
  <c r="AB27" i="2"/>
  <c r="AB22" i="2"/>
  <c r="AB34" i="2"/>
  <c r="AB20" i="2"/>
  <c r="AB32" i="2"/>
  <c r="AB17" i="2"/>
  <c r="AB29" i="2"/>
  <c r="AB12" i="2"/>
</calcChain>
</file>

<file path=xl/sharedStrings.xml><?xml version="1.0" encoding="utf-8"?>
<sst xmlns="http://schemas.openxmlformats.org/spreadsheetml/2006/main" count="531" uniqueCount="81">
  <si>
    <t>FECHA INICIO</t>
  </si>
  <si>
    <t>FECHA FINAL</t>
  </si>
  <si>
    <t xml:space="preserve">ESTACION </t>
  </si>
  <si>
    <t>SERIAL DAVIS</t>
  </si>
  <si>
    <t>CA2</t>
  </si>
  <si>
    <t>BF230419006</t>
  </si>
  <si>
    <t>K2 INGENIERIA S.A.S</t>
  </si>
  <si>
    <t>Versión 02
18/08/2022
FOA802-13</t>
  </si>
  <si>
    <t>FORMATO DE COMPROBACION DE ESTACIÓN METEOROLÓGICA</t>
  </si>
  <si>
    <t>Téc. Metrólogo:</t>
  </si>
  <si>
    <t>Estación Meteorológica</t>
  </si>
  <si>
    <t>Marca</t>
  </si>
  <si>
    <t>Modelo</t>
  </si>
  <si>
    <t>Serie / 
Cod. Inventario</t>
  </si>
  <si>
    <t>Téc. Responsable:</t>
  </si>
  <si>
    <t>Equipo Patrón</t>
  </si>
  <si>
    <t>Supervisor:</t>
  </si>
  <si>
    <t>Equipo en comprobación</t>
  </si>
  <si>
    <t>Fecha</t>
  </si>
  <si>
    <t>Hora</t>
  </si>
  <si>
    <t>ESTACIÓN PATRÓN</t>
  </si>
  <si>
    <t>ESTACIÓN INTERCOMPARADA</t>
  </si>
  <si>
    <t>%Error Max. Asociado</t>
  </si>
  <si>
    <t>Cumplimiento</t>
  </si>
  <si>
    <t>Temp. Out</t>
  </si>
  <si>
    <t>H. Out</t>
  </si>
  <si>
    <t>P. Bar</t>
  </si>
  <si>
    <t>Dir.
Viento</t>
  </si>
  <si>
    <t>V. Viento</t>
  </si>
  <si>
    <t>Rad
Solar</t>
  </si>
  <si>
    <t>Uv
Index</t>
  </si>
  <si>
    <t>Precipitación</t>
  </si>
  <si>
    <t>Temp. Out R</t>
  </si>
  <si>
    <t>Uv.
Index</t>
  </si>
  <si>
    <t>Temp.    
Out 
&lt; 0.5°C</t>
  </si>
  <si>
    <t>H. Out
&lt; 5%</t>
  </si>
  <si>
    <t>P. Bar
&lt; 1 mm Hg</t>
  </si>
  <si>
    <t>Dir.
Viento
&lt; 22.5°</t>
  </si>
  <si>
    <t>V. Viento
&lt; 1 m/s</t>
  </si>
  <si>
    <t>Rad
Solar
&lt; 90</t>
  </si>
  <si>
    <t>Uv
Index.
&lt; 0.8</t>
  </si>
  <si>
    <t>Precipitación
&lt; 5%</t>
  </si>
  <si>
    <t>Fecha de Emisión:</t>
  </si>
  <si>
    <t>Trazabilidad:</t>
  </si>
  <si>
    <t>El equipo patrón utilizado tiene trazabilidad NIST fecha de calibracion</t>
  </si>
  <si>
    <t>Método empleado:</t>
  </si>
  <si>
    <t>Comparación directa.</t>
  </si>
  <si>
    <t>Conclusiones</t>
  </si>
  <si>
    <t>Los resultados de la intercomparación comprueban que los instrumentos trabajan dentro de los márgenes permitidos, siendo producto de 24 muestras con intervalo de 1 Hora.</t>
  </si>
  <si>
    <t>Variables analizadas:</t>
  </si>
  <si>
    <t>Temperatura, Humedad, Presión Barométrica, Dir viento, Vel viento, Radiación solar, Uv, Precipitación.</t>
  </si>
  <si>
    <r>
      <rPr>
        <b/>
        <sz val="16"/>
        <color theme="1"/>
        <rFont val="Aptos Narrow"/>
        <family val="2"/>
        <scheme val="minor"/>
      </rPr>
      <t>Versión 03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2"/>
        <color theme="1"/>
        <rFont val="Aptos Narrow"/>
        <family val="2"/>
        <scheme val="minor"/>
      </rPr>
      <t>2024-06-04</t>
    </r>
    <r>
      <rPr>
        <b/>
        <sz val="11"/>
        <color theme="1"/>
        <rFont val="Aptos Narrow"/>
        <family val="2"/>
        <scheme val="minor"/>
      </rPr>
      <t xml:space="preserve">
</t>
    </r>
    <r>
      <rPr>
        <b/>
        <sz val="16"/>
        <color theme="1"/>
        <rFont val="Aptos Narrow"/>
        <family val="2"/>
        <scheme val="minor"/>
      </rPr>
      <t>FOA802-13</t>
    </r>
  </si>
  <si>
    <t>serie / 
Cod. Inventario</t>
  </si>
  <si>
    <t>Error Max. Asociado</t>
  </si>
  <si>
    <t>NW</t>
  </si>
  <si>
    <t>NNW</t>
  </si>
  <si>
    <t>N</t>
  </si>
  <si>
    <t>NN</t>
  </si>
  <si>
    <t>NNE</t>
  </si>
  <si>
    <t>NE</t>
  </si>
  <si>
    <t>ESE</t>
  </si>
  <si>
    <t>SE</t>
  </si>
  <si>
    <t>S</t>
  </si>
  <si>
    <t>SSE</t>
  </si>
  <si>
    <t>WSW</t>
  </si>
  <si>
    <t>WNW</t>
  </si>
  <si>
    <t>CONTROL DE CAMBIOS</t>
  </si>
  <si>
    <t>FECHA</t>
  </si>
  <si>
    <t>VERSION</t>
  </si>
  <si>
    <t>CAMBIOS</t>
  </si>
  <si>
    <t>Emisión inicial</t>
  </si>
  <si>
    <t>Revisión general</t>
  </si>
  <si>
    <t>Revisión general. Cambio de logo y formato fecha aaaa-mm-dd</t>
  </si>
  <si>
    <t>DULLYS ALBERTO DITA MEDINA</t>
  </si>
  <si>
    <t>ALEXANDER DIAZ HERRERA</t>
  </si>
  <si>
    <t>LEONARDO PÉREZ DÍAZ</t>
  </si>
  <si>
    <t>Davis</t>
  </si>
  <si>
    <t>Equipo de Comprobación</t>
  </si>
  <si>
    <t>BH240808013</t>
  </si>
  <si>
    <t xml:space="preserve"> 6313U22500200873</t>
  </si>
  <si>
    <t>El equipo patrón utilizado tiene trazabilidad NIST fecha de calibración.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</si>
</sst>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\-mm\-dd;@"/>
    <numFmt numFmtId="166" formatCode="[$-240A]hh:mm:ss\ AM/PM;@"/>
    <numFmt numFmtId="167" formatCode="[$-F800]dddd\,\ mmmm\ dd\,\ yyyy"/>
  </numFmts>
  <fonts count="1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1"/>
      <name val="Bai Jamjuree Medium"/>
    </font>
    <font>
      <sz val="11"/>
      <color rgb="FF242424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rgb="FFFFE0CC"/>
        <bgColor indexed="64"/>
      </patternFill>
    </fill>
    <fill>
      <patternFill patternType="solid">
        <fgColor rgb="FFFFB47F"/>
        <bgColor indexed="64"/>
      </patternFill>
    </fill>
    <fill>
      <patternFill patternType="solid">
        <fgColor rgb="FFE4DED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4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2" borderId="0" xfId="0" applyFill="1"/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14" fontId="0" fillId="0" borderId="1" xfId="0" applyNumberFormat="1" applyBorder="1"/>
    <xf numFmtId="18" fontId="0" fillId="0" borderId="26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9" fontId="0" fillId="0" borderId="15" xfId="0" applyNumberForma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6" xfId="0" applyBorder="1" applyAlignment="1">
      <alignment horizontal="center"/>
    </xf>
    <xf numFmtId="9" fontId="0" fillId="0" borderId="28" xfId="0" applyNumberForma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0" xfId="0" applyBorder="1" applyAlignment="1">
      <alignment horizontal="center"/>
    </xf>
    <xf numFmtId="9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8" borderId="14" xfId="0" applyFill="1" applyBorder="1"/>
    <xf numFmtId="0" fontId="0" fillId="8" borderId="0" xfId="0" applyFill="1"/>
    <xf numFmtId="0" fontId="0" fillId="8" borderId="51" xfId="0" applyFill="1" applyBorder="1"/>
    <xf numFmtId="0" fontId="0" fillId="9" borderId="30" xfId="0" applyFill="1" applyBorder="1" applyAlignment="1">
      <alignment vertical="center"/>
    </xf>
    <xf numFmtId="0" fontId="0" fillId="9" borderId="0" xfId="0" applyFill="1" applyAlignment="1">
      <alignment vertical="center"/>
    </xf>
    <xf numFmtId="0" fontId="0" fillId="9" borderId="42" xfId="0" applyFill="1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10" borderId="57" xfId="0" applyFill="1" applyBorder="1" applyAlignment="1">
      <alignment horizontal="center" vertical="center" wrapText="1"/>
    </xf>
    <xf numFmtId="0" fontId="0" fillId="10" borderId="58" xfId="0" applyFill="1" applyBorder="1" applyAlignment="1">
      <alignment horizontal="center" vertical="center" wrapText="1"/>
    </xf>
    <xf numFmtId="0" fontId="0" fillId="10" borderId="10" xfId="0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8" fontId="0" fillId="0" borderId="3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4" fillId="0" borderId="60" xfId="0" applyFont="1" applyBorder="1" applyAlignment="1">
      <alignment horizontal="center"/>
    </xf>
    <xf numFmtId="18" fontId="0" fillId="0" borderId="26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0" borderId="59" xfId="0" applyFont="1" applyBorder="1" applyAlignment="1">
      <alignment horizontal="center"/>
    </xf>
    <xf numFmtId="14" fontId="0" fillId="12" borderId="2" xfId="0" applyNumberFormat="1" applyFill="1" applyBorder="1" applyAlignment="1">
      <alignment horizontal="center" vertical="center"/>
    </xf>
    <xf numFmtId="14" fontId="0" fillId="12" borderId="3" xfId="0" applyNumberForma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14" fontId="0" fillId="12" borderId="7" xfId="0" applyNumberFormat="1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14" fontId="0" fillId="0" borderId="0" xfId="0" applyNumberFormat="1"/>
    <xf numFmtId="166" fontId="0" fillId="0" borderId="0" xfId="0" applyNumberFormat="1"/>
    <xf numFmtId="14" fontId="0" fillId="0" borderId="36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30" xfId="0" applyNumberFormat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1" fontId="0" fillId="0" borderId="28" xfId="0" applyNumberFormat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1" fontId="0" fillId="0" borderId="38" xfId="0" applyNumberFormat="1" applyBorder="1" applyAlignment="1">
      <alignment horizontal="center"/>
    </xf>
    <xf numFmtId="1" fontId="0" fillId="7" borderId="9" xfId="0" applyNumberFormat="1" applyFill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8" borderId="1" xfId="0" applyFont="1" applyFill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justify" vertical="top"/>
    </xf>
    <xf numFmtId="0" fontId="0" fillId="0" borderId="2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 wrapText="1"/>
    </xf>
    <xf numFmtId="0" fontId="2" fillId="7" borderId="45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2" fillId="7" borderId="50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2" fillId="9" borderId="26" xfId="0" applyFont="1" applyFill="1" applyBorder="1" applyAlignment="1">
      <alignment horizontal="center" vertical="center"/>
    </xf>
    <xf numFmtId="0" fontId="2" fillId="9" borderId="52" xfId="0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 wrapText="1"/>
    </xf>
    <xf numFmtId="0" fontId="2" fillId="9" borderId="38" xfId="0" applyFont="1" applyFill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2" fillId="10" borderId="55" xfId="0" applyFont="1" applyFill="1" applyBorder="1" applyAlignment="1">
      <alignment horizontal="center" vertical="center"/>
    </xf>
    <xf numFmtId="0" fontId="2" fillId="10" borderId="59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 wrapText="1"/>
    </xf>
    <xf numFmtId="0" fontId="0" fillId="9" borderId="31" xfId="0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10" borderId="53" xfId="0" applyFont="1" applyFill="1" applyBorder="1" applyAlignment="1">
      <alignment horizontal="center" vertical="center"/>
    </xf>
    <xf numFmtId="0" fontId="2" fillId="10" borderId="54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left" vertical="center"/>
    </xf>
    <xf numFmtId="0" fontId="2" fillId="11" borderId="3" xfId="0" applyFont="1" applyFill="1" applyBorder="1" applyAlignment="1">
      <alignment horizontal="left" vertical="center"/>
    </xf>
    <xf numFmtId="167" fontId="5" fillId="0" borderId="33" xfId="0" applyNumberFormat="1" applyFont="1" applyBorder="1" applyAlignment="1">
      <alignment horizontal="center" vertical="center"/>
    </xf>
    <xf numFmtId="167" fontId="5" fillId="0" borderId="34" xfId="0" applyNumberFormat="1" applyFont="1" applyBorder="1" applyAlignment="1">
      <alignment horizontal="center" vertical="center"/>
    </xf>
    <xf numFmtId="167" fontId="5" fillId="0" borderId="35" xfId="0" applyNumberFormat="1" applyFont="1" applyBorder="1" applyAlignment="1">
      <alignment horizontal="center" vertical="center"/>
    </xf>
    <xf numFmtId="0" fontId="2" fillId="9" borderId="36" xfId="0" applyFont="1" applyFill="1" applyBorder="1" applyAlignment="1">
      <alignment horizontal="left" vertical="center"/>
    </xf>
    <xf numFmtId="0" fontId="2" fillId="9" borderId="33" xfId="0" applyFont="1" applyFill="1" applyBorder="1" applyAlignment="1">
      <alignment horizontal="left" vertical="center"/>
    </xf>
    <xf numFmtId="0" fontId="0" fillId="0" borderId="61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2" fillId="11" borderId="37" xfId="0" applyFont="1" applyFill="1" applyBorder="1" applyAlignment="1">
      <alignment horizontal="left" vertical="center"/>
    </xf>
    <xf numFmtId="0" fontId="2" fillId="11" borderId="38" xfId="0" applyFont="1" applyFill="1" applyBorder="1" applyAlignment="1">
      <alignment horizontal="left"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2" fillId="9" borderId="21" xfId="0" applyFont="1" applyFill="1" applyBorder="1" applyAlignment="1">
      <alignment horizontal="left" vertical="center"/>
    </xf>
    <xf numFmtId="0" fontId="2" fillId="9" borderId="39" xfId="0" applyFont="1" applyFill="1" applyBorder="1" applyAlignment="1">
      <alignment horizontal="left" vertical="center"/>
    </xf>
    <xf numFmtId="0" fontId="2" fillId="9" borderId="10" xfId="0" applyFont="1" applyFill="1" applyBorder="1" applyAlignment="1">
      <alignment horizontal="left" vertical="center"/>
    </xf>
    <xf numFmtId="0" fontId="2" fillId="9" borderId="11" xfId="0" applyFont="1" applyFill="1" applyBorder="1" applyAlignment="1">
      <alignment horizontal="left" vertical="center"/>
    </xf>
    <xf numFmtId="0" fontId="0" fillId="0" borderId="62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63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50" xfId="0" applyBorder="1" applyAlignment="1">
      <alignment horizontal="left" vertical="center" wrapText="1"/>
    </xf>
    <xf numFmtId="0" fontId="2" fillId="11" borderId="41" xfId="0" applyFont="1" applyFill="1" applyBorder="1" applyAlignment="1">
      <alignment horizontal="left" vertical="center"/>
    </xf>
    <xf numFmtId="0" fontId="2" fillId="11" borderId="42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14" fontId="5" fillId="0" borderId="33" xfId="0" applyNumberFormat="1" applyFont="1" applyBorder="1" applyAlignment="1">
      <alignment horizontal="center" vertical="center"/>
    </xf>
    <xf numFmtId="14" fontId="5" fillId="0" borderId="34" xfId="0" applyNumberFormat="1" applyFont="1" applyBorder="1" applyAlignment="1">
      <alignment horizontal="center" vertical="center"/>
    </xf>
    <xf numFmtId="14" fontId="5" fillId="0" borderId="35" xfId="0" applyNumberFormat="1" applyFont="1" applyBorder="1" applyAlignment="1">
      <alignment horizontal="center" vertical="center"/>
    </xf>
    <xf numFmtId="0" fontId="2" fillId="2" borderId="36" xfId="0" applyFont="1" applyFill="1" applyBorder="1" applyAlignment="1">
      <alignment horizontal="left" vertical="center"/>
    </xf>
    <xf numFmtId="0" fontId="2" fillId="2" borderId="37" xfId="0" applyFont="1" applyFill="1" applyBorder="1" applyAlignment="1">
      <alignment horizontal="left" vertical="center"/>
    </xf>
    <xf numFmtId="0" fontId="2" fillId="2" borderId="38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39" xfId="0" applyFont="1" applyFill="1" applyBorder="1" applyAlignment="1">
      <alignment horizontal="left" vertical="center"/>
    </xf>
    <xf numFmtId="0" fontId="2" fillId="2" borderId="40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0" fillId="0" borderId="2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2" fillId="2" borderId="41" xfId="0" applyFont="1" applyFill="1" applyBorder="1" applyAlignment="1">
      <alignment horizontal="left" vertical="center"/>
    </xf>
    <xf numFmtId="0" fontId="2" fillId="2" borderId="42" xfId="0" applyFont="1" applyFill="1" applyBorder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fgColor theme="6" tint="0.79989013336588644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  <color rgb="FF9C0006"/>
      <color rgb="FF006100"/>
      <color rgb="FF006200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'[2]FOA802-13_BA171114005'!$D$12:$D$35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6E-42AF-8DE2-4BD55F51BC7D}"/>
            </c:ext>
          </c:extLst>
        </c:ser>
        <c:ser>
          <c:idx val="1"/>
          <c:order val="1"/>
          <c:tx>
            <c:strRef>
              <c:f>'[2]FOA802-13_BA171114005'!$L$11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'[2]FOA802-13_BA171114005'!$L$12:$L$35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6E-42AF-8DE2-4BD55F51B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2624"/>
        <c:axId val="1385806384"/>
      </c:lineChart>
      <c:catAx>
        <c:axId val="1385812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06384"/>
        <c:crosses val="autoZero"/>
        <c:auto val="1"/>
        <c:lblAlgn val="ctr"/>
        <c:lblOffset val="100"/>
        <c:noMultiLvlLbl val="0"/>
      </c:catAx>
      <c:valAx>
        <c:axId val="13858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'[2]FOA802-13_BA171114005'!$E$12:$E$35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4-4A12-8BE4-C801E4F24647}"/>
            </c:ext>
          </c:extLst>
        </c:ser>
        <c:ser>
          <c:idx val="1"/>
          <c:order val="1"/>
          <c:tx>
            <c:strRef>
              <c:f>'[2]FOA802-13_BA171114005'!$M$11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'[2]FOA802-13_BA171114005'!$M$12:$M$35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24-4A12-8BE4-C801E4F24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8032"/>
        <c:axId val="1385814288"/>
      </c:lineChart>
      <c:catAx>
        <c:axId val="138581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4288"/>
        <c:crosses val="autoZero"/>
        <c:auto val="1"/>
        <c:lblAlgn val="ctr"/>
        <c:lblOffset val="100"/>
        <c:noMultiLvlLbl val="0"/>
      </c:catAx>
      <c:valAx>
        <c:axId val="138581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'[2]FOA802-13_BA171114005'!$G$12:$G$35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37-4905-B0F5-01C8F63F06E7}"/>
            </c:ext>
          </c:extLst>
        </c:ser>
        <c:ser>
          <c:idx val="1"/>
          <c:order val="1"/>
          <c:tx>
            <c:strRef>
              <c:f>'[2]FOA802-13_BA171114005'!$O$11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'[2]FOA802-13_BA171114005'!$O$12:$O$35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37-4905-B0F5-01C8F63F0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56064"/>
        <c:axId val="1387647328"/>
      </c:lineChart>
      <c:catAx>
        <c:axId val="1387656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7328"/>
        <c:crosses val="autoZero"/>
        <c:auto val="1"/>
        <c:lblAlgn val="ctr"/>
        <c:lblOffset val="100"/>
        <c:noMultiLvlLbl val="0"/>
      </c:catAx>
      <c:valAx>
        <c:axId val="138764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'[2]FOA802-13_BA171114005'!$H$12:$H$35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3E-40A3-9D8E-71291741EB12}"/>
            </c:ext>
          </c:extLst>
        </c:ser>
        <c:ser>
          <c:idx val="1"/>
          <c:order val="1"/>
          <c:tx>
            <c:strRef>
              <c:f>'[2]FOA802-13_BA171114005'!$P$11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'[2]FOA802-13_BA171114005'!$P$12:$P$35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3E-40A3-9D8E-71291741E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040000"/>
        <c:axId val="1317047904"/>
      </c:lineChart>
      <c:catAx>
        <c:axId val="1317040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7904"/>
        <c:crosses val="autoZero"/>
        <c:auto val="1"/>
        <c:lblAlgn val="ctr"/>
        <c:lblOffset val="100"/>
        <c:noMultiLvlLbl val="0"/>
      </c:catAx>
      <c:valAx>
        <c:axId val="131704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 Rad.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'[2]FOA802-13_BA171114005'!$I$12:$I$35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22-40DB-B956-60105E08BC59}"/>
            </c:ext>
          </c:extLst>
        </c:ser>
        <c:ser>
          <c:idx val="1"/>
          <c:order val="1"/>
          <c:tx>
            <c:strRef>
              <c:f>'[2]FOA802-13_BA171114005'!$Q$11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'[2]FOA802-13_BA171114005'!$Q$12:$Q$35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22-40DB-B956-60105E08B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45248"/>
        <c:axId val="1387651072"/>
      </c:lineChart>
      <c:catAx>
        <c:axId val="138764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1072"/>
        <c:crosses val="autoZero"/>
        <c:auto val="1"/>
        <c:lblAlgn val="ctr"/>
        <c:lblOffset val="100"/>
        <c:noMultiLvlLbl val="0"/>
      </c:catAx>
      <c:valAx>
        <c:axId val="13876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'[2]FOA802-13_BA171114005'!$J$12:$J$35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C1-48C5-ACA1-783D38F491C4}"/>
            </c:ext>
          </c:extLst>
        </c:ser>
        <c:ser>
          <c:idx val="1"/>
          <c:order val="1"/>
          <c:tx>
            <c:strRef>
              <c:f>'[2]FOA802-13_BA171114005'!$R$11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'[2]FOA802-13_BA171114005'!$R$12:$R$35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C1-48C5-ACA1-783D38F49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626592"/>
        <c:axId val="1365624096"/>
      </c:lineChart>
      <c:catAx>
        <c:axId val="136562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4096"/>
        <c:crosses val="autoZero"/>
        <c:auto val="1"/>
        <c:lblAlgn val="ctr"/>
        <c:lblOffset val="100"/>
        <c:noMultiLvlLbl val="0"/>
      </c:catAx>
      <c:valAx>
        <c:axId val="136562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'[2]FOA802-13_BA171114005'!$F$12:$F$35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19-47AC-BA59-BFE1844A3D32}"/>
            </c:ext>
          </c:extLst>
        </c:ser>
        <c:ser>
          <c:idx val="1"/>
          <c:order val="1"/>
          <c:tx>
            <c:strRef>
              <c:f>'[2]FOA802-13_BA171114005'!$N$11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'[2]FOA802-13_BA171114005'!$N$12:$N$35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19-47AC-BA59-BFE1844A3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517728"/>
        <c:axId val="1280515232"/>
      </c:lineChart>
      <c:catAx>
        <c:axId val="1280517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5232"/>
        <c:crosses val="autoZero"/>
        <c:auto val="1"/>
        <c:lblAlgn val="ctr"/>
        <c:lblOffset val="100"/>
        <c:noMultiLvlLbl val="0"/>
      </c:catAx>
      <c:valAx>
        <c:axId val="128051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'[2]FOA802-13_BA171114005'!$K$12:$K$35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32-46EE-B69E-38EB2B6DF6B9}"/>
            </c:ext>
          </c:extLst>
        </c:ser>
        <c:ser>
          <c:idx val="1"/>
          <c:order val="1"/>
          <c:tx>
            <c:strRef>
              <c:f>'[2]FOA802-13_BA171114005'!$S$11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'[2]FOA802-13_BA171114005'!$S$12:$S$35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32-46EE-B69E-38EB2B6DF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819088"/>
        <c:axId val="226799120"/>
      </c:lineChart>
      <c:catAx>
        <c:axId val="226819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799120"/>
        <c:crosses val="autoZero"/>
        <c:auto val="1"/>
        <c:lblAlgn val="ctr"/>
        <c:lblOffset val="100"/>
        <c:noMultiLvlLbl val="0"/>
      </c:catAx>
      <c:valAx>
        <c:axId val="2267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81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'[2]FOA802-13_BA171114005'!$D$12:$D$35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5-4363-B468-EA0CADE6C734}"/>
            </c:ext>
          </c:extLst>
        </c:ser>
        <c:ser>
          <c:idx val="1"/>
          <c:order val="1"/>
          <c:tx>
            <c:strRef>
              <c:f>'[2]FOA802-13_BA171114005'!$L$11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'[2]FOA802-13_BA171114005'!$L$12:$L$35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05-4363-B468-EA0CADE6C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2624"/>
        <c:axId val="1385806384"/>
      </c:lineChart>
      <c:catAx>
        <c:axId val="1385812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06384"/>
        <c:crosses val="autoZero"/>
        <c:auto val="1"/>
        <c:lblAlgn val="ctr"/>
        <c:lblOffset val="100"/>
        <c:noMultiLvlLbl val="0"/>
      </c:catAx>
      <c:valAx>
        <c:axId val="13858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'[2]FOA802-13_BA171114005'!$E$12:$E$35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C-4498-8A98-66DA4856EB6D}"/>
            </c:ext>
          </c:extLst>
        </c:ser>
        <c:ser>
          <c:idx val="1"/>
          <c:order val="1"/>
          <c:tx>
            <c:strRef>
              <c:f>'[2]FOA802-13_BA171114005'!$M$11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'[2]FOA802-13_BA171114005'!$M$12:$M$35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5C-4498-8A98-66DA4856E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8032"/>
        <c:axId val="1385814288"/>
      </c:lineChart>
      <c:catAx>
        <c:axId val="138581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4288"/>
        <c:crosses val="autoZero"/>
        <c:auto val="1"/>
        <c:lblAlgn val="ctr"/>
        <c:lblOffset val="100"/>
        <c:noMultiLvlLbl val="0"/>
      </c:catAx>
      <c:valAx>
        <c:axId val="138581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'[2]FOA802-13_BA171114005'!$G$12:$G$35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7E-4F6C-91E7-F0A1D6813070}"/>
            </c:ext>
          </c:extLst>
        </c:ser>
        <c:ser>
          <c:idx val="1"/>
          <c:order val="1"/>
          <c:tx>
            <c:strRef>
              <c:f>'[2]FOA802-13_BA171114005'!$O$11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'[2]FOA802-13_BA171114005'!$O$12:$O$35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7E-4F6C-91E7-F0A1D6813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56064"/>
        <c:axId val="1387647328"/>
      </c:lineChart>
      <c:catAx>
        <c:axId val="1387656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7328"/>
        <c:crosses val="autoZero"/>
        <c:auto val="1"/>
        <c:lblAlgn val="ctr"/>
        <c:lblOffset val="100"/>
        <c:noMultiLvlLbl val="0"/>
      </c:catAx>
      <c:valAx>
        <c:axId val="138764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'[2]FOA802-13_BA171114005'!$H$12:$H$35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8-4C6F-B1BE-9219575BCD9E}"/>
            </c:ext>
          </c:extLst>
        </c:ser>
        <c:ser>
          <c:idx val="1"/>
          <c:order val="1"/>
          <c:tx>
            <c:strRef>
              <c:f>'[2]FOA802-13_BA171114005'!$P$11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'[2]FOA802-13_BA171114005'!$P$12:$P$35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48-4C6F-B1BE-9219575BC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040000"/>
        <c:axId val="1317047904"/>
      </c:lineChart>
      <c:catAx>
        <c:axId val="1317040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7904"/>
        <c:crosses val="autoZero"/>
        <c:auto val="1"/>
        <c:lblAlgn val="ctr"/>
        <c:lblOffset val="100"/>
        <c:noMultiLvlLbl val="0"/>
      </c:catAx>
      <c:valAx>
        <c:axId val="131704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 Rad.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'[2]FOA802-13_BA171114005'!$I$12:$I$35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09-48D0-900D-661F63007CAC}"/>
            </c:ext>
          </c:extLst>
        </c:ser>
        <c:ser>
          <c:idx val="1"/>
          <c:order val="1"/>
          <c:tx>
            <c:strRef>
              <c:f>'[2]FOA802-13_BA171114005'!$Q$11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'[2]FOA802-13_BA171114005'!$Q$12:$Q$35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09-48D0-900D-661F63007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45248"/>
        <c:axId val="1387651072"/>
      </c:lineChart>
      <c:catAx>
        <c:axId val="138764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1072"/>
        <c:crosses val="autoZero"/>
        <c:auto val="1"/>
        <c:lblAlgn val="ctr"/>
        <c:lblOffset val="100"/>
        <c:noMultiLvlLbl val="0"/>
      </c:catAx>
      <c:valAx>
        <c:axId val="13876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'[2]FOA802-13_BA171114005'!$J$12:$J$35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C4-48AE-B588-359DE19B0672}"/>
            </c:ext>
          </c:extLst>
        </c:ser>
        <c:ser>
          <c:idx val="1"/>
          <c:order val="1"/>
          <c:tx>
            <c:strRef>
              <c:f>'[2]FOA802-13_BA171114005'!$R$11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'[2]FOA802-13_BA171114005'!$R$12:$R$35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C4-48AE-B588-359DE19B0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626592"/>
        <c:axId val="1365624096"/>
      </c:lineChart>
      <c:catAx>
        <c:axId val="136562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4096"/>
        <c:crosses val="autoZero"/>
        <c:auto val="1"/>
        <c:lblAlgn val="ctr"/>
        <c:lblOffset val="100"/>
        <c:noMultiLvlLbl val="0"/>
      </c:catAx>
      <c:valAx>
        <c:axId val="136562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'[2]FOA802-13_BA171114005'!$F$12:$F$35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4E-48C5-8569-4E3AE42DCBEC}"/>
            </c:ext>
          </c:extLst>
        </c:ser>
        <c:ser>
          <c:idx val="1"/>
          <c:order val="1"/>
          <c:tx>
            <c:strRef>
              <c:f>'[2]FOA802-13_BA171114005'!$N$11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'[2]FOA802-13_BA171114005'!$N$12:$N$35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4E-48C5-8569-4E3AE42DC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517728"/>
        <c:axId val="1280515232"/>
      </c:lineChart>
      <c:catAx>
        <c:axId val="1280517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5232"/>
        <c:crosses val="autoZero"/>
        <c:auto val="1"/>
        <c:lblAlgn val="ctr"/>
        <c:lblOffset val="100"/>
        <c:noMultiLvlLbl val="0"/>
      </c:catAx>
      <c:valAx>
        <c:axId val="128051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'[2]FOA802-13_BA171114005'!$K$11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'[2]FOA802-13_BA171114005'!$K$12:$K$35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2-4CD0-BC0A-342431BD1B54}"/>
            </c:ext>
          </c:extLst>
        </c:ser>
        <c:ser>
          <c:idx val="1"/>
          <c:order val="1"/>
          <c:tx>
            <c:strRef>
              <c:f>'[2]FOA802-13_BA171114005'!$S$11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'[2]FOA802-13_BA171114005'!$S$12:$S$35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C2-4CD0-BC0A-342431BD1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819088"/>
        <c:axId val="226799120"/>
      </c:lineChart>
      <c:catAx>
        <c:axId val="226819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799120"/>
        <c:crosses val="autoZero"/>
        <c:auto val="1"/>
        <c:lblAlgn val="ctr"/>
        <c:lblOffset val="100"/>
        <c:noMultiLvlLbl val="0"/>
      </c:catAx>
      <c:valAx>
        <c:axId val="2267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81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'240203'!$D$11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'240203'!$D$12:$D$35</c:f>
              <c:numCache>
                <c:formatCode>0</c:formatCode>
                <c:ptCount val="24"/>
                <c:pt idx="0">
                  <c:v>15.426666666666668</c:v>
                </c:pt>
                <c:pt idx="1">
                  <c:v>15.046666666666667</c:v>
                </c:pt>
                <c:pt idx="2">
                  <c:v>14.65</c:v>
                </c:pt>
                <c:pt idx="3">
                  <c:v>14.585000000000001</c:v>
                </c:pt>
                <c:pt idx="4">
                  <c:v>14.475</c:v>
                </c:pt>
                <c:pt idx="5">
                  <c:v>14.731666666666667</c:v>
                </c:pt>
                <c:pt idx="6">
                  <c:v>14.676666666666668</c:v>
                </c:pt>
                <c:pt idx="7">
                  <c:v>14.473333333333331</c:v>
                </c:pt>
                <c:pt idx="8">
                  <c:v>15.021666666666667</c:v>
                </c:pt>
                <c:pt idx="9">
                  <c:v>16.161666666666665</c:v>
                </c:pt>
                <c:pt idx="10">
                  <c:v>17.073333333333334</c:v>
                </c:pt>
                <c:pt idx="11">
                  <c:v>18.170000000000002</c:v>
                </c:pt>
                <c:pt idx="12">
                  <c:v>18.736666666666668</c:v>
                </c:pt>
                <c:pt idx="13">
                  <c:v>20.285</c:v>
                </c:pt>
                <c:pt idx="14">
                  <c:v>20.841666666666669</c:v>
                </c:pt>
                <c:pt idx="15">
                  <c:v>19.720000000000002</c:v>
                </c:pt>
                <c:pt idx="16">
                  <c:v>17.474999999999998</c:v>
                </c:pt>
                <c:pt idx="17">
                  <c:v>16.123333333333335</c:v>
                </c:pt>
                <c:pt idx="18">
                  <c:v>15.520000000000001</c:v>
                </c:pt>
                <c:pt idx="19">
                  <c:v>15.28</c:v>
                </c:pt>
                <c:pt idx="20">
                  <c:v>15.173333333333334</c:v>
                </c:pt>
                <c:pt idx="21">
                  <c:v>14.918333333333335</c:v>
                </c:pt>
                <c:pt idx="22">
                  <c:v>14.798333333333334</c:v>
                </c:pt>
                <c:pt idx="23">
                  <c:v>14.661666666666667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0E-4813-83B7-8E22F48BE690}"/>
            </c:ext>
          </c:extLst>
        </c:ser>
        <c:ser>
          <c:idx val="1"/>
          <c:order val="1"/>
          <c:tx>
            <c:strRef>
              <c:f>'240203'!$L$11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'240203'!$L$12:$L$35</c:f>
              <c:numCache>
                <c:formatCode>0</c:formatCode>
                <c:ptCount val="24"/>
                <c:pt idx="0">
                  <c:v>15.733333333333333</c:v>
                </c:pt>
                <c:pt idx="1">
                  <c:v>15.333333333333334</c:v>
                </c:pt>
                <c:pt idx="2">
                  <c:v>14.950000000000001</c:v>
                </c:pt>
                <c:pt idx="3">
                  <c:v>14.866666666666667</c:v>
                </c:pt>
                <c:pt idx="4">
                  <c:v>14.783333333333333</c:v>
                </c:pt>
                <c:pt idx="5">
                  <c:v>15.033333333333333</c:v>
                </c:pt>
                <c:pt idx="6">
                  <c:v>14.983333333333333</c:v>
                </c:pt>
                <c:pt idx="7">
                  <c:v>14.766666666666666</c:v>
                </c:pt>
                <c:pt idx="8">
                  <c:v>15.35</c:v>
                </c:pt>
                <c:pt idx="9">
                  <c:v>16.499999999999996</c:v>
                </c:pt>
                <c:pt idx="10">
                  <c:v>17.433333333333334</c:v>
                </c:pt>
                <c:pt idx="11">
                  <c:v>18.566666666666663</c:v>
                </c:pt>
                <c:pt idx="12">
                  <c:v>19.133333333333333</c:v>
                </c:pt>
                <c:pt idx="13">
                  <c:v>20.716666666666665</c:v>
                </c:pt>
                <c:pt idx="14">
                  <c:v>21.266666666666669</c:v>
                </c:pt>
                <c:pt idx="15">
                  <c:v>20.133333333333333</c:v>
                </c:pt>
                <c:pt idx="16">
                  <c:v>17.833333333333336</c:v>
                </c:pt>
                <c:pt idx="17">
                  <c:v>16.466666666666665</c:v>
                </c:pt>
                <c:pt idx="18">
                  <c:v>15.849999999999996</c:v>
                </c:pt>
                <c:pt idx="19">
                  <c:v>15.6</c:v>
                </c:pt>
                <c:pt idx="20">
                  <c:v>15.5</c:v>
                </c:pt>
                <c:pt idx="21">
                  <c:v>15.249999999999998</c:v>
                </c:pt>
                <c:pt idx="22">
                  <c:v>15.1</c:v>
                </c:pt>
                <c:pt idx="23">
                  <c:v>14.966666666666669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0E-4813-83B7-8E22F48BE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2624"/>
        <c:axId val="1385806384"/>
      </c:lineChart>
      <c:catAx>
        <c:axId val="1385812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06384"/>
        <c:crosses val="autoZero"/>
        <c:auto val="1"/>
        <c:lblAlgn val="ctr"/>
        <c:lblOffset val="100"/>
        <c:noMultiLvlLbl val="0"/>
      </c:catAx>
      <c:valAx>
        <c:axId val="13858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'240203'!$E$11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'240203'!$E$12:$E$35</c:f>
              <c:numCache>
                <c:formatCode>0</c:formatCode>
                <c:ptCount val="24"/>
                <c:pt idx="0">
                  <c:v>86.06</c:v>
                </c:pt>
                <c:pt idx="1">
                  <c:v>86.993333333333325</c:v>
                </c:pt>
                <c:pt idx="2">
                  <c:v>88.251666666666665</c:v>
                </c:pt>
                <c:pt idx="3">
                  <c:v>88.311666666666653</c:v>
                </c:pt>
                <c:pt idx="4">
                  <c:v>88.401666666666657</c:v>
                </c:pt>
                <c:pt idx="5">
                  <c:v>87.87</c:v>
                </c:pt>
                <c:pt idx="6">
                  <c:v>87.203333333333333</c:v>
                </c:pt>
                <c:pt idx="7">
                  <c:v>87.261666666666656</c:v>
                </c:pt>
                <c:pt idx="8">
                  <c:v>84.036666666666676</c:v>
                </c:pt>
                <c:pt idx="9">
                  <c:v>78.61666666666666</c:v>
                </c:pt>
                <c:pt idx="10">
                  <c:v>73.051666666666662</c:v>
                </c:pt>
                <c:pt idx="11">
                  <c:v>67.061666666666667</c:v>
                </c:pt>
                <c:pt idx="12">
                  <c:v>59.983333333333341</c:v>
                </c:pt>
                <c:pt idx="13">
                  <c:v>54.756666666666661</c:v>
                </c:pt>
                <c:pt idx="14">
                  <c:v>52.62166666666667</c:v>
                </c:pt>
                <c:pt idx="15">
                  <c:v>64.658333333333346</c:v>
                </c:pt>
                <c:pt idx="16">
                  <c:v>74.708333333333329</c:v>
                </c:pt>
                <c:pt idx="17">
                  <c:v>84.304999999999993</c:v>
                </c:pt>
                <c:pt idx="18">
                  <c:v>86.611666666666665</c:v>
                </c:pt>
                <c:pt idx="19">
                  <c:v>87.204999999999998</c:v>
                </c:pt>
                <c:pt idx="20">
                  <c:v>88.691666666666663</c:v>
                </c:pt>
                <c:pt idx="21">
                  <c:v>89.093333333333348</c:v>
                </c:pt>
                <c:pt idx="22">
                  <c:v>89.435000000000002</c:v>
                </c:pt>
                <c:pt idx="23">
                  <c:v>88.883333333333326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6F-46B0-AF2C-D8CE4A6A34CD}"/>
            </c:ext>
          </c:extLst>
        </c:ser>
        <c:ser>
          <c:idx val="1"/>
          <c:order val="1"/>
          <c:tx>
            <c:strRef>
              <c:f>'240203'!$M$11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'240203'!$M$12:$M$35</c:f>
              <c:numCache>
                <c:formatCode>0</c:formatCode>
                <c:ptCount val="24"/>
                <c:pt idx="0">
                  <c:v>83.533333333333331</c:v>
                </c:pt>
                <c:pt idx="1">
                  <c:v>84.449999999999989</c:v>
                </c:pt>
                <c:pt idx="2">
                  <c:v>85.683333333333323</c:v>
                </c:pt>
                <c:pt idx="3">
                  <c:v>85.733333333333334</c:v>
                </c:pt>
                <c:pt idx="4">
                  <c:v>85.850000000000009</c:v>
                </c:pt>
                <c:pt idx="5">
                  <c:v>85.316666666666677</c:v>
                </c:pt>
                <c:pt idx="6">
                  <c:v>84.666666666666657</c:v>
                </c:pt>
                <c:pt idx="7">
                  <c:v>84.716666666666654</c:v>
                </c:pt>
                <c:pt idx="8">
                  <c:v>81.600000000000009</c:v>
                </c:pt>
                <c:pt idx="9">
                  <c:v>76.333333333333329</c:v>
                </c:pt>
                <c:pt idx="10">
                  <c:v>70.916666666666671</c:v>
                </c:pt>
                <c:pt idx="11">
                  <c:v>65.11666666666666</c:v>
                </c:pt>
                <c:pt idx="12">
                  <c:v>58.233333333333341</c:v>
                </c:pt>
                <c:pt idx="13">
                  <c:v>53.18333333333333</c:v>
                </c:pt>
                <c:pt idx="14">
                  <c:v>51.083333333333336</c:v>
                </c:pt>
                <c:pt idx="15">
                  <c:v>62.766666666666673</c:v>
                </c:pt>
                <c:pt idx="16">
                  <c:v>72.533333333333331</c:v>
                </c:pt>
                <c:pt idx="17">
                  <c:v>81.850000000000009</c:v>
                </c:pt>
                <c:pt idx="18">
                  <c:v>84.083333333333329</c:v>
                </c:pt>
                <c:pt idx="19">
                  <c:v>84.666666666666671</c:v>
                </c:pt>
                <c:pt idx="20">
                  <c:v>86.100000000000009</c:v>
                </c:pt>
                <c:pt idx="21">
                  <c:v>86.5</c:v>
                </c:pt>
                <c:pt idx="22">
                  <c:v>86.833333333333329</c:v>
                </c:pt>
                <c:pt idx="23">
                  <c:v>86.3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6F-46B0-AF2C-D8CE4A6A3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18032"/>
        <c:axId val="1385814288"/>
      </c:lineChart>
      <c:catAx>
        <c:axId val="138581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4288"/>
        <c:crosses val="autoZero"/>
        <c:auto val="1"/>
        <c:lblAlgn val="ctr"/>
        <c:lblOffset val="100"/>
        <c:noMultiLvlLbl val="0"/>
      </c:catAx>
      <c:valAx>
        <c:axId val="138581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581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'240203'!$G$11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'240203'!$G$12:$G$35</c:f>
              <c:numCache>
                <c:formatCode>0</c:formatCode>
                <c:ptCount val="24"/>
                <c:pt idx="0">
                  <c:v>337.5</c:v>
                </c:pt>
                <c:pt idx="1">
                  <c:v>337.5</c:v>
                </c:pt>
                <c:pt idx="2">
                  <c:v>337.5</c:v>
                </c:pt>
                <c:pt idx="3">
                  <c:v>337.5</c:v>
                </c:pt>
                <c:pt idx="4">
                  <c:v>337.5</c:v>
                </c:pt>
                <c:pt idx="5">
                  <c:v>157.5</c:v>
                </c:pt>
                <c:pt idx="6">
                  <c:v>135</c:v>
                </c:pt>
                <c:pt idx="7">
                  <c:v>22.5</c:v>
                </c:pt>
                <c:pt idx="8">
                  <c:v>22.5</c:v>
                </c:pt>
                <c:pt idx="9">
                  <c:v>22.5</c:v>
                </c:pt>
                <c:pt idx="10">
                  <c:v>270</c:v>
                </c:pt>
                <c:pt idx="11">
                  <c:v>180</c:v>
                </c:pt>
                <c:pt idx="12">
                  <c:v>112.5</c:v>
                </c:pt>
                <c:pt idx="13">
                  <c:v>45</c:v>
                </c:pt>
                <c:pt idx="14">
                  <c:v>67.5</c:v>
                </c:pt>
                <c:pt idx="15">
                  <c:v>247.5</c:v>
                </c:pt>
                <c:pt idx="16">
                  <c:v>247.5</c:v>
                </c:pt>
                <c:pt idx="17">
                  <c:v>247.5</c:v>
                </c:pt>
                <c:pt idx="18">
                  <c:v>292.5</c:v>
                </c:pt>
                <c:pt idx="19">
                  <c:v>270</c:v>
                </c:pt>
                <c:pt idx="20">
                  <c:v>270</c:v>
                </c:pt>
                <c:pt idx="21">
                  <c:v>270</c:v>
                </c:pt>
                <c:pt idx="22">
                  <c:v>270</c:v>
                </c:pt>
                <c:pt idx="23">
                  <c:v>247.5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1-4987-A096-0E0806D2B076}"/>
            </c:ext>
          </c:extLst>
        </c:ser>
        <c:ser>
          <c:idx val="1"/>
          <c:order val="1"/>
          <c:tx>
            <c:strRef>
              <c:f>'240203'!$O$11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'240203'!$O$12:$O$35</c:f>
              <c:numCache>
                <c:formatCode>0</c:formatCode>
                <c:ptCount val="24"/>
                <c:pt idx="0">
                  <c:v>337.5</c:v>
                </c:pt>
                <c:pt idx="1">
                  <c:v>337.5</c:v>
                </c:pt>
                <c:pt idx="2">
                  <c:v>337.5</c:v>
                </c:pt>
                <c:pt idx="3">
                  <c:v>337.5</c:v>
                </c:pt>
                <c:pt idx="4">
                  <c:v>337.5</c:v>
                </c:pt>
                <c:pt idx="5">
                  <c:v>157.5</c:v>
                </c:pt>
                <c:pt idx="6">
                  <c:v>112.5</c:v>
                </c:pt>
                <c:pt idx="7">
                  <c:v>22.5</c:v>
                </c:pt>
                <c:pt idx="8">
                  <c:v>0</c:v>
                </c:pt>
                <c:pt idx="9">
                  <c:v>22.5</c:v>
                </c:pt>
                <c:pt idx="10">
                  <c:v>270</c:v>
                </c:pt>
                <c:pt idx="11">
                  <c:v>180</c:v>
                </c:pt>
                <c:pt idx="12">
                  <c:v>112.5</c:v>
                </c:pt>
                <c:pt idx="13">
                  <c:v>22.5</c:v>
                </c:pt>
                <c:pt idx="14">
                  <c:v>67.5</c:v>
                </c:pt>
                <c:pt idx="15">
                  <c:v>247.5</c:v>
                </c:pt>
                <c:pt idx="16">
                  <c:v>247.5</c:v>
                </c:pt>
                <c:pt idx="17">
                  <c:v>247.5</c:v>
                </c:pt>
                <c:pt idx="18">
                  <c:v>270</c:v>
                </c:pt>
                <c:pt idx="19">
                  <c:v>270</c:v>
                </c:pt>
                <c:pt idx="20">
                  <c:v>270</c:v>
                </c:pt>
                <c:pt idx="21">
                  <c:v>270</c:v>
                </c:pt>
                <c:pt idx="22">
                  <c:v>247.5</c:v>
                </c:pt>
                <c:pt idx="23">
                  <c:v>247.5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D1-4987-A096-0E0806D2B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56064"/>
        <c:axId val="1387647328"/>
      </c:lineChart>
      <c:catAx>
        <c:axId val="1387656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7328"/>
        <c:crosses val="autoZero"/>
        <c:auto val="1"/>
        <c:lblAlgn val="ctr"/>
        <c:lblOffset val="100"/>
        <c:noMultiLvlLbl val="0"/>
      </c:catAx>
      <c:valAx>
        <c:axId val="138764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'240203'!$H$11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'240203'!$H$12:$H$35</c:f>
              <c:numCache>
                <c:formatCode>0</c:formatCode>
                <c:ptCount val="24"/>
                <c:pt idx="0">
                  <c:v>0.98499999999999999</c:v>
                </c:pt>
                <c:pt idx="1">
                  <c:v>2.1683333333333334</c:v>
                </c:pt>
                <c:pt idx="2">
                  <c:v>1.8483333333333334</c:v>
                </c:pt>
                <c:pt idx="3">
                  <c:v>0.68500000000000005</c:v>
                </c:pt>
                <c:pt idx="4">
                  <c:v>0.69166666666666654</c:v>
                </c:pt>
                <c:pt idx="5">
                  <c:v>0.77499999999999991</c:v>
                </c:pt>
                <c:pt idx="6">
                  <c:v>1.4833333333333334</c:v>
                </c:pt>
                <c:pt idx="7">
                  <c:v>0.84666666666666668</c:v>
                </c:pt>
                <c:pt idx="8">
                  <c:v>1.8616666666666666</c:v>
                </c:pt>
                <c:pt idx="9">
                  <c:v>1.3933333333333333</c:v>
                </c:pt>
                <c:pt idx="10">
                  <c:v>1.2416666666666669</c:v>
                </c:pt>
                <c:pt idx="11">
                  <c:v>1.8283333333333334</c:v>
                </c:pt>
                <c:pt idx="12">
                  <c:v>1.9249999999999998</c:v>
                </c:pt>
                <c:pt idx="13">
                  <c:v>1.4433333333333334</c:v>
                </c:pt>
                <c:pt idx="14">
                  <c:v>3.2183333333333333</c:v>
                </c:pt>
                <c:pt idx="15">
                  <c:v>4.8899999999999997</c:v>
                </c:pt>
                <c:pt idx="16">
                  <c:v>4.4499999999999993</c:v>
                </c:pt>
                <c:pt idx="17">
                  <c:v>3.4833333333333329</c:v>
                </c:pt>
                <c:pt idx="18">
                  <c:v>2.1150000000000002</c:v>
                </c:pt>
                <c:pt idx="19">
                  <c:v>2.1733333333333333</c:v>
                </c:pt>
                <c:pt idx="20">
                  <c:v>1.5199999999999998</c:v>
                </c:pt>
                <c:pt idx="21">
                  <c:v>1.3833333333333331</c:v>
                </c:pt>
                <c:pt idx="22">
                  <c:v>1.9033333333333333</c:v>
                </c:pt>
                <c:pt idx="23">
                  <c:v>1.2583333333333335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4-4789-9CC9-303CAD98C273}"/>
            </c:ext>
          </c:extLst>
        </c:ser>
        <c:ser>
          <c:idx val="1"/>
          <c:order val="1"/>
          <c:tx>
            <c:strRef>
              <c:f>'240203'!$P$11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'240203'!$P$12:$P$35</c:f>
              <c:numCache>
                <c:formatCode>0</c:formatCode>
                <c:ptCount val="24"/>
                <c:pt idx="0">
                  <c:v>0.48333333333333334</c:v>
                </c:pt>
                <c:pt idx="1">
                  <c:v>1.4999999999999998</c:v>
                </c:pt>
                <c:pt idx="2">
                  <c:v>1.1833333333333333</c:v>
                </c:pt>
                <c:pt idx="3">
                  <c:v>0.35000000000000003</c:v>
                </c:pt>
                <c:pt idx="4">
                  <c:v>0.3833333333333333</c:v>
                </c:pt>
                <c:pt idx="5">
                  <c:v>0.10000000000000002</c:v>
                </c:pt>
                <c:pt idx="6">
                  <c:v>0.79999999999999993</c:v>
                </c:pt>
                <c:pt idx="7">
                  <c:v>0.51666666666666672</c:v>
                </c:pt>
                <c:pt idx="8">
                  <c:v>1.2166666666666668</c:v>
                </c:pt>
                <c:pt idx="9">
                  <c:v>0.9</c:v>
                </c:pt>
                <c:pt idx="10">
                  <c:v>0.41666666666666669</c:v>
                </c:pt>
                <c:pt idx="11">
                  <c:v>1.5</c:v>
                </c:pt>
                <c:pt idx="12">
                  <c:v>1.5999999999999999</c:v>
                </c:pt>
                <c:pt idx="13">
                  <c:v>0.76666666666666661</c:v>
                </c:pt>
                <c:pt idx="14">
                  <c:v>2.416666666666667</c:v>
                </c:pt>
                <c:pt idx="15">
                  <c:v>4.3666666666666663</c:v>
                </c:pt>
                <c:pt idx="16">
                  <c:v>3.9666666666666663</c:v>
                </c:pt>
                <c:pt idx="17">
                  <c:v>2.6666666666666665</c:v>
                </c:pt>
                <c:pt idx="18">
                  <c:v>1.7833333333333332</c:v>
                </c:pt>
                <c:pt idx="19">
                  <c:v>1.5</c:v>
                </c:pt>
                <c:pt idx="20">
                  <c:v>0.86666666666666659</c:v>
                </c:pt>
                <c:pt idx="21">
                  <c:v>1.2333333333333334</c:v>
                </c:pt>
                <c:pt idx="22">
                  <c:v>1.0833333333333333</c:v>
                </c:pt>
                <c:pt idx="23">
                  <c:v>0.78333333333333333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B4-4789-9CC9-303CAD98C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040000"/>
        <c:axId val="1317047904"/>
      </c:lineChart>
      <c:catAx>
        <c:axId val="1317040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7904"/>
        <c:crosses val="autoZero"/>
        <c:auto val="1"/>
        <c:lblAlgn val="ctr"/>
        <c:lblOffset val="100"/>
        <c:noMultiLvlLbl val="0"/>
      </c:catAx>
      <c:valAx>
        <c:axId val="131704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 Rad.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'240203'!$I$11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'240203'!$I$12:$I$35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19.591666666666665</c:v>
                </c:pt>
                <c:pt idx="7">
                  <c:v>103.77166666666666</c:v>
                </c:pt>
                <c:pt idx="8">
                  <c:v>167.36666666666667</c:v>
                </c:pt>
                <c:pt idx="9">
                  <c:v>272.38500000000005</c:v>
                </c:pt>
                <c:pt idx="10">
                  <c:v>250.88500000000002</c:v>
                </c:pt>
                <c:pt idx="11">
                  <c:v>327.625</c:v>
                </c:pt>
                <c:pt idx="12">
                  <c:v>303.16166666666669</c:v>
                </c:pt>
                <c:pt idx="13">
                  <c:v>490.12500000000006</c:v>
                </c:pt>
                <c:pt idx="14">
                  <c:v>414.79333333333335</c:v>
                </c:pt>
                <c:pt idx="15">
                  <c:v>380.94166666666666</c:v>
                </c:pt>
                <c:pt idx="16">
                  <c:v>104.73500000000001</c:v>
                </c:pt>
                <c:pt idx="17">
                  <c:v>116.68166666666666</c:v>
                </c:pt>
                <c:pt idx="18">
                  <c:v>24.925000000000001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18-4F27-AB3A-8ECF1FA7890E}"/>
            </c:ext>
          </c:extLst>
        </c:ser>
        <c:ser>
          <c:idx val="1"/>
          <c:order val="1"/>
          <c:tx>
            <c:strRef>
              <c:f>'240203'!$Q$11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'240203'!$Q$12:$Q$35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3.1</c:v>
                </c:pt>
                <c:pt idx="7">
                  <c:v>46.133333333333333</c:v>
                </c:pt>
                <c:pt idx="8">
                  <c:v>105.51666666666665</c:v>
                </c:pt>
                <c:pt idx="9">
                  <c:v>238.4</c:v>
                </c:pt>
                <c:pt idx="10">
                  <c:v>210.04999999999998</c:v>
                </c:pt>
                <c:pt idx="11">
                  <c:v>280.8</c:v>
                </c:pt>
                <c:pt idx="12">
                  <c:v>257.66666666666669</c:v>
                </c:pt>
                <c:pt idx="13">
                  <c:v>435.9666666666667</c:v>
                </c:pt>
                <c:pt idx="14">
                  <c:v>368.3</c:v>
                </c:pt>
                <c:pt idx="15">
                  <c:v>323.43333333333328</c:v>
                </c:pt>
                <c:pt idx="16">
                  <c:v>46.900000000000006</c:v>
                </c:pt>
                <c:pt idx="17">
                  <c:v>63.516666666666659</c:v>
                </c:pt>
                <c:pt idx="18">
                  <c:v>2.5833333333333335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18-4F27-AB3A-8ECF1FA78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645248"/>
        <c:axId val="1387651072"/>
      </c:lineChart>
      <c:catAx>
        <c:axId val="138764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51072"/>
        <c:crosses val="autoZero"/>
        <c:auto val="1"/>
        <c:lblAlgn val="ctr"/>
        <c:lblOffset val="100"/>
        <c:noMultiLvlLbl val="0"/>
      </c:catAx>
      <c:valAx>
        <c:axId val="13876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87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'240203'!$J$11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'240203'!$J$12:$J$34</c:f>
              <c:numCache>
                <c:formatCode>0</c:formatCode>
                <c:ptCount val="2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8E-44D6-A2CB-B20541C241C5}"/>
            </c:ext>
          </c:extLst>
        </c:ser>
        <c:ser>
          <c:idx val="1"/>
          <c:order val="1"/>
          <c:tx>
            <c:strRef>
              <c:f>'240203'!$R$11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'240203'!$R$12:$R$35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8E-44D6-A2CB-B20541C24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626592"/>
        <c:axId val="1365624096"/>
      </c:lineChart>
      <c:catAx>
        <c:axId val="136562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4096"/>
        <c:crosses val="autoZero"/>
        <c:auto val="1"/>
        <c:lblAlgn val="ctr"/>
        <c:lblOffset val="100"/>
        <c:noMultiLvlLbl val="0"/>
      </c:catAx>
      <c:valAx>
        <c:axId val="136562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6562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'240203'!$F$11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'240203'!$F$12:$F$35</c:f>
              <c:numCache>
                <c:formatCode>0</c:formatCode>
                <c:ptCount val="24"/>
                <c:pt idx="0">
                  <c:v>565.72166666666669</c:v>
                </c:pt>
                <c:pt idx="1">
                  <c:v>564.97500000000002</c:v>
                </c:pt>
                <c:pt idx="2">
                  <c:v>564.66999999999996</c:v>
                </c:pt>
                <c:pt idx="3">
                  <c:v>564.88499999999999</c:v>
                </c:pt>
                <c:pt idx="4">
                  <c:v>564.69833333333338</c:v>
                </c:pt>
                <c:pt idx="5">
                  <c:v>564.9616666666667</c:v>
                </c:pt>
                <c:pt idx="6">
                  <c:v>565.16166666666675</c:v>
                </c:pt>
                <c:pt idx="7">
                  <c:v>565.75666666666666</c:v>
                </c:pt>
                <c:pt idx="8">
                  <c:v>566.19500000000005</c:v>
                </c:pt>
                <c:pt idx="9">
                  <c:v>566.43999999999994</c:v>
                </c:pt>
                <c:pt idx="10">
                  <c:v>566.40333333333331</c:v>
                </c:pt>
                <c:pt idx="11">
                  <c:v>565.51499999999999</c:v>
                </c:pt>
                <c:pt idx="12">
                  <c:v>565.12833333333322</c:v>
                </c:pt>
                <c:pt idx="13">
                  <c:v>564.36999999999989</c:v>
                </c:pt>
                <c:pt idx="14">
                  <c:v>563.80166666666673</c:v>
                </c:pt>
                <c:pt idx="15">
                  <c:v>563.62</c:v>
                </c:pt>
                <c:pt idx="16">
                  <c:v>563.1049999999999</c:v>
                </c:pt>
                <c:pt idx="17">
                  <c:v>563.66166666666663</c:v>
                </c:pt>
                <c:pt idx="18">
                  <c:v>564.08333333333337</c:v>
                </c:pt>
                <c:pt idx="19">
                  <c:v>564.99333333333334</c:v>
                </c:pt>
                <c:pt idx="20">
                  <c:v>565.37666666666667</c:v>
                </c:pt>
                <c:pt idx="21">
                  <c:v>565.72166666666669</c:v>
                </c:pt>
                <c:pt idx="22">
                  <c:v>565.96500000000003</c:v>
                </c:pt>
                <c:pt idx="23">
                  <c:v>565.83333333333337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A5-4EE1-8DAE-274457E9DF78}"/>
            </c:ext>
          </c:extLst>
        </c:ser>
        <c:ser>
          <c:idx val="1"/>
          <c:order val="1"/>
          <c:tx>
            <c:strRef>
              <c:f>'240203'!$N$11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'240203'!$N$12:$N$35</c:f>
              <c:numCache>
                <c:formatCode>0</c:formatCode>
                <c:ptCount val="24"/>
                <c:pt idx="0">
                  <c:v>565.41666666666663</c:v>
                </c:pt>
                <c:pt idx="1">
                  <c:v>564.81666666666661</c:v>
                </c:pt>
                <c:pt idx="2">
                  <c:v>564.51666666666677</c:v>
                </c:pt>
                <c:pt idx="3">
                  <c:v>564.2166666666667</c:v>
                </c:pt>
                <c:pt idx="4">
                  <c:v>564.5333333333333</c:v>
                </c:pt>
                <c:pt idx="5">
                  <c:v>564.48333333333323</c:v>
                </c:pt>
                <c:pt idx="6">
                  <c:v>564.83333333333337</c:v>
                </c:pt>
                <c:pt idx="7">
                  <c:v>565.25</c:v>
                </c:pt>
                <c:pt idx="8">
                  <c:v>565.85</c:v>
                </c:pt>
                <c:pt idx="9">
                  <c:v>565.93333333333339</c:v>
                </c:pt>
                <c:pt idx="10">
                  <c:v>565.75</c:v>
                </c:pt>
                <c:pt idx="11">
                  <c:v>565.01666666666677</c:v>
                </c:pt>
                <c:pt idx="12">
                  <c:v>564.61666666666667</c:v>
                </c:pt>
                <c:pt idx="13">
                  <c:v>563.88333333333333</c:v>
                </c:pt>
                <c:pt idx="14">
                  <c:v>563.28333333333342</c:v>
                </c:pt>
                <c:pt idx="15">
                  <c:v>562.9666666666667</c:v>
                </c:pt>
                <c:pt idx="16">
                  <c:v>562.93333333333328</c:v>
                </c:pt>
                <c:pt idx="17">
                  <c:v>563.33333333333337</c:v>
                </c:pt>
                <c:pt idx="18">
                  <c:v>563.91666666666663</c:v>
                </c:pt>
                <c:pt idx="19">
                  <c:v>564.51666666666654</c:v>
                </c:pt>
                <c:pt idx="20">
                  <c:v>565.04999999999984</c:v>
                </c:pt>
                <c:pt idx="21">
                  <c:v>565.06666666666672</c:v>
                </c:pt>
                <c:pt idx="22">
                  <c:v>565.30000000000007</c:v>
                </c:pt>
                <c:pt idx="23">
                  <c:v>565.16666666666663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A5-4EE1-8DAE-274457E9D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517728"/>
        <c:axId val="1280515232"/>
      </c:lineChart>
      <c:catAx>
        <c:axId val="1280517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5232"/>
        <c:crosses val="autoZero"/>
        <c:auto val="1"/>
        <c:lblAlgn val="ctr"/>
        <c:lblOffset val="100"/>
        <c:noMultiLvlLbl val="0"/>
      </c:catAx>
      <c:valAx>
        <c:axId val="128051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8051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'240203'!$K$11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'240203'!$K$12:$K$35</c:f>
              <c:numCache>
                <c:formatCode>0</c:formatCode>
                <c:ptCount val="24"/>
                <c:pt idx="0">
                  <c:v>0</c:v>
                </c:pt>
                <c:pt idx="1">
                  <c:v>0.4</c:v>
                </c:pt>
                <c:pt idx="2">
                  <c:v>0</c:v>
                </c:pt>
                <c:pt idx="3">
                  <c:v>0.4</c:v>
                </c:pt>
                <c:pt idx="4">
                  <c:v>0.4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0.60000000000000009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14-464E-86B0-64F9CF048CA8}"/>
            </c:ext>
          </c:extLst>
        </c:ser>
        <c:ser>
          <c:idx val="1"/>
          <c:order val="1"/>
          <c:tx>
            <c:strRef>
              <c:f>'240203'!$S$11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'240203'!$S$12:$S$34</c:f>
              <c:numCache>
                <c:formatCode>0</c:formatCode>
                <c:ptCount val="23"/>
                <c:pt idx="0">
                  <c:v>0</c:v>
                </c:pt>
                <c:pt idx="1">
                  <c:v>0.4</c:v>
                </c:pt>
                <c:pt idx="2">
                  <c:v>0</c:v>
                </c:pt>
                <c:pt idx="3">
                  <c:v>0.4</c:v>
                </c:pt>
                <c:pt idx="4">
                  <c:v>0.4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0.60000000000000009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14-464E-86B0-64F9CF048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819088"/>
        <c:axId val="226799120"/>
      </c:lineChart>
      <c:catAx>
        <c:axId val="226819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799120"/>
        <c:crosses val="autoZero"/>
        <c:auto val="1"/>
        <c:lblAlgn val="ctr"/>
        <c:lblOffset val="100"/>
        <c:noMultiLvlLbl val="0"/>
      </c:catAx>
      <c:valAx>
        <c:axId val="2267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2681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'240803'!$D$11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'240803'!$D$12:$D$35</c:f>
              <c:numCache>
                <c:formatCode>0</c:formatCode>
                <c:ptCount val="24"/>
                <c:pt idx="0">
                  <c:v>12.964999999999998</c:v>
                </c:pt>
                <c:pt idx="1">
                  <c:v>12.825000000000001</c:v>
                </c:pt>
                <c:pt idx="2">
                  <c:v>12.660000000000002</c:v>
                </c:pt>
                <c:pt idx="3">
                  <c:v>12.555</c:v>
                </c:pt>
                <c:pt idx="4">
                  <c:v>12.244999999999999</c:v>
                </c:pt>
                <c:pt idx="5">
                  <c:v>12.204999999999998</c:v>
                </c:pt>
                <c:pt idx="6">
                  <c:v>12.08333333333333</c:v>
                </c:pt>
                <c:pt idx="7">
                  <c:v>13.881666666666666</c:v>
                </c:pt>
                <c:pt idx="8">
                  <c:v>15.391666666666666</c:v>
                </c:pt>
                <c:pt idx="9">
                  <c:v>16.658333333333335</c:v>
                </c:pt>
                <c:pt idx="10">
                  <c:v>17.736666666666665</c:v>
                </c:pt>
                <c:pt idx="11">
                  <c:v>18.239999999999998</c:v>
                </c:pt>
                <c:pt idx="12">
                  <c:v>18.751666666666669</c:v>
                </c:pt>
                <c:pt idx="13">
                  <c:v>18.798333333333336</c:v>
                </c:pt>
                <c:pt idx="14">
                  <c:v>18.268333333333334</c:v>
                </c:pt>
                <c:pt idx="15">
                  <c:v>18.108333333333331</c:v>
                </c:pt>
                <c:pt idx="16">
                  <c:v>17.875</c:v>
                </c:pt>
                <c:pt idx="17">
                  <c:v>17.716666666666669</c:v>
                </c:pt>
                <c:pt idx="18">
                  <c:v>16.495000000000001</c:v>
                </c:pt>
                <c:pt idx="19">
                  <c:v>15.595000000000001</c:v>
                </c:pt>
                <c:pt idx="20">
                  <c:v>14.956666666666669</c:v>
                </c:pt>
                <c:pt idx="21">
                  <c:v>15.340000000000002</c:v>
                </c:pt>
                <c:pt idx="22">
                  <c:v>14.959999999999999</c:v>
                </c:pt>
                <c:pt idx="23">
                  <c:v>14.12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96-4C21-ABF8-5E99EF704EE4}"/>
            </c:ext>
          </c:extLst>
        </c:ser>
        <c:ser>
          <c:idx val="1"/>
          <c:order val="1"/>
          <c:tx>
            <c:strRef>
              <c:f>'240803'!$L$11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'240803'!$L$12:$L$35</c:f>
              <c:numCache>
                <c:formatCode>0</c:formatCode>
                <c:ptCount val="24"/>
                <c:pt idx="0">
                  <c:v>13.216666666666667</c:v>
                </c:pt>
                <c:pt idx="1">
                  <c:v>13.066666666666668</c:v>
                </c:pt>
                <c:pt idx="2">
                  <c:v>12.916666666666666</c:v>
                </c:pt>
                <c:pt idx="3">
                  <c:v>12.816666666666668</c:v>
                </c:pt>
                <c:pt idx="4">
                  <c:v>12.5</c:v>
                </c:pt>
                <c:pt idx="5">
                  <c:v>12.466666666666667</c:v>
                </c:pt>
                <c:pt idx="6">
                  <c:v>12.316666666666665</c:v>
                </c:pt>
                <c:pt idx="7">
                  <c:v>14.166666666666666</c:v>
                </c:pt>
                <c:pt idx="8">
                  <c:v>15.716666666666667</c:v>
                </c:pt>
                <c:pt idx="9">
                  <c:v>17.016666666666669</c:v>
                </c:pt>
                <c:pt idx="10">
                  <c:v>18.099999999999998</c:v>
                </c:pt>
                <c:pt idx="11">
                  <c:v>18.616666666666667</c:v>
                </c:pt>
                <c:pt idx="12">
                  <c:v>19.133333333333336</c:v>
                </c:pt>
                <c:pt idx="13">
                  <c:v>19.2</c:v>
                </c:pt>
                <c:pt idx="14">
                  <c:v>18.650000000000002</c:v>
                </c:pt>
                <c:pt idx="15">
                  <c:v>18.5</c:v>
                </c:pt>
                <c:pt idx="16">
                  <c:v>18.266666666666666</c:v>
                </c:pt>
                <c:pt idx="17">
                  <c:v>18.083333333333332</c:v>
                </c:pt>
                <c:pt idx="18">
                  <c:v>16.816666666666666</c:v>
                </c:pt>
                <c:pt idx="19">
                  <c:v>15.916666666666666</c:v>
                </c:pt>
                <c:pt idx="20">
                  <c:v>15.266666666666667</c:v>
                </c:pt>
                <c:pt idx="21">
                  <c:v>15.65</c:v>
                </c:pt>
                <c:pt idx="22">
                  <c:v>15.266666666666666</c:v>
                </c:pt>
                <c:pt idx="23">
                  <c:v>14.433333333333335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96-4C21-ABF8-5E99EF704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4576"/>
        <c:axId val="762468928"/>
      </c:lineChart>
      <c:catAx>
        <c:axId val="76246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8928"/>
        <c:crosses val="autoZero"/>
        <c:auto val="1"/>
        <c:lblAlgn val="ctr"/>
        <c:lblOffset val="100"/>
        <c:noMultiLvlLbl val="0"/>
      </c:catAx>
      <c:valAx>
        <c:axId val="7624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'240803'!$E$11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'240803'!$E$12:$E$35</c:f>
              <c:numCache>
                <c:formatCode>0</c:formatCode>
                <c:ptCount val="24"/>
                <c:pt idx="0">
                  <c:v>76.528333333333336</c:v>
                </c:pt>
                <c:pt idx="1">
                  <c:v>76.444999999999993</c:v>
                </c:pt>
                <c:pt idx="2">
                  <c:v>76.048333333333332</c:v>
                </c:pt>
                <c:pt idx="3">
                  <c:v>76.106666666666669</c:v>
                </c:pt>
                <c:pt idx="4">
                  <c:v>77.598333333333315</c:v>
                </c:pt>
                <c:pt idx="5">
                  <c:v>76.986666666666665</c:v>
                </c:pt>
                <c:pt idx="6">
                  <c:v>77.150000000000006</c:v>
                </c:pt>
                <c:pt idx="7">
                  <c:v>68.265000000000001</c:v>
                </c:pt>
                <c:pt idx="8">
                  <c:v>59.125</c:v>
                </c:pt>
                <c:pt idx="9">
                  <c:v>50.271666666666668</c:v>
                </c:pt>
                <c:pt idx="10">
                  <c:v>41.096666666666664</c:v>
                </c:pt>
                <c:pt idx="11">
                  <c:v>41.5</c:v>
                </c:pt>
                <c:pt idx="12">
                  <c:v>41.751666666666672</c:v>
                </c:pt>
                <c:pt idx="13">
                  <c:v>42.873333333333335</c:v>
                </c:pt>
                <c:pt idx="14">
                  <c:v>45.854999999999997</c:v>
                </c:pt>
                <c:pt idx="15">
                  <c:v>46.861666666666672</c:v>
                </c:pt>
                <c:pt idx="16">
                  <c:v>47.544999999999995</c:v>
                </c:pt>
                <c:pt idx="17">
                  <c:v>46.063333333333333</c:v>
                </c:pt>
                <c:pt idx="18">
                  <c:v>63.301666666666669</c:v>
                </c:pt>
                <c:pt idx="19">
                  <c:v>65.341666666666654</c:v>
                </c:pt>
                <c:pt idx="20">
                  <c:v>64.293333333333322</c:v>
                </c:pt>
                <c:pt idx="21">
                  <c:v>62.234999999999992</c:v>
                </c:pt>
                <c:pt idx="22">
                  <c:v>64.964999999999989</c:v>
                </c:pt>
                <c:pt idx="23">
                  <c:v>69.2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63-454D-B282-90EAA6F625AA}"/>
            </c:ext>
          </c:extLst>
        </c:ser>
        <c:ser>
          <c:idx val="1"/>
          <c:order val="1"/>
          <c:tx>
            <c:strRef>
              <c:f>'240803'!$M$11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'240803'!$M$12:$M$35</c:f>
              <c:numCache>
                <c:formatCode>0</c:formatCode>
                <c:ptCount val="24"/>
                <c:pt idx="0">
                  <c:v>74.3</c:v>
                </c:pt>
                <c:pt idx="1">
                  <c:v>74.233333333333334</c:v>
                </c:pt>
                <c:pt idx="2">
                  <c:v>73.833333333333329</c:v>
                </c:pt>
                <c:pt idx="3">
                  <c:v>73.866666666666674</c:v>
                </c:pt>
                <c:pt idx="4">
                  <c:v>75.333333333333329</c:v>
                </c:pt>
                <c:pt idx="5">
                  <c:v>74.733333333333334</c:v>
                </c:pt>
                <c:pt idx="6">
                  <c:v>74.900000000000006</c:v>
                </c:pt>
                <c:pt idx="7">
                  <c:v>66.283333333333331</c:v>
                </c:pt>
                <c:pt idx="8">
                  <c:v>57.416666666666664</c:v>
                </c:pt>
                <c:pt idx="9">
                  <c:v>48.81666666666667</c:v>
                </c:pt>
                <c:pt idx="10">
                  <c:v>39.916666666666664</c:v>
                </c:pt>
                <c:pt idx="11">
                  <c:v>40.299999999999997</c:v>
                </c:pt>
                <c:pt idx="12">
                  <c:v>40.516666666666673</c:v>
                </c:pt>
                <c:pt idx="13">
                  <c:v>41.616666666666667</c:v>
                </c:pt>
                <c:pt idx="14">
                  <c:v>44.516666666666673</c:v>
                </c:pt>
                <c:pt idx="15">
                  <c:v>45.483333333333327</c:v>
                </c:pt>
                <c:pt idx="16">
                  <c:v>46.166666666666664</c:v>
                </c:pt>
                <c:pt idx="17">
                  <c:v>44.716666666666669</c:v>
                </c:pt>
                <c:pt idx="18">
                  <c:v>61.449999999999996</c:v>
                </c:pt>
                <c:pt idx="19">
                  <c:v>63.449999999999996</c:v>
                </c:pt>
                <c:pt idx="20">
                  <c:v>62.433333333333337</c:v>
                </c:pt>
                <c:pt idx="21">
                  <c:v>60.416666666666664</c:v>
                </c:pt>
                <c:pt idx="22">
                  <c:v>63.066666666666663</c:v>
                </c:pt>
                <c:pt idx="23">
                  <c:v>67.2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63-454D-B282-90EAA6F62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59680"/>
        <c:axId val="762462944"/>
      </c:lineChart>
      <c:catAx>
        <c:axId val="762459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2944"/>
        <c:crosses val="autoZero"/>
        <c:auto val="1"/>
        <c:lblAlgn val="ctr"/>
        <c:lblOffset val="100"/>
        <c:noMultiLvlLbl val="0"/>
      </c:catAx>
      <c:valAx>
        <c:axId val="76246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5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'240803'!$G$11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'240803'!$G$12:$G$35</c:f>
              <c:numCache>
                <c:formatCode>0</c:formatCode>
                <c:ptCount val="24"/>
                <c:pt idx="0">
                  <c:v>292.5</c:v>
                </c:pt>
                <c:pt idx="1">
                  <c:v>0</c:v>
                </c:pt>
                <c:pt idx="2">
                  <c:v>337.5</c:v>
                </c:pt>
                <c:pt idx="3">
                  <c:v>337.5</c:v>
                </c:pt>
                <c:pt idx="4">
                  <c:v>0</c:v>
                </c:pt>
                <c:pt idx="5">
                  <c:v>0</c:v>
                </c:pt>
                <c:pt idx="6">
                  <c:v>315</c:v>
                </c:pt>
                <c:pt idx="7">
                  <c:v>67.5</c:v>
                </c:pt>
                <c:pt idx="8">
                  <c:v>90</c:v>
                </c:pt>
                <c:pt idx="9">
                  <c:v>22.5</c:v>
                </c:pt>
                <c:pt idx="10">
                  <c:v>112.5</c:v>
                </c:pt>
                <c:pt idx="11">
                  <c:v>135</c:v>
                </c:pt>
                <c:pt idx="12">
                  <c:v>67.5</c:v>
                </c:pt>
                <c:pt idx="13">
                  <c:v>45</c:v>
                </c:pt>
                <c:pt idx="14">
                  <c:v>67.5</c:v>
                </c:pt>
                <c:pt idx="15">
                  <c:v>90</c:v>
                </c:pt>
                <c:pt idx="16">
                  <c:v>135</c:v>
                </c:pt>
                <c:pt idx="17">
                  <c:v>157.5</c:v>
                </c:pt>
                <c:pt idx="18">
                  <c:v>225</c:v>
                </c:pt>
                <c:pt idx="19">
                  <c:v>270</c:v>
                </c:pt>
                <c:pt idx="20">
                  <c:v>315</c:v>
                </c:pt>
                <c:pt idx="21">
                  <c:v>315</c:v>
                </c:pt>
                <c:pt idx="22">
                  <c:v>67.5</c:v>
                </c:pt>
                <c:pt idx="23">
                  <c:v>292.5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C-4F3E-8552-4B5155656F3A}"/>
            </c:ext>
          </c:extLst>
        </c:ser>
        <c:ser>
          <c:idx val="1"/>
          <c:order val="1"/>
          <c:tx>
            <c:strRef>
              <c:f>'240803'!$O$11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'240803'!$O$12:$O$35</c:f>
              <c:numCache>
                <c:formatCode>0</c:formatCode>
                <c:ptCount val="24"/>
                <c:pt idx="0">
                  <c:v>292.5</c:v>
                </c:pt>
                <c:pt idx="1">
                  <c:v>0</c:v>
                </c:pt>
                <c:pt idx="2">
                  <c:v>337.5</c:v>
                </c:pt>
                <c:pt idx="3">
                  <c:v>337.5</c:v>
                </c:pt>
                <c:pt idx="4">
                  <c:v>0</c:v>
                </c:pt>
                <c:pt idx="5">
                  <c:v>0</c:v>
                </c:pt>
                <c:pt idx="6">
                  <c:v>315</c:v>
                </c:pt>
                <c:pt idx="7">
                  <c:v>67.5</c:v>
                </c:pt>
                <c:pt idx="8">
                  <c:v>90</c:v>
                </c:pt>
                <c:pt idx="9">
                  <c:v>22.5</c:v>
                </c:pt>
                <c:pt idx="10">
                  <c:v>112.5</c:v>
                </c:pt>
                <c:pt idx="11">
                  <c:v>112.5</c:v>
                </c:pt>
                <c:pt idx="12">
                  <c:v>67.5</c:v>
                </c:pt>
                <c:pt idx="13">
                  <c:v>45</c:v>
                </c:pt>
                <c:pt idx="14">
                  <c:v>67.5</c:v>
                </c:pt>
                <c:pt idx="15">
                  <c:v>90</c:v>
                </c:pt>
                <c:pt idx="16">
                  <c:v>135</c:v>
                </c:pt>
                <c:pt idx="17">
                  <c:v>157.5</c:v>
                </c:pt>
                <c:pt idx="18">
                  <c:v>225</c:v>
                </c:pt>
                <c:pt idx="19">
                  <c:v>270</c:v>
                </c:pt>
                <c:pt idx="20">
                  <c:v>292.5</c:v>
                </c:pt>
                <c:pt idx="21">
                  <c:v>315</c:v>
                </c:pt>
                <c:pt idx="22">
                  <c:v>45</c:v>
                </c:pt>
                <c:pt idx="23">
                  <c:v>292.5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C-4F3E-8552-4B5155656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7296"/>
        <c:axId val="762460768"/>
      </c:lineChart>
      <c:catAx>
        <c:axId val="762467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0768"/>
        <c:crosses val="autoZero"/>
        <c:auto val="1"/>
        <c:lblAlgn val="ctr"/>
        <c:lblOffset val="100"/>
        <c:noMultiLvlLbl val="0"/>
      </c:catAx>
      <c:valAx>
        <c:axId val="76246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'240803'!$H$11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'240803'!$H$12:$H$35</c:f>
              <c:numCache>
                <c:formatCode>0</c:formatCode>
                <c:ptCount val="24"/>
                <c:pt idx="0">
                  <c:v>2</c:v>
                </c:pt>
                <c:pt idx="1">
                  <c:v>1.9516666666666664</c:v>
                </c:pt>
                <c:pt idx="2">
                  <c:v>1.3766666666666667</c:v>
                </c:pt>
                <c:pt idx="3">
                  <c:v>2.1466666666666669</c:v>
                </c:pt>
                <c:pt idx="4">
                  <c:v>1.58</c:v>
                </c:pt>
                <c:pt idx="5">
                  <c:v>1.9516666666666669</c:v>
                </c:pt>
                <c:pt idx="6">
                  <c:v>1.0683333333333334</c:v>
                </c:pt>
                <c:pt idx="7">
                  <c:v>1.4716666666666667</c:v>
                </c:pt>
                <c:pt idx="8">
                  <c:v>1.37</c:v>
                </c:pt>
                <c:pt idx="9">
                  <c:v>2.2216666666666667</c:v>
                </c:pt>
                <c:pt idx="10">
                  <c:v>3.4333333333333331</c:v>
                </c:pt>
                <c:pt idx="11">
                  <c:v>3.5916666666666668</c:v>
                </c:pt>
                <c:pt idx="12">
                  <c:v>4.2366666666666672</c:v>
                </c:pt>
                <c:pt idx="13">
                  <c:v>4.0916666666666677</c:v>
                </c:pt>
                <c:pt idx="14">
                  <c:v>4.2633333333333328</c:v>
                </c:pt>
                <c:pt idx="15">
                  <c:v>4.4566666666666661</c:v>
                </c:pt>
                <c:pt idx="16">
                  <c:v>3.3383333333333329</c:v>
                </c:pt>
                <c:pt idx="17">
                  <c:v>3.1066666666666669</c:v>
                </c:pt>
                <c:pt idx="18">
                  <c:v>2.3233333333333333</c:v>
                </c:pt>
                <c:pt idx="19">
                  <c:v>2.7166666666666668</c:v>
                </c:pt>
                <c:pt idx="20">
                  <c:v>2.4300000000000002</c:v>
                </c:pt>
                <c:pt idx="21">
                  <c:v>1.72</c:v>
                </c:pt>
                <c:pt idx="22">
                  <c:v>0.75499999999999989</c:v>
                </c:pt>
                <c:pt idx="23">
                  <c:v>0.93666666666666665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3E-4EDB-A043-B7FA35A9C801}"/>
            </c:ext>
          </c:extLst>
        </c:ser>
        <c:ser>
          <c:idx val="1"/>
          <c:order val="1"/>
          <c:tx>
            <c:strRef>
              <c:f>'240803'!$P$11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'240803'!$P$12:$P$35</c:f>
              <c:numCache>
                <c:formatCode>0</c:formatCode>
                <c:ptCount val="24"/>
                <c:pt idx="0">
                  <c:v>1.6833333333333336</c:v>
                </c:pt>
                <c:pt idx="1">
                  <c:v>1.45</c:v>
                </c:pt>
                <c:pt idx="2">
                  <c:v>1.05</c:v>
                </c:pt>
                <c:pt idx="3">
                  <c:v>1.4666666666666668</c:v>
                </c:pt>
                <c:pt idx="4">
                  <c:v>1.0833333333333333</c:v>
                </c:pt>
                <c:pt idx="5">
                  <c:v>1.2833333333333334</c:v>
                </c:pt>
                <c:pt idx="6">
                  <c:v>0.73333333333333328</c:v>
                </c:pt>
                <c:pt idx="7">
                  <c:v>0.81666666666666676</c:v>
                </c:pt>
                <c:pt idx="8">
                  <c:v>1.0333333333333334</c:v>
                </c:pt>
                <c:pt idx="9">
                  <c:v>1.5666666666666667</c:v>
                </c:pt>
                <c:pt idx="10">
                  <c:v>2.7833333333333332</c:v>
                </c:pt>
                <c:pt idx="11">
                  <c:v>3.2666666666666671</c:v>
                </c:pt>
                <c:pt idx="12">
                  <c:v>3.5833333333333339</c:v>
                </c:pt>
                <c:pt idx="13">
                  <c:v>3.2666666666666662</c:v>
                </c:pt>
                <c:pt idx="14">
                  <c:v>3.5833333333333335</c:v>
                </c:pt>
                <c:pt idx="15">
                  <c:v>3.6333333333333333</c:v>
                </c:pt>
                <c:pt idx="16">
                  <c:v>3.0166666666666671</c:v>
                </c:pt>
                <c:pt idx="17">
                  <c:v>2.4333333333333331</c:v>
                </c:pt>
                <c:pt idx="18">
                  <c:v>1.8500000000000003</c:v>
                </c:pt>
                <c:pt idx="19">
                  <c:v>2.4</c:v>
                </c:pt>
                <c:pt idx="20">
                  <c:v>1.9333333333333333</c:v>
                </c:pt>
                <c:pt idx="21">
                  <c:v>0.76666666666666672</c:v>
                </c:pt>
                <c:pt idx="22">
                  <c:v>0.58333333333333337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3E-4EDB-A043-B7FA35A9C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7840"/>
        <c:axId val="762469472"/>
      </c:lineChart>
      <c:catAx>
        <c:axId val="76246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9472"/>
        <c:crosses val="autoZero"/>
        <c:auto val="1"/>
        <c:lblAlgn val="ctr"/>
        <c:lblOffset val="100"/>
        <c:noMultiLvlLbl val="0"/>
      </c:catAx>
      <c:valAx>
        <c:axId val="7624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'240803'!$J$11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'240803'!$J$12:$J$35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F7-4888-BE39-0A376D3DC8AF}"/>
            </c:ext>
          </c:extLst>
        </c:ser>
        <c:ser>
          <c:idx val="1"/>
          <c:order val="1"/>
          <c:tx>
            <c:strRef>
              <c:f>'240803'!$R$11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'240803'!$R$12:$R$35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F7-4888-BE39-0A376D3DC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70560"/>
        <c:axId val="762471648"/>
      </c:lineChart>
      <c:catAx>
        <c:axId val="762470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71648"/>
        <c:crosses val="autoZero"/>
        <c:auto val="1"/>
        <c:lblAlgn val="ctr"/>
        <c:lblOffset val="100"/>
        <c:noMultiLvlLbl val="0"/>
      </c:catAx>
      <c:valAx>
        <c:axId val="76247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7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'240803'!$F$11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'240803'!$F$12:$F$35</c:f>
              <c:numCache>
                <c:formatCode>0</c:formatCode>
                <c:ptCount val="24"/>
                <c:pt idx="0">
                  <c:v>569.53000000000009</c:v>
                </c:pt>
                <c:pt idx="1">
                  <c:v>569.00833333333333</c:v>
                </c:pt>
                <c:pt idx="2">
                  <c:v>568.09</c:v>
                </c:pt>
                <c:pt idx="3">
                  <c:v>568.28333333333342</c:v>
                </c:pt>
                <c:pt idx="4">
                  <c:v>568.12666666666667</c:v>
                </c:pt>
                <c:pt idx="5">
                  <c:v>568.48833333333346</c:v>
                </c:pt>
                <c:pt idx="6">
                  <c:v>568.70833333333337</c:v>
                </c:pt>
                <c:pt idx="7">
                  <c:v>568.86500000000012</c:v>
                </c:pt>
                <c:pt idx="8">
                  <c:v>568.70500000000004</c:v>
                </c:pt>
                <c:pt idx="9">
                  <c:v>568.57666666666671</c:v>
                </c:pt>
                <c:pt idx="10">
                  <c:v>568.1450000000001</c:v>
                </c:pt>
                <c:pt idx="11">
                  <c:v>567.75166666666667</c:v>
                </c:pt>
                <c:pt idx="12">
                  <c:v>567.49666666666667</c:v>
                </c:pt>
                <c:pt idx="13">
                  <c:v>566.89</c:v>
                </c:pt>
                <c:pt idx="14">
                  <c:v>566.45666666666659</c:v>
                </c:pt>
                <c:pt idx="15">
                  <c:v>565.58333333333337</c:v>
                </c:pt>
                <c:pt idx="16">
                  <c:v>565.5200000000001</c:v>
                </c:pt>
                <c:pt idx="17">
                  <c:v>565.17000000000007</c:v>
                </c:pt>
                <c:pt idx="18">
                  <c:v>566.32999999999993</c:v>
                </c:pt>
                <c:pt idx="19">
                  <c:v>566.57833333333338</c:v>
                </c:pt>
                <c:pt idx="20">
                  <c:v>567.2299999999999</c:v>
                </c:pt>
                <c:pt idx="21">
                  <c:v>567.24</c:v>
                </c:pt>
                <c:pt idx="22">
                  <c:v>567.93333333333339</c:v>
                </c:pt>
                <c:pt idx="23">
                  <c:v>567.63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D4-4DE0-B653-D5E68A53BAD1}"/>
            </c:ext>
          </c:extLst>
        </c:ser>
        <c:ser>
          <c:idx val="1"/>
          <c:order val="1"/>
          <c:tx>
            <c:strRef>
              <c:f>'240803'!$N$11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'240803'!$N$12:$N$35</c:f>
              <c:numCache>
                <c:formatCode>0</c:formatCode>
                <c:ptCount val="24"/>
                <c:pt idx="0">
                  <c:v>568.86666666666667</c:v>
                </c:pt>
                <c:pt idx="1">
                  <c:v>568.16666666666663</c:v>
                </c:pt>
                <c:pt idx="2">
                  <c:v>567.74999999999989</c:v>
                </c:pt>
                <c:pt idx="3">
                  <c:v>567.48333333333335</c:v>
                </c:pt>
                <c:pt idx="4">
                  <c:v>567.44999999999993</c:v>
                </c:pt>
                <c:pt idx="5">
                  <c:v>568.15000000000009</c:v>
                </c:pt>
                <c:pt idx="6">
                  <c:v>568.4</c:v>
                </c:pt>
                <c:pt idx="7">
                  <c:v>568.36666666666656</c:v>
                </c:pt>
                <c:pt idx="8">
                  <c:v>568.0333333333333</c:v>
                </c:pt>
                <c:pt idx="9">
                  <c:v>568.1</c:v>
                </c:pt>
                <c:pt idx="10">
                  <c:v>567.83333333333326</c:v>
                </c:pt>
                <c:pt idx="11">
                  <c:v>567.25</c:v>
                </c:pt>
                <c:pt idx="12">
                  <c:v>566.83333333333326</c:v>
                </c:pt>
                <c:pt idx="13">
                  <c:v>566.2166666666667</c:v>
                </c:pt>
                <c:pt idx="14">
                  <c:v>565.61666666666667</c:v>
                </c:pt>
                <c:pt idx="15">
                  <c:v>565.26666666666677</c:v>
                </c:pt>
                <c:pt idx="16">
                  <c:v>564.85</c:v>
                </c:pt>
                <c:pt idx="17">
                  <c:v>565.01666666666665</c:v>
                </c:pt>
                <c:pt idx="18">
                  <c:v>565.68333333333339</c:v>
                </c:pt>
                <c:pt idx="19">
                  <c:v>566.25000000000011</c:v>
                </c:pt>
                <c:pt idx="20">
                  <c:v>566.75000000000011</c:v>
                </c:pt>
                <c:pt idx="21">
                  <c:v>567.08333333333337</c:v>
                </c:pt>
                <c:pt idx="22">
                  <c:v>567.46666666666658</c:v>
                </c:pt>
                <c:pt idx="23">
                  <c:v>567.30000000000007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D4-4DE0-B653-D5E68A53B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58048"/>
        <c:axId val="853779168"/>
      </c:lineChart>
      <c:catAx>
        <c:axId val="762458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9168"/>
        <c:crosses val="autoZero"/>
        <c:auto val="1"/>
        <c:lblAlgn val="ctr"/>
        <c:lblOffset val="100"/>
        <c:noMultiLvlLbl val="0"/>
      </c:catAx>
      <c:valAx>
        <c:axId val="85377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5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'240803'!$K$11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'240803'!$K$12:$K$35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2-4B4B-9CD9-FBADE6108414}"/>
            </c:ext>
          </c:extLst>
        </c:ser>
        <c:ser>
          <c:idx val="1"/>
          <c:order val="1"/>
          <c:tx>
            <c:strRef>
              <c:f>'240803'!$S$11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'240803'!$S$12:$S$35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72-4B4B-9CD9-FBADE6108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3773184"/>
        <c:axId val="853775360"/>
      </c:lineChart>
      <c:catAx>
        <c:axId val="853773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5360"/>
        <c:crosses val="autoZero"/>
        <c:auto val="1"/>
        <c:lblAlgn val="ctr"/>
        <c:lblOffset val="100"/>
        <c:noMultiLvlLbl val="0"/>
      </c:catAx>
      <c:valAx>
        <c:axId val="85377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</a:t>
            </a:r>
            <a:r>
              <a:rPr lang="es-419" baseline="0"/>
              <a:t> Rad.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'240803'!$I$11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'240803'!$I$12:$I$35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66.533333333333331</c:v>
                </c:pt>
                <c:pt idx="7">
                  <c:v>236.79166666666666</c:v>
                </c:pt>
                <c:pt idx="8">
                  <c:v>381.79166666666669</c:v>
                </c:pt>
                <c:pt idx="9">
                  <c:v>501.49499999999989</c:v>
                </c:pt>
                <c:pt idx="10">
                  <c:v>596.16333333333341</c:v>
                </c:pt>
                <c:pt idx="11">
                  <c:v>605.75500000000011</c:v>
                </c:pt>
                <c:pt idx="12">
                  <c:v>778.86666666666667</c:v>
                </c:pt>
                <c:pt idx="13">
                  <c:v>344.81166666666667</c:v>
                </c:pt>
                <c:pt idx="14">
                  <c:v>278.08833333333331</c:v>
                </c:pt>
                <c:pt idx="15">
                  <c:v>464.95833333333331</c:v>
                </c:pt>
                <c:pt idx="16">
                  <c:v>90.605000000000004</c:v>
                </c:pt>
                <c:pt idx="17">
                  <c:v>94.44</c:v>
                </c:pt>
                <c:pt idx="18">
                  <c:v>15.535000000000002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B9-4230-8D98-B503BA317C88}"/>
            </c:ext>
          </c:extLst>
        </c:ser>
        <c:ser>
          <c:idx val="1"/>
          <c:order val="1"/>
          <c:tx>
            <c:strRef>
              <c:f>'240803'!$Q$11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'240803'!$Q$12:$Q$35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30.016666666666666</c:v>
                </c:pt>
                <c:pt idx="7">
                  <c:v>179.13333333333333</c:v>
                </c:pt>
                <c:pt idx="8">
                  <c:v>327.4666666666667</c:v>
                </c:pt>
                <c:pt idx="9">
                  <c:v>474.35000000000008</c:v>
                </c:pt>
                <c:pt idx="10">
                  <c:v>545.80000000000007</c:v>
                </c:pt>
                <c:pt idx="11">
                  <c:v>569.93333333333328</c:v>
                </c:pt>
                <c:pt idx="12">
                  <c:v>738.18333333333339</c:v>
                </c:pt>
                <c:pt idx="13">
                  <c:v>301.48333333333335</c:v>
                </c:pt>
                <c:pt idx="14">
                  <c:v>238.26666666666665</c:v>
                </c:pt>
                <c:pt idx="15">
                  <c:v>435.61666666666662</c:v>
                </c:pt>
                <c:pt idx="16">
                  <c:v>48.283333333333339</c:v>
                </c:pt>
                <c:pt idx="17">
                  <c:v>57.766666666666659</c:v>
                </c:pt>
                <c:pt idx="18">
                  <c:v>3.1999999999999997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B9-4230-8D98-B503BA317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3776992"/>
        <c:axId val="853771008"/>
      </c:lineChart>
      <c:catAx>
        <c:axId val="853776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1008"/>
        <c:crosses val="autoZero"/>
        <c:auto val="1"/>
        <c:lblAlgn val="ctr"/>
        <c:lblOffset val="100"/>
        <c:noMultiLvlLbl val="0"/>
      </c:catAx>
      <c:valAx>
        <c:axId val="85377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'250122'!$D$11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'250122'!$D$12:$D$35</c:f>
              <c:numCache>
                <c:formatCode>0</c:formatCode>
                <c:ptCount val="24"/>
                <c:pt idx="0">
                  <c:v>12.893333333333333</c:v>
                </c:pt>
                <c:pt idx="1">
                  <c:v>12.395000000000001</c:v>
                </c:pt>
                <c:pt idx="2">
                  <c:v>11.463333333333333</c:v>
                </c:pt>
                <c:pt idx="3">
                  <c:v>11.503333333333332</c:v>
                </c:pt>
                <c:pt idx="4">
                  <c:v>11.229999999999999</c:v>
                </c:pt>
                <c:pt idx="5">
                  <c:v>11.028333333333334</c:v>
                </c:pt>
                <c:pt idx="6">
                  <c:v>10.813333333333333</c:v>
                </c:pt>
                <c:pt idx="7">
                  <c:v>11.805</c:v>
                </c:pt>
                <c:pt idx="8">
                  <c:v>14.061666666666667</c:v>
                </c:pt>
                <c:pt idx="9">
                  <c:v>16.181666666666668</c:v>
                </c:pt>
                <c:pt idx="10">
                  <c:v>17.458333333333332</c:v>
                </c:pt>
                <c:pt idx="11">
                  <c:v>18.959999999999997</c:v>
                </c:pt>
                <c:pt idx="12">
                  <c:v>20.336666666666666</c:v>
                </c:pt>
                <c:pt idx="13">
                  <c:v>21.373333333333335</c:v>
                </c:pt>
                <c:pt idx="14">
                  <c:v>20.176666666666666</c:v>
                </c:pt>
                <c:pt idx="15">
                  <c:v>19.874999999999996</c:v>
                </c:pt>
                <c:pt idx="16">
                  <c:v>19.301666666666666</c:v>
                </c:pt>
                <c:pt idx="17">
                  <c:v>18.188333333333333</c:v>
                </c:pt>
                <c:pt idx="18">
                  <c:v>16.931666666666668</c:v>
                </c:pt>
                <c:pt idx="19">
                  <c:v>16.048333333333332</c:v>
                </c:pt>
                <c:pt idx="20">
                  <c:v>15.905000000000001</c:v>
                </c:pt>
                <c:pt idx="21">
                  <c:v>15.595000000000001</c:v>
                </c:pt>
                <c:pt idx="22">
                  <c:v>14.293333333333331</c:v>
                </c:pt>
                <c:pt idx="23">
                  <c:v>13.01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A9-4A37-9F76-5E81D552AEAF}"/>
            </c:ext>
          </c:extLst>
        </c:ser>
        <c:ser>
          <c:idx val="1"/>
          <c:order val="1"/>
          <c:tx>
            <c:strRef>
              <c:f>'250122'!$L$11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'250122'!$L$12:$L$35</c:f>
              <c:numCache>
                <c:formatCode>0</c:formatCode>
                <c:ptCount val="24"/>
                <c:pt idx="0">
                  <c:v>13.166666666666666</c:v>
                </c:pt>
                <c:pt idx="1">
                  <c:v>12.65</c:v>
                </c:pt>
                <c:pt idx="2">
                  <c:v>11.699999999999998</c:v>
                </c:pt>
                <c:pt idx="3">
                  <c:v>11.75</c:v>
                </c:pt>
                <c:pt idx="4">
                  <c:v>11.466666666666667</c:v>
                </c:pt>
                <c:pt idx="5">
                  <c:v>11.25</c:v>
                </c:pt>
                <c:pt idx="6">
                  <c:v>11.049999999999999</c:v>
                </c:pt>
                <c:pt idx="7">
                  <c:v>12.050000000000002</c:v>
                </c:pt>
                <c:pt idx="8">
                  <c:v>14.35</c:v>
                </c:pt>
                <c:pt idx="9">
                  <c:v>16.516666666666666</c:v>
                </c:pt>
                <c:pt idx="10">
                  <c:v>17.816666666666666</c:v>
                </c:pt>
                <c:pt idx="11">
                  <c:v>19.333333333333332</c:v>
                </c:pt>
                <c:pt idx="12">
                  <c:v>20.75</c:v>
                </c:pt>
                <c:pt idx="13">
                  <c:v>21.799999999999997</c:v>
                </c:pt>
                <c:pt idx="14">
                  <c:v>20.583333333333332</c:v>
                </c:pt>
                <c:pt idx="15">
                  <c:v>20.283333333333335</c:v>
                </c:pt>
                <c:pt idx="16">
                  <c:v>19.700000000000003</c:v>
                </c:pt>
                <c:pt idx="17">
                  <c:v>18.55</c:v>
                </c:pt>
                <c:pt idx="18">
                  <c:v>17.3</c:v>
                </c:pt>
                <c:pt idx="19">
                  <c:v>16.399999999999999</c:v>
                </c:pt>
                <c:pt idx="20">
                  <c:v>16.233333333333334</c:v>
                </c:pt>
                <c:pt idx="21">
                  <c:v>15.91666666666667</c:v>
                </c:pt>
                <c:pt idx="22">
                  <c:v>14.583333333333334</c:v>
                </c:pt>
                <c:pt idx="23">
                  <c:v>13.283333333333333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A9-4A37-9F76-5E81D552A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4576"/>
        <c:axId val="762468928"/>
      </c:lineChart>
      <c:catAx>
        <c:axId val="76246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8928"/>
        <c:crosses val="autoZero"/>
        <c:auto val="1"/>
        <c:lblAlgn val="ctr"/>
        <c:lblOffset val="100"/>
        <c:noMultiLvlLbl val="0"/>
      </c:catAx>
      <c:valAx>
        <c:axId val="7624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'250122'!$E$11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'250122'!$E$12:$E$35</c:f>
              <c:numCache>
                <c:formatCode>0</c:formatCode>
                <c:ptCount val="24"/>
                <c:pt idx="0">
                  <c:v>76.848333333333343</c:v>
                </c:pt>
                <c:pt idx="1">
                  <c:v>78.563333333333333</c:v>
                </c:pt>
                <c:pt idx="2">
                  <c:v>82.091666666666654</c:v>
                </c:pt>
                <c:pt idx="3">
                  <c:v>83.083333333333329</c:v>
                </c:pt>
                <c:pt idx="4">
                  <c:v>83.905000000000001</c:v>
                </c:pt>
                <c:pt idx="5">
                  <c:v>84.951666666666668</c:v>
                </c:pt>
                <c:pt idx="6">
                  <c:v>86.15333333333335</c:v>
                </c:pt>
                <c:pt idx="7">
                  <c:v>82.225000000000009</c:v>
                </c:pt>
                <c:pt idx="8">
                  <c:v>73.795000000000002</c:v>
                </c:pt>
                <c:pt idx="9">
                  <c:v>64.563333333333333</c:v>
                </c:pt>
                <c:pt idx="10">
                  <c:v>56.474999999999994</c:v>
                </c:pt>
                <c:pt idx="11">
                  <c:v>49.646666666666668</c:v>
                </c:pt>
                <c:pt idx="12">
                  <c:v>43.504999999999995</c:v>
                </c:pt>
                <c:pt idx="13">
                  <c:v>42.283333333333331</c:v>
                </c:pt>
                <c:pt idx="14">
                  <c:v>62.48</c:v>
                </c:pt>
                <c:pt idx="15">
                  <c:v>64.581666666666663</c:v>
                </c:pt>
                <c:pt idx="16">
                  <c:v>65.400000000000006</c:v>
                </c:pt>
                <c:pt idx="17">
                  <c:v>70.663333333333341</c:v>
                </c:pt>
                <c:pt idx="18">
                  <c:v>79.13333333333334</c:v>
                </c:pt>
                <c:pt idx="19">
                  <c:v>81.554999999999993</c:v>
                </c:pt>
                <c:pt idx="20">
                  <c:v>79.096666666666664</c:v>
                </c:pt>
                <c:pt idx="21">
                  <c:v>67.708333333333329</c:v>
                </c:pt>
                <c:pt idx="22">
                  <c:v>73.46833333333332</c:v>
                </c:pt>
                <c:pt idx="23">
                  <c:v>75.606666666666669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55-482E-AC9C-51F31FCC6334}"/>
            </c:ext>
          </c:extLst>
        </c:ser>
        <c:ser>
          <c:idx val="1"/>
          <c:order val="1"/>
          <c:tx>
            <c:strRef>
              <c:f>'250122'!$M$11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'250122'!$M$12:$M$35</c:f>
              <c:numCache>
                <c:formatCode>0</c:formatCode>
                <c:ptCount val="24"/>
                <c:pt idx="0">
                  <c:v>74.61666666666666</c:v>
                </c:pt>
                <c:pt idx="1">
                  <c:v>76.283333333333331</c:v>
                </c:pt>
                <c:pt idx="2">
                  <c:v>79.7</c:v>
                </c:pt>
                <c:pt idx="3">
                  <c:v>80.666666666666671</c:v>
                </c:pt>
                <c:pt idx="4">
                  <c:v>81.466666666666669</c:v>
                </c:pt>
                <c:pt idx="5">
                  <c:v>82.483333333333334</c:v>
                </c:pt>
                <c:pt idx="6">
                  <c:v>83.649999999999991</c:v>
                </c:pt>
                <c:pt idx="7">
                  <c:v>79.850000000000009</c:v>
                </c:pt>
                <c:pt idx="8">
                  <c:v>71.649999999999991</c:v>
                </c:pt>
                <c:pt idx="9">
                  <c:v>62.683333333333337</c:v>
                </c:pt>
                <c:pt idx="10">
                  <c:v>54.849999999999994</c:v>
                </c:pt>
                <c:pt idx="11">
                  <c:v>48.183333333333337</c:v>
                </c:pt>
                <c:pt idx="12">
                  <c:v>42.25</c:v>
                </c:pt>
                <c:pt idx="13">
                  <c:v>41.04999999999999</c:v>
                </c:pt>
                <c:pt idx="14">
                  <c:v>60.666666666666664</c:v>
                </c:pt>
                <c:pt idx="15">
                  <c:v>62.716666666666669</c:v>
                </c:pt>
                <c:pt idx="16">
                  <c:v>63.483333333333327</c:v>
                </c:pt>
                <c:pt idx="17">
                  <c:v>68.61666666666666</c:v>
                </c:pt>
                <c:pt idx="18">
                  <c:v>76.833333333333329</c:v>
                </c:pt>
                <c:pt idx="19">
                  <c:v>79.166666666666671</c:v>
                </c:pt>
                <c:pt idx="20">
                  <c:v>76.783333333333346</c:v>
                </c:pt>
                <c:pt idx="21">
                  <c:v>65.766666666666666</c:v>
                </c:pt>
                <c:pt idx="22">
                  <c:v>71.333333333333329</c:v>
                </c:pt>
                <c:pt idx="23">
                  <c:v>73.400000000000006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55-482E-AC9C-51F31FCC6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59680"/>
        <c:axId val="762462944"/>
      </c:lineChart>
      <c:catAx>
        <c:axId val="762459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2944"/>
        <c:crosses val="autoZero"/>
        <c:auto val="1"/>
        <c:lblAlgn val="ctr"/>
        <c:lblOffset val="100"/>
        <c:noMultiLvlLbl val="0"/>
      </c:catAx>
      <c:valAx>
        <c:axId val="76246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5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'250122'!$G$11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'250122'!$G$12:$G$35</c:f>
              <c:numCache>
                <c:formatCode>0</c:formatCode>
                <c:ptCount val="24"/>
                <c:pt idx="0">
                  <c:v>22.5</c:v>
                </c:pt>
                <c:pt idx="1">
                  <c:v>45</c:v>
                </c:pt>
                <c:pt idx="2">
                  <c:v>22.5</c:v>
                </c:pt>
                <c:pt idx="3">
                  <c:v>45</c:v>
                </c:pt>
                <c:pt idx="4">
                  <c:v>292.5</c:v>
                </c:pt>
                <c:pt idx="5">
                  <c:v>337.5</c:v>
                </c:pt>
                <c:pt idx="6">
                  <c:v>315</c:v>
                </c:pt>
                <c:pt idx="7">
                  <c:v>45</c:v>
                </c:pt>
                <c:pt idx="8">
                  <c:v>22.5</c:v>
                </c:pt>
                <c:pt idx="9">
                  <c:v>337.5</c:v>
                </c:pt>
                <c:pt idx="10">
                  <c:v>337.5</c:v>
                </c:pt>
                <c:pt idx="11">
                  <c:v>67.5</c:v>
                </c:pt>
                <c:pt idx="12">
                  <c:v>90</c:v>
                </c:pt>
                <c:pt idx="13">
                  <c:v>67.5</c:v>
                </c:pt>
                <c:pt idx="14">
                  <c:v>247.5</c:v>
                </c:pt>
                <c:pt idx="15">
                  <c:v>247.5</c:v>
                </c:pt>
                <c:pt idx="16">
                  <c:v>270</c:v>
                </c:pt>
                <c:pt idx="17">
                  <c:v>292.5</c:v>
                </c:pt>
                <c:pt idx="18">
                  <c:v>292.5</c:v>
                </c:pt>
                <c:pt idx="19">
                  <c:v>247.5</c:v>
                </c:pt>
                <c:pt idx="20">
                  <c:v>225</c:v>
                </c:pt>
                <c:pt idx="21">
                  <c:v>202.5</c:v>
                </c:pt>
                <c:pt idx="22">
                  <c:v>45</c:v>
                </c:pt>
                <c:pt idx="23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F8-4E57-91AB-C4716016F527}"/>
            </c:ext>
          </c:extLst>
        </c:ser>
        <c:ser>
          <c:idx val="1"/>
          <c:order val="1"/>
          <c:tx>
            <c:strRef>
              <c:f>'250122'!$O$11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'250122'!$O$12:$O$35</c:f>
              <c:numCache>
                <c:formatCode>0</c:formatCode>
                <c:ptCount val="24"/>
                <c:pt idx="0">
                  <c:v>22.5</c:v>
                </c:pt>
                <c:pt idx="1">
                  <c:v>22.5</c:v>
                </c:pt>
                <c:pt idx="2">
                  <c:v>22.5</c:v>
                </c:pt>
                <c:pt idx="3">
                  <c:v>22.5</c:v>
                </c:pt>
                <c:pt idx="4">
                  <c:v>292.5</c:v>
                </c:pt>
                <c:pt idx="5">
                  <c:v>337.5</c:v>
                </c:pt>
                <c:pt idx="6">
                  <c:v>315</c:v>
                </c:pt>
                <c:pt idx="7">
                  <c:v>45</c:v>
                </c:pt>
                <c:pt idx="8">
                  <c:v>22.5</c:v>
                </c:pt>
                <c:pt idx="9">
                  <c:v>337.5</c:v>
                </c:pt>
                <c:pt idx="10">
                  <c:v>337.5</c:v>
                </c:pt>
                <c:pt idx="11">
                  <c:v>45</c:v>
                </c:pt>
                <c:pt idx="12">
                  <c:v>90</c:v>
                </c:pt>
                <c:pt idx="13">
                  <c:v>67.5</c:v>
                </c:pt>
                <c:pt idx="14">
                  <c:v>225</c:v>
                </c:pt>
                <c:pt idx="15">
                  <c:v>247.5</c:v>
                </c:pt>
                <c:pt idx="16">
                  <c:v>270</c:v>
                </c:pt>
                <c:pt idx="17">
                  <c:v>292.5</c:v>
                </c:pt>
                <c:pt idx="18">
                  <c:v>270</c:v>
                </c:pt>
                <c:pt idx="19">
                  <c:v>225</c:v>
                </c:pt>
                <c:pt idx="20">
                  <c:v>225</c:v>
                </c:pt>
                <c:pt idx="21">
                  <c:v>202.5</c:v>
                </c:pt>
                <c:pt idx="22">
                  <c:v>45</c:v>
                </c:pt>
                <c:pt idx="23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F8-4E57-91AB-C4716016F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7296"/>
        <c:axId val="762460768"/>
      </c:lineChart>
      <c:catAx>
        <c:axId val="762467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0768"/>
        <c:crosses val="autoZero"/>
        <c:auto val="1"/>
        <c:lblAlgn val="ctr"/>
        <c:lblOffset val="100"/>
        <c:noMultiLvlLbl val="0"/>
      </c:catAx>
      <c:valAx>
        <c:axId val="76246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'250122'!$H$11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'250122'!$H$12:$H$35</c:f>
              <c:numCache>
                <c:formatCode>0</c:formatCode>
                <c:ptCount val="24"/>
                <c:pt idx="0">
                  <c:v>1.5233333333333334</c:v>
                </c:pt>
                <c:pt idx="1">
                  <c:v>1.9516666666666669</c:v>
                </c:pt>
                <c:pt idx="2">
                  <c:v>1.1883333333333332</c:v>
                </c:pt>
                <c:pt idx="3">
                  <c:v>1.51</c:v>
                </c:pt>
                <c:pt idx="4">
                  <c:v>0.61333333333333329</c:v>
                </c:pt>
                <c:pt idx="5">
                  <c:v>1.3299999999999998</c:v>
                </c:pt>
                <c:pt idx="6">
                  <c:v>1.54</c:v>
                </c:pt>
                <c:pt idx="7">
                  <c:v>2.2749999999999999</c:v>
                </c:pt>
                <c:pt idx="8">
                  <c:v>1.6583333333333334</c:v>
                </c:pt>
                <c:pt idx="9">
                  <c:v>1.6516666666666666</c:v>
                </c:pt>
                <c:pt idx="10">
                  <c:v>2.3283333333333331</c:v>
                </c:pt>
                <c:pt idx="11">
                  <c:v>1.9866666666666666</c:v>
                </c:pt>
                <c:pt idx="12">
                  <c:v>2.2583333333333333</c:v>
                </c:pt>
                <c:pt idx="13">
                  <c:v>2.7816666666666667</c:v>
                </c:pt>
                <c:pt idx="14">
                  <c:v>5.81</c:v>
                </c:pt>
                <c:pt idx="15">
                  <c:v>4.7366666666666664</c:v>
                </c:pt>
                <c:pt idx="16">
                  <c:v>3.24</c:v>
                </c:pt>
                <c:pt idx="17">
                  <c:v>3.2550000000000003</c:v>
                </c:pt>
                <c:pt idx="18">
                  <c:v>2.3699999999999997</c:v>
                </c:pt>
                <c:pt idx="19">
                  <c:v>3.2116666666666664</c:v>
                </c:pt>
                <c:pt idx="20">
                  <c:v>2.8516666666666666</c:v>
                </c:pt>
                <c:pt idx="21">
                  <c:v>1.4716666666666669</c:v>
                </c:pt>
                <c:pt idx="22">
                  <c:v>2.61</c:v>
                </c:pt>
                <c:pt idx="23">
                  <c:v>1.9583333333333333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73-48E9-9206-A949D4B975E9}"/>
            </c:ext>
          </c:extLst>
        </c:ser>
        <c:ser>
          <c:idx val="1"/>
          <c:order val="1"/>
          <c:tx>
            <c:strRef>
              <c:f>'250122'!$P$11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'250122'!$P$12:$P$35</c:f>
              <c:numCache>
                <c:formatCode>0</c:formatCode>
                <c:ptCount val="24"/>
                <c:pt idx="0">
                  <c:v>1.3833333333333335</c:v>
                </c:pt>
                <c:pt idx="1">
                  <c:v>1.1333333333333335</c:v>
                </c:pt>
                <c:pt idx="2">
                  <c:v>0.68333333333333324</c:v>
                </c:pt>
                <c:pt idx="3">
                  <c:v>0.51666666666666661</c:v>
                </c:pt>
                <c:pt idx="4">
                  <c:v>0.28333333333333338</c:v>
                </c:pt>
                <c:pt idx="5">
                  <c:v>0.83333333333333337</c:v>
                </c:pt>
                <c:pt idx="6">
                  <c:v>0.8666666666666667</c:v>
                </c:pt>
                <c:pt idx="7">
                  <c:v>1.6166666666666665</c:v>
                </c:pt>
                <c:pt idx="8">
                  <c:v>1.1833333333333333</c:v>
                </c:pt>
                <c:pt idx="9">
                  <c:v>1.1666666666666665</c:v>
                </c:pt>
                <c:pt idx="10">
                  <c:v>2.0166666666666671</c:v>
                </c:pt>
                <c:pt idx="11">
                  <c:v>1.8166666666666664</c:v>
                </c:pt>
                <c:pt idx="12">
                  <c:v>1.9166666666666667</c:v>
                </c:pt>
                <c:pt idx="13">
                  <c:v>2.4499999999999997</c:v>
                </c:pt>
                <c:pt idx="14">
                  <c:v>5.166666666666667</c:v>
                </c:pt>
                <c:pt idx="15">
                  <c:v>3.9000000000000004</c:v>
                </c:pt>
                <c:pt idx="16">
                  <c:v>3.0500000000000003</c:v>
                </c:pt>
                <c:pt idx="17">
                  <c:v>2.75</c:v>
                </c:pt>
                <c:pt idx="18">
                  <c:v>1.8833333333333331</c:v>
                </c:pt>
                <c:pt idx="19">
                  <c:v>2.5333333333333332</c:v>
                </c:pt>
                <c:pt idx="20">
                  <c:v>2.1833333333333336</c:v>
                </c:pt>
                <c:pt idx="21">
                  <c:v>1.3166666666666667</c:v>
                </c:pt>
                <c:pt idx="22">
                  <c:v>1.95</c:v>
                </c:pt>
                <c:pt idx="23">
                  <c:v>1.6333333333333335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73-48E9-9206-A949D4B97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7840"/>
        <c:axId val="762469472"/>
      </c:lineChart>
      <c:catAx>
        <c:axId val="76246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9472"/>
        <c:crosses val="autoZero"/>
        <c:auto val="1"/>
        <c:lblAlgn val="ctr"/>
        <c:lblOffset val="100"/>
        <c:noMultiLvlLbl val="0"/>
      </c:catAx>
      <c:valAx>
        <c:axId val="7624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'250122'!$J$11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'250122'!$J$12:$J$35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9E-BC70-22DD699CEB22}"/>
            </c:ext>
          </c:extLst>
        </c:ser>
        <c:ser>
          <c:idx val="1"/>
          <c:order val="1"/>
          <c:tx>
            <c:strRef>
              <c:f>'250122'!$R$11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'250122'!$R$12:$R$35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AC-459E-BC70-22DD699CE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70560"/>
        <c:axId val="762471648"/>
      </c:lineChart>
      <c:catAx>
        <c:axId val="762470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71648"/>
        <c:crosses val="autoZero"/>
        <c:auto val="1"/>
        <c:lblAlgn val="ctr"/>
        <c:lblOffset val="100"/>
        <c:noMultiLvlLbl val="0"/>
      </c:catAx>
      <c:valAx>
        <c:axId val="76247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7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'250122'!$F$11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'250122'!$F$12:$F$35</c:f>
              <c:numCache>
                <c:formatCode>0</c:formatCode>
                <c:ptCount val="24"/>
                <c:pt idx="0">
                  <c:v>567.15333333333331</c:v>
                </c:pt>
                <c:pt idx="1">
                  <c:v>567.15333333333331</c:v>
                </c:pt>
                <c:pt idx="2">
                  <c:v>566.97833333333335</c:v>
                </c:pt>
                <c:pt idx="3">
                  <c:v>566.85666666666668</c:v>
                </c:pt>
                <c:pt idx="4">
                  <c:v>566.41500000000008</c:v>
                </c:pt>
                <c:pt idx="5">
                  <c:v>566.73</c:v>
                </c:pt>
                <c:pt idx="6">
                  <c:v>567.29</c:v>
                </c:pt>
                <c:pt idx="7">
                  <c:v>567.54833333333329</c:v>
                </c:pt>
                <c:pt idx="8">
                  <c:v>568.37</c:v>
                </c:pt>
                <c:pt idx="9">
                  <c:v>568.42499999999995</c:v>
                </c:pt>
                <c:pt idx="10">
                  <c:v>567.87333333333333</c:v>
                </c:pt>
                <c:pt idx="11">
                  <c:v>567.22833333333335</c:v>
                </c:pt>
                <c:pt idx="12">
                  <c:v>566.55000000000007</c:v>
                </c:pt>
                <c:pt idx="13">
                  <c:v>565.37333333333333</c:v>
                </c:pt>
                <c:pt idx="14">
                  <c:v>564.83166666666659</c:v>
                </c:pt>
                <c:pt idx="15">
                  <c:v>564.57499999999993</c:v>
                </c:pt>
                <c:pt idx="16">
                  <c:v>564.25</c:v>
                </c:pt>
                <c:pt idx="17">
                  <c:v>564.94666666666672</c:v>
                </c:pt>
                <c:pt idx="18">
                  <c:v>565.30499999999995</c:v>
                </c:pt>
                <c:pt idx="19">
                  <c:v>565.60500000000002</c:v>
                </c:pt>
                <c:pt idx="20">
                  <c:v>566.5533333333334</c:v>
                </c:pt>
                <c:pt idx="21">
                  <c:v>567.60833333333346</c:v>
                </c:pt>
                <c:pt idx="22">
                  <c:v>567.73500000000001</c:v>
                </c:pt>
                <c:pt idx="23">
                  <c:v>568.12833333333333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19-469D-AA9A-3212E053CF6F}"/>
            </c:ext>
          </c:extLst>
        </c:ser>
        <c:ser>
          <c:idx val="1"/>
          <c:order val="1"/>
          <c:tx>
            <c:strRef>
              <c:f>'250122'!$N$11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'250122'!$N$12:$N$35</c:f>
              <c:numCache>
                <c:formatCode>0</c:formatCode>
                <c:ptCount val="24"/>
                <c:pt idx="0">
                  <c:v>566.81666666666661</c:v>
                </c:pt>
                <c:pt idx="1">
                  <c:v>566.48333333333323</c:v>
                </c:pt>
                <c:pt idx="2">
                  <c:v>566.16666666666663</c:v>
                </c:pt>
                <c:pt idx="3">
                  <c:v>566.0333333333333</c:v>
                </c:pt>
                <c:pt idx="4">
                  <c:v>566.09999999999991</c:v>
                </c:pt>
                <c:pt idx="5">
                  <c:v>566.4</c:v>
                </c:pt>
                <c:pt idx="6">
                  <c:v>566.63333333333333</c:v>
                </c:pt>
                <c:pt idx="7">
                  <c:v>567.23333333333335</c:v>
                </c:pt>
                <c:pt idx="8">
                  <c:v>567.69999999999993</c:v>
                </c:pt>
                <c:pt idx="9">
                  <c:v>567.75</c:v>
                </c:pt>
                <c:pt idx="10">
                  <c:v>567.36666666666667</c:v>
                </c:pt>
                <c:pt idx="11">
                  <c:v>566.75</c:v>
                </c:pt>
                <c:pt idx="12">
                  <c:v>565.86666666666667</c:v>
                </c:pt>
                <c:pt idx="13">
                  <c:v>565.05000000000007</c:v>
                </c:pt>
                <c:pt idx="14">
                  <c:v>564.34999999999991</c:v>
                </c:pt>
                <c:pt idx="15">
                  <c:v>563.93333333333339</c:v>
                </c:pt>
                <c:pt idx="16">
                  <c:v>563.76666666666677</c:v>
                </c:pt>
                <c:pt idx="17">
                  <c:v>564.13333333333333</c:v>
                </c:pt>
                <c:pt idx="18">
                  <c:v>564.65</c:v>
                </c:pt>
                <c:pt idx="19">
                  <c:v>565.26666666666665</c:v>
                </c:pt>
                <c:pt idx="20">
                  <c:v>566.06666666666672</c:v>
                </c:pt>
                <c:pt idx="21">
                  <c:v>566.94999999999993</c:v>
                </c:pt>
                <c:pt idx="22">
                  <c:v>567.25</c:v>
                </c:pt>
                <c:pt idx="23">
                  <c:v>567.46666666666658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19-469D-AA9A-3212E053C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58048"/>
        <c:axId val="853779168"/>
      </c:lineChart>
      <c:catAx>
        <c:axId val="762458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9168"/>
        <c:crosses val="autoZero"/>
        <c:auto val="1"/>
        <c:lblAlgn val="ctr"/>
        <c:lblOffset val="100"/>
        <c:noMultiLvlLbl val="0"/>
      </c:catAx>
      <c:valAx>
        <c:axId val="85377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5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'250122'!$K$11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'250122'!$K$12:$K$35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D3-4D96-A137-FEF71B45FA17}"/>
            </c:ext>
          </c:extLst>
        </c:ser>
        <c:ser>
          <c:idx val="1"/>
          <c:order val="1"/>
          <c:tx>
            <c:strRef>
              <c:f>'250122'!$S$11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'250122'!$S$12:$S$35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D3-4D96-A137-FEF71B45F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3773184"/>
        <c:axId val="853775360"/>
      </c:lineChart>
      <c:catAx>
        <c:axId val="853773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5360"/>
        <c:crosses val="autoZero"/>
        <c:auto val="1"/>
        <c:lblAlgn val="ctr"/>
        <c:lblOffset val="100"/>
        <c:noMultiLvlLbl val="0"/>
      </c:catAx>
      <c:valAx>
        <c:axId val="85377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</a:t>
            </a:r>
            <a:r>
              <a:rPr lang="es-419" baseline="0"/>
              <a:t> Rad.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'250122'!$I$11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'250122'!$I$12:$I$35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44.533333333333331</c:v>
                </c:pt>
                <c:pt idx="7">
                  <c:v>138.34666666666666</c:v>
                </c:pt>
                <c:pt idx="8">
                  <c:v>339.23500000000007</c:v>
                </c:pt>
                <c:pt idx="9">
                  <c:v>432.125</c:v>
                </c:pt>
                <c:pt idx="10">
                  <c:v>515.18166666666662</c:v>
                </c:pt>
                <c:pt idx="11">
                  <c:v>709.29166666666663</c:v>
                </c:pt>
                <c:pt idx="12">
                  <c:v>681.68166666666673</c:v>
                </c:pt>
                <c:pt idx="13">
                  <c:v>574.56833333333327</c:v>
                </c:pt>
                <c:pt idx="14">
                  <c:v>539.38333333333333</c:v>
                </c:pt>
                <c:pt idx="15">
                  <c:v>447.58666666666664</c:v>
                </c:pt>
                <c:pt idx="16">
                  <c:v>286.60500000000002</c:v>
                </c:pt>
                <c:pt idx="17">
                  <c:v>173.43999999999997</c:v>
                </c:pt>
                <c:pt idx="18">
                  <c:v>36.24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13-4B79-93ED-11AC3FAAE5DC}"/>
            </c:ext>
          </c:extLst>
        </c:ser>
        <c:ser>
          <c:idx val="1"/>
          <c:order val="1"/>
          <c:tx>
            <c:strRef>
              <c:f>'250122'!$Q$11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'250122'!$Q$12:$Q$35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10.049999999999999</c:v>
                </c:pt>
                <c:pt idx="7">
                  <c:v>120.2</c:v>
                </c:pt>
                <c:pt idx="8">
                  <c:v>282.41666666666669</c:v>
                </c:pt>
                <c:pt idx="9">
                  <c:v>387.45000000000005</c:v>
                </c:pt>
                <c:pt idx="10">
                  <c:v>478.68333333333334</c:v>
                </c:pt>
                <c:pt idx="11">
                  <c:v>669.93333333333328</c:v>
                </c:pt>
                <c:pt idx="12">
                  <c:v>631.51666666666677</c:v>
                </c:pt>
                <c:pt idx="13">
                  <c:v>533.06666666666672</c:v>
                </c:pt>
                <c:pt idx="14">
                  <c:v>490.05</c:v>
                </c:pt>
                <c:pt idx="15">
                  <c:v>403.95</c:v>
                </c:pt>
                <c:pt idx="16">
                  <c:v>240.61666666666667</c:v>
                </c:pt>
                <c:pt idx="17">
                  <c:v>125.76666666666665</c:v>
                </c:pt>
                <c:pt idx="18">
                  <c:v>13.9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13-4B79-93ED-11AC3FAAE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3776992"/>
        <c:axId val="853771008"/>
      </c:lineChart>
      <c:catAx>
        <c:axId val="853776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1008"/>
        <c:crosses val="autoZero"/>
        <c:auto val="1"/>
        <c:lblAlgn val="ctr"/>
        <c:lblOffset val="100"/>
        <c:noMultiLvlLbl val="0"/>
      </c:catAx>
      <c:valAx>
        <c:axId val="85377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Temp.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'250607'!$D$11</c:f>
              <c:strCache>
                <c:ptCount val="1"/>
                <c:pt idx="0">
                  <c:v>Temp. Out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'250607'!$D$12:$D$35</c:f>
              <c:numCache>
                <c:formatCode>0</c:formatCode>
                <c:ptCount val="24"/>
                <c:pt idx="0">
                  <c:v>15.416666666666666</c:v>
                </c:pt>
                <c:pt idx="1">
                  <c:v>15.266666666666667</c:v>
                </c:pt>
                <c:pt idx="2">
                  <c:v>14.75</c:v>
                </c:pt>
                <c:pt idx="3">
                  <c:v>14.649999999999999</c:v>
                </c:pt>
                <c:pt idx="4">
                  <c:v>14.533333333333333</c:v>
                </c:pt>
                <c:pt idx="5">
                  <c:v>14.6</c:v>
                </c:pt>
                <c:pt idx="6">
                  <c:v>14.700000000000001</c:v>
                </c:pt>
                <c:pt idx="7">
                  <c:v>15.049999999999999</c:v>
                </c:pt>
                <c:pt idx="8">
                  <c:v>15.816666666666665</c:v>
                </c:pt>
                <c:pt idx="9">
                  <c:v>17.55</c:v>
                </c:pt>
                <c:pt idx="10">
                  <c:v>17.350000000000001</c:v>
                </c:pt>
                <c:pt idx="11">
                  <c:v>18.116666666666667</c:v>
                </c:pt>
                <c:pt idx="12">
                  <c:v>19.416666666666668</c:v>
                </c:pt>
                <c:pt idx="13">
                  <c:v>19.966666666666669</c:v>
                </c:pt>
                <c:pt idx="14">
                  <c:v>18.233333333333334</c:v>
                </c:pt>
                <c:pt idx="15">
                  <c:v>19.150000000000002</c:v>
                </c:pt>
                <c:pt idx="16">
                  <c:v>18.816666666666666</c:v>
                </c:pt>
                <c:pt idx="17">
                  <c:v>17.633333333333333</c:v>
                </c:pt>
                <c:pt idx="18">
                  <c:v>16.983333333333334</c:v>
                </c:pt>
                <c:pt idx="19">
                  <c:v>16.650000000000002</c:v>
                </c:pt>
                <c:pt idx="20">
                  <c:v>16.05</c:v>
                </c:pt>
                <c:pt idx="21">
                  <c:v>15.649999999999999</c:v>
                </c:pt>
                <c:pt idx="22">
                  <c:v>15.483333333333333</c:v>
                </c:pt>
                <c:pt idx="23">
                  <c:v>14.933333333333332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83-441E-8E0A-9E6A2EB07995}"/>
            </c:ext>
          </c:extLst>
        </c:ser>
        <c:ser>
          <c:idx val="1"/>
          <c:order val="1"/>
          <c:tx>
            <c:strRef>
              <c:f>'250607'!$L$11</c:f>
              <c:strCache>
                <c:ptCount val="1"/>
                <c:pt idx="0">
                  <c:v>Temp. Out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'250607'!$L$12:$L$35</c:f>
              <c:numCache>
                <c:formatCode>0</c:formatCode>
                <c:ptCount val="24"/>
                <c:pt idx="0">
                  <c:v>15.213333333333333</c:v>
                </c:pt>
                <c:pt idx="1">
                  <c:v>15.075000000000001</c:v>
                </c:pt>
                <c:pt idx="2">
                  <c:v>14.566666666666668</c:v>
                </c:pt>
                <c:pt idx="3">
                  <c:v>14.459999999999999</c:v>
                </c:pt>
                <c:pt idx="4">
                  <c:v>14.331666666666663</c:v>
                </c:pt>
                <c:pt idx="5">
                  <c:v>14.411666666666667</c:v>
                </c:pt>
                <c:pt idx="6">
                  <c:v>14.508333333333333</c:v>
                </c:pt>
                <c:pt idx="7">
                  <c:v>14.848333333333334</c:v>
                </c:pt>
                <c:pt idx="8">
                  <c:v>15.603333333333332</c:v>
                </c:pt>
                <c:pt idx="9">
                  <c:v>17.309999999999999</c:v>
                </c:pt>
                <c:pt idx="10">
                  <c:v>17.09333333333333</c:v>
                </c:pt>
                <c:pt idx="11">
                  <c:v>17.878333333333334</c:v>
                </c:pt>
                <c:pt idx="12">
                  <c:v>19.166666666666664</c:v>
                </c:pt>
                <c:pt idx="13">
                  <c:v>19.681666666666668</c:v>
                </c:pt>
                <c:pt idx="14">
                  <c:v>17.983333333333334</c:v>
                </c:pt>
                <c:pt idx="15">
                  <c:v>18.908333333333331</c:v>
                </c:pt>
                <c:pt idx="16">
                  <c:v>18.576666666666668</c:v>
                </c:pt>
                <c:pt idx="17">
                  <c:v>17.406666666666666</c:v>
                </c:pt>
                <c:pt idx="18">
                  <c:v>16.758333333333336</c:v>
                </c:pt>
                <c:pt idx="19">
                  <c:v>16.416666666666668</c:v>
                </c:pt>
                <c:pt idx="20">
                  <c:v>15.826666666666668</c:v>
                </c:pt>
                <c:pt idx="21">
                  <c:v>15.468333333333334</c:v>
                </c:pt>
                <c:pt idx="22">
                  <c:v>15.270000000000001</c:v>
                </c:pt>
                <c:pt idx="23">
                  <c:v>14.738333333333332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83-441E-8E0A-9E6A2EB07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4576"/>
        <c:axId val="762468928"/>
      </c:lineChart>
      <c:catAx>
        <c:axId val="76246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8928"/>
        <c:crosses val="autoZero"/>
        <c:auto val="1"/>
        <c:lblAlgn val="ctr"/>
        <c:lblOffset val="100"/>
        <c:noMultiLvlLbl val="0"/>
      </c:catAx>
      <c:valAx>
        <c:axId val="7624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H.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'250607'!$E$11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'250607'!$E$12:$E$35</c:f>
              <c:numCache>
                <c:formatCode>0</c:formatCode>
                <c:ptCount val="24"/>
                <c:pt idx="0">
                  <c:v>80.033333333333346</c:v>
                </c:pt>
                <c:pt idx="1">
                  <c:v>80.666666666666671</c:v>
                </c:pt>
                <c:pt idx="2">
                  <c:v>82.766666666666666</c:v>
                </c:pt>
                <c:pt idx="3">
                  <c:v>83.65</c:v>
                </c:pt>
                <c:pt idx="4">
                  <c:v>85.3</c:v>
                </c:pt>
                <c:pt idx="5">
                  <c:v>85.566666666666663</c:v>
                </c:pt>
                <c:pt idx="6">
                  <c:v>85.016666666666666</c:v>
                </c:pt>
                <c:pt idx="7">
                  <c:v>83.966666666666654</c:v>
                </c:pt>
                <c:pt idx="8">
                  <c:v>81.2</c:v>
                </c:pt>
                <c:pt idx="9">
                  <c:v>74.833333333333329</c:v>
                </c:pt>
                <c:pt idx="10">
                  <c:v>78.266666666666666</c:v>
                </c:pt>
                <c:pt idx="11">
                  <c:v>74.483333333333334</c:v>
                </c:pt>
                <c:pt idx="12">
                  <c:v>61.70000000000001</c:v>
                </c:pt>
                <c:pt idx="13">
                  <c:v>60.233333333333327</c:v>
                </c:pt>
                <c:pt idx="14">
                  <c:v>70.766666666666666</c:v>
                </c:pt>
                <c:pt idx="15">
                  <c:v>61.650000000000006</c:v>
                </c:pt>
                <c:pt idx="16">
                  <c:v>62.383333333333333</c:v>
                </c:pt>
                <c:pt idx="17">
                  <c:v>72.499999999999986</c:v>
                </c:pt>
                <c:pt idx="18">
                  <c:v>75.133333333333326</c:v>
                </c:pt>
                <c:pt idx="19">
                  <c:v>75.11666666666666</c:v>
                </c:pt>
                <c:pt idx="20">
                  <c:v>76.916666666666671</c:v>
                </c:pt>
                <c:pt idx="21">
                  <c:v>78.566666666666663</c:v>
                </c:pt>
                <c:pt idx="22">
                  <c:v>79.533333333333317</c:v>
                </c:pt>
                <c:pt idx="23">
                  <c:v>81.533333333333331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CA-4605-B21C-1FD29DFC6781}"/>
            </c:ext>
          </c:extLst>
        </c:ser>
        <c:ser>
          <c:idx val="1"/>
          <c:order val="1"/>
          <c:tx>
            <c:strRef>
              <c:f>'250607'!$M$11</c:f>
              <c:strCache>
                <c:ptCount val="1"/>
                <c:pt idx="0">
                  <c:v>H. Out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'250607'!$M$12:$M$35</c:f>
              <c:numCache>
                <c:formatCode>0</c:formatCode>
                <c:ptCount val="24"/>
                <c:pt idx="0">
                  <c:v>77.72</c:v>
                </c:pt>
                <c:pt idx="1">
                  <c:v>78.333333333333329</c:v>
                </c:pt>
                <c:pt idx="2">
                  <c:v>80.37</c:v>
                </c:pt>
                <c:pt idx="3">
                  <c:v>81.221666666666664</c:v>
                </c:pt>
                <c:pt idx="4">
                  <c:v>82.813333333333333</c:v>
                </c:pt>
                <c:pt idx="5">
                  <c:v>83.073333333333338</c:v>
                </c:pt>
                <c:pt idx="6">
                  <c:v>82.553333333333327</c:v>
                </c:pt>
                <c:pt idx="7">
                  <c:v>81.518333333333331</c:v>
                </c:pt>
                <c:pt idx="8">
                  <c:v>78.828333333333333</c:v>
                </c:pt>
                <c:pt idx="9">
                  <c:v>72.625</c:v>
                </c:pt>
                <c:pt idx="10">
                  <c:v>75.99499999999999</c:v>
                </c:pt>
                <c:pt idx="11">
                  <c:v>72.311666666666667</c:v>
                </c:pt>
                <c:pt idx="12">
                  <c:v>59.903333333333329</c:v>
                </c:pt>
                <c:pt idx="13">
                  <c:v>58.495000000000005</c:v>
                </c:pt>
                <c:pt idx="14">
                  <c:v>68.720000000000013</c:v>
                </c:pt>
                <c:pt idx="15">
                  <c:v>59.846666666666664</c:v>
                </c:pt>
                <c:pt idx="16">
                  <c:v>60.551666666666669</c:v>
                </c:pt>
                <c:pt idx="17">
                  <c:v>70.388333333333335</c:v>
                </c:pt>
                <c:pt idx="18">
                  <c:v>72.943333333333328</c:v>
                </c:pt>
                <c:pt idx="19">
                  <c:v>72.924999999999997</c:v>
                </c:pt>
                <c:pt idx="20">
                  <c:v>74.663333333333327</c:v>
                </c:pt>
                <c:pt idx="21">
                  <c:v>76.276666666666671</c:v>
                </c:pt>
                <c:pt idx="22">
                  <c:v>77.201666666666668</c:v>
                </c:pt>
                <c:pt idx="23">
                  <c:v>79.12833333333333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CA-4605-B21C-1FD29DFC6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59680"/>
        <c:axId val="762462944"/>
      </c:lineChart>
      <c:catAx>
        <c:axId val="762459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2944"/>
        <c:crosses val="autoZero"/>
        <c:auto val="1"/>
        <c:lblAlgn val="ctr"/>
        <c:lblOffset val="100"/>
        <c:noMultiLvlLbl val="0"/>
      </c:catAx>
      <c:valAx>
        <c:axId val="76246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5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Dir.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'250607'!$G$11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'250607'!$G$12:$G$35</c:f>
              <c:numCache>
                <c:formatCode>0</c:formatCode>
                <c:ptCount val="24"/>
                <c:pt idx="0">
                  <c:v>37.4</c:v>
                </c:pt>
                <c:pt idx="1">
                  <c:v>94.5</c:v>
                </c:pt>
                <c:pt idx="2">
                  <c:v>29.8</c:v>
                </c:pt>
                <c:pt idx="3">
                  <c:v>57</c:v>
                </c:pt>
                <c:pt idx="4">
                  <c:v>49.7</c:v>
                </c:pt>
                <c:pt idx="5">
                  <c:v>51.1</c:v>
                </c:pt>
                <c:pt idx="6">
                  <c:v>15.7</c:v>
                </c:pt>
                <c:pt idx="7">
                  <c:v>46.2</c:v>
                </c:pt>
                <c:pt idx="8">
                  <c:v>36.1</c:v>
                </c:pt>
                <c:pt idx="9">
                  <c:v>33.799999999999997</c:v>
                </c:pt>
                <c:pt idx="10">
                  <c:v>240.7</c:v>
                </c:pt>
                <c:pt idx="11">
                  <c:v>56</c:v>
                </c:pt>
                <c:pt idx="12">
                  <c:v>200.9</c:v>
                </c:pt>
                <c:pt idx="13">
                  <c:v>176.4</c:v>
                </c:pt>
                <c:pt idx="14">
                  <c:v>182.3</c:v>
                </c:pt>
                <c:pt idx="15">
                  <c:v>203.5</c:v>
                </c:pt>
                <c:pt idx="16">
                  <c:v>156.5</c:v>
                </c:pt>
                <c:pt idx="17">
                  <c:v>105.8</c:v>
                </c:pt>
                <c:pt idx="18">
                  <c:v>100.9</c:v>
                </c:pt>
                <c:pt idx="19">
                  <c:v>99.8</c:v>
                </c:pt>
                <c:pt idx="20">
                  <c:v>63.6</c:v>
                </c:pt>
                <c:pt idx="21">
                  <c:v>89.6</c:v>
                </c:pt>
                <c:pt idx="22">
                  <c:v>55.1</c:v>
                </c:pt>
                <c:pt idx="23">
                  <c:v>24.7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43-4E50-B28F-712AA4014EA1}"/>
            </c:ext>
          </c:extLst>
        </c:ser>
        <c:ser>
          <c:idx val="1"/>
          <c:order val="1"/>
          <c:tx>
            <c:strRef>
              <c:f>'250607'!$O$11</c:f>
              <c:strCache>
                <c:ptCount val="1"/>
                <c:pt idx="0">
                  <c:v>Dir.
Viento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'250607'!$O$12:$O$35</c:f>
              <c:numCache>
                <c:formatCode>0</c:formatCode>
                <c:ptCount val="24"/>
                <c:pt idx="0">
                  <c:v>34.369999999999997</c:v>
                </c:pt>
                <c:pt idx="1">
                  <c:v>89.51</c:v>
                </c:pt>
                <c:pt idx="2">
                  <c:v>22.81</c:v>
                </c:pt>
                <c:pt idx="3">
                  <c:v>52</c:v>
                </c:pt>
                <c:pt idx="4">
                  <c:v>42.65</c:v>
                </c:pt>
                <c:pt idx="5">
                  <c:v>44.09</c:v>
                </c:pt>
                <c:pt idx="6">
                  <c:v>15.74</c:v>
                </c:pt>
                <c:pt idx="7">
                  <c:v>39.15</c:v>
                </c:pt>
                <c:pt idx="8">
                  <c:v>29.09</c:v>
                </c:pt>
                <c:pt idx="9">
                  <c:v>33.76</c:v>
                </c:pt>
                <c:pt idx="10">
                  <c:v>235.74</c:v>
                </c:pt>
                <c:pt idx="11">
                  <c:v>54.04</c:v>
                </c:pt>
                <c:pt idx="12">
                  <c:v>196.89</c:v>
                </c:pt>
                <c:pt idx="13">
                  <c:v>173.44</c:v>
                </c:pt>
                <c:pt idx="14">
                  <c:v>176.31</c:v>
                </c:pt>
                <c:pt idx="15">
                  <c:v>201.53</c:v>
                </c:pt>
                <c:pt idx="16">
                  <c:v>152.46</c:v>
                </c:pt>
                <c:pt idx="17">
                  <c:v>98.79</c:v>
                </c:pt>
                <c:pt idx="18">
                  <c:v>100.88</c:v>
                </c:pt>
                <c:pt idx="19">
                  <c:v>95.75</c:v>
                </c:pt>
                <c:pt idx="20">
                  <c:v>63.57</c:v>
                </c:pt>
                <c:pt idx="21">
                  <c:v>88.6</c:v>
                </c:pt>
                <c:pt idx="22">
                  <c:v>52.14</c:v>
                </c:pt>
                <c:pt idx="23">
                  <c:v>23.73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43-4E50-B28F-712AA4014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7296"/>
        <c:axId val="762460768"/>
      </c:lineChart>
      <c:catAx>
        <c:axId val="762467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0768"/>
        <c:crosses val="autoZero"/>
        <c:auto val="1"/>
        <c:lblAlgn val="ctr"/>
        <c:lblOffset val="100"/>
        <c:noMultiLvlLbl val="0"/>
      </c:catAx>
      <c:valAx>
        <c:axId val="76246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V. Viento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'250607'!$H$11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'250607'!$H$12:$H$35</c:f>
              <c:numCache>
                <c:formatCode>0</c:formatCode>
                <c:ptCount val="24"/>
                <c:pt idx="0">
                  <c:v>1.1833333333333333</c:v>
                </c:pt>
                <c:pt idx="1">
                  <c:v>1.6499999999999997</c:v>
                </c:pt>
                <c:pt idx="2">
                  <c:v>1.9333333333333333</c:v>
                </c:pt>
                <c:pt idx="3">
                  <c:v>1.4666666666666668</c:v>
                </c:pt>
                <c:pt idx="4">
                  <c:v>1.6166666666666669</c:v>
                </c:pt>
                <c:pt idx="5">
                  <c:v>1.0166666666666668</c:v>
                </c:pt>
                <c:pt idx="6">
                  <c:v>1.5666666666666667</c:v>
                </c:pt>
                <c:pt idx="7">
                  <c:v>2.4333333333333331</c:v>
                </c:pt>
                <c:pt idx="8">
                  <c:v>1.5833333333333333</c:v>
                </c:pt>
                <c:pt idx="9">
                  <c:v>1.3</c:v>
                </c:pt>
                <c:pt idx="10">
                  <c:v>2.8666666666666671</c:v>
                </c:pt>
                <c:pt idx="11">
                  <c:v>2.6999999999999997</c:v>
                </c:pt>
                <c:pt idx="12">
                  <c:v>5.5000000000000009</c:v>
                </c:pt>
                <c:pt idx="13">
                  <c:v>4.666666666666667</c:v>
                </c:pt>
                <c:pt idx="14">
                  <c:v>4.9833333333333334</c:v>
                </c:pt>
                <c:pt idx="15">
                  <c:v>4.833333333333333</c:v>
                </c:pt>
                <c:pt idx="16">
                  <c:v>3.2166666666666668</c:v>
                </c:pt>
                <c:pt idx="17">
                  <c:v>3.0499999999999994</c:v>
                </c:pt>
                <c:pt idx="18">
                  <c:v>2.5666666666666669</c:v>
                </c:pt>
                <c:pt idx="19">
                  <c:v>1.2333333333333334</c:v>
                </c:pt>
                <c:pt idx="20">
                  <c:v>1.3666666666666669</c:v>
                </c:pt>
                <c:pt idx="21">
                  <c:v>1.4333333333333333</c:v>
                </c:pt>
                <c:pt idx="22">
                  <c:v>1.8666666666666669</c:v>
                </c:pt>
                <c:pt idx="23">
                  <c:v>0.58333333333333337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73-41E5-83FC-26331F185751}"/>
            </c:ext>
          </c:extLst>
        </c:ser>
        <c:ser>
          <c:idx val="1"/>
          <c:order val="1"/>
          <c:tx>
            <c:strRef>
              <c:f>'250607'!$P$11</c:f>
              <c:strCache>
                <c:ptCount val="1"/>
                <c:pt idx="0">
                  <c:v>V. Viento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'250607'!$P$12:$P$35</c:f>
              <c:numCache>
                <c:formatCode>0</c:formatCode>
                <c:ptCount val="24"/>
                <c:pt idx="0">
                  <c:v>0.51166666666666671</c:v>
                </c:pt>
                <c:pt idx="1">
                  <c:v>0.82333333333333325</c:v>
                </c:pt>
                <c:pt idx="2">
                  <c:v>1.105</c:v>
                </c:pt>
                <c:pt idx="3">
                  <c:v>1.1399999999999999</c:v>
                </c:pt>
                <c:pt idx="4">
                  <c:v>1.1033333333333333</c:v>
                </c:pt>
                <c:pt idx="5">
                  <c:v>0.49833333333333329</c:v>
                </c:pt>
                <c:pt idx="6">
                  <c:v>0.88833333333333331</c:v>
                </c:pt>
                <c:pt idx="7">
                  <c:v>1.7583333333333335</c:v>
                </c:pt>
                <c:pt idx="8">
                  <c:v>1.0866666666666667</c:v>
                </c:pt>
                <c:pt idx="9">
                  <c:v>0.96666666666666667</c:v>
                </c:pt>
                <c:pt idx="10">
                  <c:v>2.0416666666666665</c:v>
                </c:pt>
                <c:pt idx="11">
                  <c:v>2.1783333333333332</c:v>
                </c:pt>
                <c:pt idx="12">
                  <c:v>4.8566666666666665</c:v>
                </c:pt>
                <c:pt idx="13">
                  <c:v>4.3283333333333331</c:v>
                </c:pt>
                <c:pt idx="14">
                  <c:v>4.1433333333333335</c:v>
                </c:pt>
                <c:pt idx="15">
                  <c:v>4.1466666666666656</c:v>
                </c:pt>
                <c:pt idx="16">
                  <c:v>2.7233333333333332</c:v>
                </c:pt>
                <c:pt idx="17">
                  <c:v>2.5533333333333332</c:v>
                </c:pt>
                <c:pt idx="18">
                  <c:v>1.72</c:v>
                </c:pt>
                <c:pt idx="19">
                  <c:v>1.0716666666666665</c:v>
                </c:pt>
                <c:pt idx="20">
                  <c:v>0.86833333333333329</c:v>
                </c:pt>
                <c:pt idx="21">
                  <c:v>0.73999999999999988</c:v>
                </c:pt>
                <c:pt idx="22">
                  <c:v>1.365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73-41E5-83FC-26331F185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67840"/>
        <c:axId val="762469472"/>
      </c:lineChart>
      <c:catAx>
        <c:axId val="76246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9472"/>
        <c:crosses val="autoZero"/>
        <c:auto val="1"/>
        <c:lblAlgn val="ctr"/>
        <c:lblOffset val="100"/>
        <c:noMultiLvlLbl val="0"/>
      </c:catAx>
      <c:valAx>
        <c:axId val="7624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6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Uv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'250607'!$J$11</c:f>
              <c:strCache>
                <c:ptCount val="1"/>
                <c:pt idx="0">
                  <c:v>Uv
Index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'250607'!$J$12:$J$35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2E-447A-8E14-2DFD4B21795B}"/>
            </c:ext>
          </c:extLst>
        </c:ser>
        <c:ser>
          <c:idx val="1"/>
          <c:order val="1"/>
          <c:tx>
            <c:strRef>
              <c:f>'250607'!$R$11</c:f>
              <c:strCache>
                <c:ptCount val="1"/>
                <c:pt idx="0">
                  <c:v>Uv.
Index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'250607'!$R$12:$R$35</c:f>
              <c:numCache>
                <c:formatCode>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2E-447A-8E14-2DFD4B217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70560"/>
        <c:axId val="762471648"/>
      </c:lineChart>
      <c:catAx>
        <c:axId val="762470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71648"/>
        <c:crosses val="autoZero"/>
        <c:auto val="1"/>
        <c:lblAlgn val="ctr"/>
        <c:lblOffset val="100"/>
        <c:noMultiLvlLbl val="0"/>
      </c:catAx>
      <c:valAx>
        <c:axId val="76247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7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P.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'250607'!$F$11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'250607'!$F$12:$F$35</c:f>
              <c:numCache>
                <c:formatCode>0</c:formatCode>
                <c:ptCount val="24"/>
                <c:pt idx="0">
                  <c:v>566.18333333333339</c:v>
                </c:pt>
                <c:pt idx="1">
                  <c:v>566.13333333333333</c:v>
                </c:pt>
                <c:pt idx="2">
                  <c:v>565.65</c:v>
                </c:pt>
                <c:pt idx="3">
                  <c:v>565.30000000000007</c:v>
                </c:pt>
                <c:pt idx="4">
                  <c:v>565.76666666666665</c:v>
                </c:pt>
                <c:pt idx="5">
                  <c:v>565.85</c:v>
                </c:pt>
                <c:pt idx="6">
                  <c:v>565.78333333333342</c:v>
                </c:pt>
                <c:pt idx="7">
                  <c:v>566.55000000000007</c:v>
                </c:pt>
                <c:pt idx="8">
                  <c:v>566.76666666666677</c:v>
                </c:pt>
                <c:pt idx="9">
                  <c:v>565.99999999999989</c:v>
                </c:pt>
                <c:pt idx="10">
                  <c:v>566.19999999999993</c:v>
                </c:pt>
                <c:pt idx="11">
                  <c:v>565.56666666666672</c:v>
                </c:pt>
                <c:pt idx="12">
                  <c:v>564.96666666666658</c:v>
                </c:pt>
                <c:pt idx="13">
                  <c:v>564.66666666666663</c:v>
                </c:pt>
                <c:pt idx="14">
                  <c:v>564.21666666666658</c:v>
                </c:pt>
                <c:pt idx="15">
                  <c:v>563.7833333333333</c:v>
                </c:pt>
                <c:pt idx="16">
                  <c:v>563.80000000000007</c:v>
                </c:pt>
                <c:pt idx="17">
                  <c:v>564.13333333333333</c:v>
                </c:pt>
                <c:pt idx="18">
                  <c:v>564.88333333333333</c:v>
                </c:pt>
                <c:pt idx="19">
                  <c:v>565.88333333333333</c:v>
                </c:pt>
                <c:pt idx="20">
                  <c:v>566.48333333333323</c:v>
                </c:pt>
                <c:pt idx="21">
                  <c:v>566.81666666666672</c:v>
                </c:pt>
                <c:pt idx="22">
                  <c:v>567.1</c:v>
                </c:pt>
                <c:pt idx="23">
                  <c:v>566.7166666666667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0E-4EBD-8ED2-90E11E265D9B}"/>
            </c:ext>
          </c:extLst>
        </c:ser>
        <c:ser>
          <c:idx val="1"/>
          <c:order val="1"/>
          <c:tx>
            <c:strRef>
              <c:f>'250607'!$N$11</c:f>
              <c:strCache>
                <c:ptCount val="1"/>
                <c:pt idx="0">
                  <c:v>P. Bar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'250607'!$N$12:$N$35</c:f>
              <c:numCache>
                <c:formatCode>0</c:formatCode>
                <c:ptCount val="24"/>
                <c:pt idx="0">
                  <c:v>565.85166666666669</c:v>
                </c:pt>
                <c:pt idx="1">
                  <c:v>565.43999999999994</c:v>
                </c:pt>
                <c:pt idx="2">
                  <c:v>565.14333333333332</c:v>
                </c:pt>
                <c:pt idx="3">
                  <c:v>564.9666666666667</c:v>
                </c:pt>
                <c:pt idx="4">
                  <c:v>564.93833333333339</c:v>
                </c:pt>
                <c:pt idx="5">
                  <c:v>565.18666666666672</c:v>
                </c:pt>
                <c:pt idx="6">
                  <c:v>565.63833333333332</c:v>
                </c:pt>
                <c:pt idx="7">
                  <c:v>566.04166666666663</c:v>
                </c:pt>
                <c:pt idx="8">
                  <c:v>566.0916666666667</c:v>
                </c:pt>
                <c:pt idx="9">
                  <c:v>565.82333333333338</c:v>
                </c:pt>
                <c:pt idx="10">
                  <c:v>565.54333333333341</c:v>
                </c:pt>
                <c:pt idx="11">
                  <c:v>564.88166666666666</c:v>
                </c:pt>
                <c:pt idx="12">
                  <c:v>564.29000000000008</c:v>
                </c:pt>
                <c:pt idx="13">
                  <c:v>563.99999999999989</c:v>
                </c:pt>
                <c:pt idx="14">
                  <c:v>563.73000000000013</c:v>
                </c:pt>
                <c:pt idx="15">
                  <c:v>563.2733333333332</c:v>
                </c:pt>
                <c:pt idx="16">
                  <c:v>563.11833333333334</c:v>
                </c:pt>
                <c:pt idx="17">
                  <c:v>563.79333333333329</c:v>
                </c:pt>
                <c:pt idx="18">
                  <c:v>564.55499999999995</c:v>
                </c:pt>
                <c:pt idx="19">
                  <c:v>565.22833333333335</c:v>
                </c:pt>
                <c:pt idx="20">
                  <c:v>565.96833333333336</c:v>
                </c:pt>
                <c:pt idx="21">
                  <c:v>566.28499999999997</c:v>
                </c:pt>
                <c:pt idx="22">
                  <c:v>566.44833333333338</c:v>
                </c:pt>
                <c:pt idx="23">
                  <c:v>566.38166666666666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0E-4EBD-8ED2-90E11E26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458048"/>
        <c:axId val="853779168"/>
      </c:lineChart>
      <c:catAx>
        <c:axId val="762458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9168"/>
        <c:crosses val="autoZero"/>
        <c:auto val="1"/>
        <c:lblAlgn val="ctr"/>
        <c:lblOffset val="100"/>
        <c:noMultiLvlLbl val="0"/>
      </c:catAx>
      <c:valAx>
        <c:axId val="85377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245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Precipitación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'250607'!$K$11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'250607'!$K$12:$K$34</c:f>
              <c:numCache>
                <c:formatCode>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F-413F-84BE-6B1850872AD0}"/>
            </c:ext>
          </c:extLst>
        </c:ser>
        <c:ser>
          <c:idx val="1"/>
          <c:order val="1"/>
          <c:tx>
            <c:strRef>
              <c:f>'250607'!$S$11</c:f>
              <c:strCache>
                <c:ptCount val="1"/>
                <c:pt idx="0">
                  <c:v>Precipitación</c:v>
                </c:pt>
              </c:strCache>
            </c:strRef>
          </c:tx>
          <c:spPr>
            <a:ln w="28575" cap="rnd">
              <a:solidFill>
                <a:srgbClr val="FF6900"/>
              </a:solidFill>
              <a:round/>
            </a:ln>
            <a:effectLst/>
          </c:spPr>
          <c:marker>
            <c:symbol val="none"/>
          </c:marker>
          <c:val>
            <c:numRef>
              <c:f>'250607'!$S$12:$S$35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2F-413F-84BE-6B1850872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3773184"/>
        <c:axId val="853775360"/>
      </c:lineChart>
      <c:catAx>
        <c:axId val="853773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5360"/>
        <c:crosses val="autoZero"/>
        <c:auto val="1"/>
        <c:lblAlgn val="ctr"/>
        <c:lblOffset val="100"/>
        <c:noMultiLvlLbl val="0"/>
      </c:catAx>
      <c:valAx>
        <c:axId val="85377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Solar</a:t>
            </a:r>
            <a:r>
              <a:rPr lang="es-419" baseline="0"/>
              <a:t> Rad.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'250607'!$I$11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rgbClr val="746661"/>
              </a:solidFill>
              <a:round/>
            </a:ln>
            <a:effectLst/>
          </c:spPr>
          <c:marker>
            <c:symbol val="none"/>
          </c:marker>
          <c:val>
            <c:numRef>
              <c:f>'250607'!$I$12:$I$35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19.816666666666666</c:v>
                </c:pt>
                <c:pt idx="7">
                  <c:v>76.666666666666671</c:v>
                </c:pt>
                <c:pt idx="8">
                  <c:v>130.63333333333333</c:v>
                </c:pt>
                <c:pt idx="9">
                  <c:v>163</c:v>
                </c:pt>
                <c:pt idx="10">
                  <c:v>193.25</c:v>
                </c:pt>
                <c:pt idx="11">
                  <c:v>260.91666666666669</c:v>
                </c:pt>
                <c:pt idx="12">
                  <c:v>215.5333333333333</c:v>
                </c:pt>
                <c:pt idx="13">
                  <c:v>236.35</c:v>
                </c:pt>
                <c:pt idx="14">
                  <c:v>266.86666666666673</c:v>
                </c:pt>
                <c:pt idx="15">
                  <c:v>345.56666666666661</c:v>
                </c:pt>
                <c:pt idx="16">
                  <c:v>78.34999999999998</c:v>
                </c:pt>
                <c:pt idx="17">
                  <c:v>24.733333333333334</c:v>
                </c:pt>
                <c:pt idx="18">
                  <c:v>2.1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C2-4E78-B07F-B0A36A4239D9}"/>
            </c:ext>
          </c:extLst>
        </c:ser>
        <c:ser>
          <c:idx val="1"/>
          <c:order val="1"/>
          <c:tx>
            <c:strRef>
              <c:f>'250607'!$Q$11</c:f>
              <c:strCache>
                <c:ptCount val="1"/>
                <c:pt idx="0">
                  <c:v>Rad
Solar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'250607'!$Q$12:$Q$35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13.976666666666667</c:v>
                </c:pt>
                <c:pt idx="7">
                  <c:v>71.33</c:v>
                </c:pt>
                <c:pt idx="8">
                  <c:v>125.95833333333333</c:v>
                </c:pt>
                <c:pt idx="9">
                  <c:v>155.49666666666667</c:v>
                </c:pt>
                <c:pt idx="10">
                  <c:v>188.90166666666664</c:v>
                </c:pt>
                <c:pt idx="11">
                  <c:v>256.92333333333335</c:v>
                </c:pt>
                <c:pt idx="12">
                  <c:v>209.53333333333333</c:v>
                </c:pt>
                <c:pt idx="13">
                  <c:v>232.51500000000001</c:v>
                </c:pt>
                <c:pt idx="14">
                  <c:v>261.53166666666669</c:v>
                </c:pt>
                <c:pt idx="15">
                  <c:v>342.71499999999997</c:v>
                </c:pt>
                <c:pt idx="16">
                  <c:v>74.346666666666678</c:v>
                </c:pt>
                <c:pt idx="17">
                  <c:v>21.238333333333333</c:v>
                </c:pt>
                <c:pt idx="18">
                  <c:v>0.92499999999999993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C2-4E78-B07F-B0A36A423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3776992"/>
        <c:axId val="853771008"/>
      </c:lineChart>
      <c:catAx>
        <c:axId val="853776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1008"/>
        <c:crosses val="autoZero"/>
        <c:auto val="1"/>
        <c:lblAlgn val="ctr"/>
        <c:lblOffset val="100"/>
        <c:noMultiLvlLbl val="0"/>
      </c:catAx>
      <c:valAx>
        <c:axId val="85377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377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image" Target="../media/image1.png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12" Type="http://schemas.openxmlformats.org/officeDocument/2006/relationships/image" Target="../media/image4.jpeg"/><Relationship Id="rId2" Type="http://schemas.openxmlformats.org/officeDocument/2006/relationships/chart" Target="../charts/chart17.xml"/><Relationship Id="rId1" Type="http://schemas.openxmlformats.org/officeDocument/2006/relationships/image" Target="../media/image1.png"/><Relationship Id="rId6" Type="http://schemas.openxmlformats.org/officeDocument/2006/relationships/chart" Target="../charts/chart21.xml"/><Relationship Id="rId11" Type="http://schemas.openxmlformats.org/officeDocument/2006/relationships/image" Target="../media/image3.png"/><Relationship Id="rId5" Type="http://schemas.openxmlformats.org/officeDocument/2006/relationships/chart" Target="../charts/chart20.xml"/><Relationship Id="rId10" Type="http://schemas.openxmlformats.org/officeDocument/2006/relationships/image" Target="../media/image2.png"/><Relationship Id="rId4" Type="http://schemas.openxmlformats.org/officeDocument/2006/relationships/chart" Target="../charts/chart19.xml"/><Relationship Id="rId9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13" Type="http://schemas.openxmlformats.org/officeDocument/2006/relationships/image" Target="../media/image3.png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12" Type="http://schemas.openxmlformats.org/officeDocument/2006/relationships/image" Target="../media/image2.png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image" Target="../media/image4.jpeg"/><Relationship Id="rId5" Type="http://schemas.openxmlformats.org/officeDocument/2006/relationships/chart" Target="../charts/chart29.xml"/><Relationship Id="rId10" Type="http://schemas.openxmlformats.org/officeDocument/2006/relationships/image" Target="../media/image6.svg"/><Relationship Id="rId4" Type="http://schemas.openxmlformats.org/officeDocument/2006/relationships/chart" Target="../charts/chart28.xml"/><Relationship Id="rId9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13" Type="http://schemas.openxmlformats.org/officeDocument/2006/relationships/image" Target="../media/image3.png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12" Type="http://schemas.openxmlformats.org/officeDocument/2006/relationships/image" Target="../media/image2.png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11" Type="http://schemas.openxmlformats.org/officeDocument/2006/relationships/image" Target="../media/image4.jpeg"/><Relationship Id="rId5" Type="http://schemas.openxmlformats.org/officeDocument/2006/relationships/chart" Target="../charts/chart37.xml"/><Relationship Id="rId10" Type="http://schemas.openxmlformats.org/officeDocument/2006/relationships/image" Target="../media/image6.svg"/><Relationship Id="rId4" Type="http://schemas.openxmlformats.org/officeDocument/2006/relationships/chart" Target="../charts/chart36.xml"/><Relationship Id="rId9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8.xml"/><Relationship Id="rId13" Type="http://schemas.openxmlformats.org/officeDocument/2006/relationships/image" Target="../media/image3.png"/><Relationship Id="rId3" Type="http://schemas.openxmlformats.org/officeDocument/2006/relationships/chart" Target="../charts/chart43.xml"/><Relationship Id="rId7" Type="http://schemas.openxmlformats.org/officeDocument/2006/relationships/chart" Target="../charts/chart47.xml"/><Relationship Id="rId12" Type="http://schemas.openxmlformats.org/officeDocument/2006/relationships/image" Target="../media/image2.png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11" Type="http://schemas.openxmlformats.org/officeDocument/2006/relationships/image" Target="../media/image4.jpeg"/><Relationship Id="rId5" Type="http://schemas.openxmlformats.org/officeDocument/2006/relationships/chart" Target="../charts/chart45.xml"/><Relationship Id="rId10" Type="http://schemas.openxmlformats.org/officeDocument/2006/relationships/image" Target="../media/image6.svg"/><Relationship Id="rId4" Type="http://schemas.openxmlformats.org/officeDocument/2006/relationships/chart" Target="../charts/chart44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330389</xdr:colOff>
      <xdr:row>0</xdr:row>
      <xdr:rowOff>44747</xdr:rowOff>
    </xdr:from>
    <xdr:to>
      <xdr:col>2</xdr:col>
      <xdr:colOff>449580</xdr:colOff>
      <xdr:row>3</xdr:row>
      <xdr:rowOff>194795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19C1F4D0-C731-440E-9EE1-FDBC17795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249" y="44747"/>
          <a:ext cx="896431" cy="835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08750C6-5BD3-4DF5-B223-2516BAF82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C430E2C-EB16-45F5-ACB1-10431098F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55354B5-D90E-4F0E-B853-F6ECC365B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1EA056A-06F5-47E4-823D-836C28FDF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63501</xdr:colOff>
      <xdr:row>54</xdr:row>
      <xdr:rowOff>144462</xdr:rowOff>
    </xdr:from>
    <xdr:to>
      <xdr:col>27</xdr:col>
      <xdr:colOff>1238251</xdr:colOff>
      <xdr:row>66</xdr:row>
      <xdr:rowOff>254000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145E8B4-B8AC-4FBC-ADBE-8B0504495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B7FFC3D-56AD-408C-A687-8829DBBD8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BB70234-38BD-422B-A887-A87834562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19C46B1-C1B2-4170-BAF1-43877B3EA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330389</xdr:colOff>
      <xdr:row>0</xdr:row>
      <xdr:rowOff>44747</xdr:rowOff>
    </xdr:from>
    <xdr:to>
      <xdr:col>2</xdr:col>
      <xdr:colOff>449580</xdr:colOff>
      <xdr:row>3</xdr:row>
      <xdr:rowOff>194795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AAF05CCC-D6BC-46F5-80CD-FD19E0CA3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249" y="44747"/>
          <a:ext cx="896431" cy="835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C8CBA5-F6CF-4A2D-97B9-5974C8A8F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22BB3BF-F025-424F-BCEF-04CFF5440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D4D667A-A52E-48E1-AD3F-1549763F2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13D0824-A054-4395-84AC-930A8E7A5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63501</xdr:colOff>
      <xdr:row>54</xdr:row>
      <xdr:rowOff>144462</xdr:rowOff>
    </xdr:from>
    <xdr:to>
      <xdr:col>27</xdr:col>
      <xdr:colOff>1238251</xdr:colOff>
      <xdr:row>66</xdr:row>
      <xdr:rowOff>254000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3B0ECB-966B-4CF3-A7B7-F3FDB9D53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FA9FE7C-6080-4C60-AAF1-A7BD8EF908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DB10B8B-6408-4DA2-8151-6F8713A7D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27A9141-7F04-4D65-A494-AD034A9EE4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330389</xdr:colOff>
      <xdr:row>0</xdr:row>
      <xdr:rowOff>44747</xdr:rowOff>
    </xdr:from>
    <xdr:to>
      <xdr:col>2</xdr:col>
      <xdr:colOff>452755</xdr:colOff>
      <xdr:row>3</xdr:row>
      <xdr:rowOff>194795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A26B4574-6283-469A-93FD-2451E94EE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249" y="44747"/>
          <a:ext cx="896431" cy="835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33D038-8938-4738-9827-47CE4B5C5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DE8F815-D432-460D-9840-EFB5F3D17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E29669-B493-4E27-AAF1-6B54E3B5CE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D0D1049-39BF-4E9E-82EC-D408F8312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63501</xdr:colOff>
      <xdr:row>54</xdr:row>
      <xdr:rowOff>144462</xdr:rowOff>
    </xdr:from>
    <xdr:to>
      <xdr:col>27</xdr:col>
      <xdr:colOff>1238251</xdr:colOff>
      <xdr:row>66</xdr:row>
      <xdr:rowOff>254000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1629A76-32BF-4AF8-A78F-26B15A940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3D4F610-3FA9-40A9-87BA-5EC638DC4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215C448-54DA-44DF-B912-3E57B3C5A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86FDFFC-6771-451B-8214-0C239C16A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8</xdr:col>
      <xdr:colOff>254000</xdr:colOff>
      <xdr:row>7</xdr:row>
      <xdr:rowOff>60007</xdr:rowOff>
    </xdr:from>
    <xdr:to>
      <xdr:col>10</xdr:col>
      <xdr:colOff>495935</xdr:colOff>
      <xdr:row>7</xdr:row>
      <xdr:rowOff>334327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9BC1680-1138-4FBD-BA3A-528931C823B9}"/>
            </a:ext>
          </a:extLst>
        </xdr:cNvPr>
        <xdr:cNvPicPr/>
      </xdr:nvPicPr>
      <xdr:blipFill>
        <a:blip xmlns:r="http://schemas.openxmlformats.org/officeDocument/2006/relationships" r:embed="rId10">
          <a:lum bright="-4000" contrast="22000"/>
        </a:blip>
        <a:srcRect l="2695" t="17084" r="30188" b="41273"/>
        <a:stretch>
          <a:fillRect/>
        </a:stretch>
      </xdr:blipFill>
      <xdr:spPr>
        <a:xfrm>
          <a:off x="4992688" y="2028507"/>
          <a:ext cx="1432560" cy="274320"/>
        </a:xfrm>
        <a:prstGeom prst="rect">
          <a:avLst/>
        </a:prstGeom>
        <a:noFill/>
        <a:ln>
          <a:noFill/>
          <a:prstDash/>
        </a:ln>
      </xdr:spPr>
    </xdr:pic>
    <xdr:clientData/>
  </xdr:twoCellAnchor>
  <xdr:twoCellAnchor editAs="oneCell">
    <xdr:from>
      <xdr:col>9</xdr:col>
      <xdr:colOff>253049</xdr:colOff>
      <xdr:row>6</xdr:row>
      <xdr:rowOff>23812</xdr:rowOff>
    </xdr:from>
    <xdr:to>
      <xdr:col>10</xdr:col>
      <xdr:colOff>288840</xdr:colOff>
      <xdr:row>6</xdr:row>
      <xdr:rowOff>366712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8A6BE04-53C4-4D4A-ADA8-4C48D3E71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87049" y="1563687"/>
          <a:ext cx="631104" cy="342900"/>
        </a:xfrm>
        <a:prstGeom prst="rect">
          <a:avLst/>
        </a:prstGeom>
      </xdr:spPr>
    </xdr:pic>
    <xdr:clientData/>
  </xdr:twoCellAnchor>
  <xdr:twoCellAnchor editAs="oneCell">
    <xdr:from>
      <xdr:col>8</xdr:col>
      <xdr:colOff>256954</xdr:colOff>
      <xdr:row>7</xdr:row>
      <xdr:rowOff>39518</xdr:rowOff>
    </xdr:from>
    <xdr:to>
      <xdr:col>10</xdr:col>
      <xdr:colOff>502211</xdr:colOff>
      <xdr:row>7</xdr:row>
      <xdr:rowOff>313838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C832AA4-6111-440B-B0E8-2AED128C62ED}"/>
            </a:ext>
          </a:extLst>
        </xdr:cNvPr>
        <xdr:cNvPicPr/>
      </xdr:nvPicPr>
      <xdr:blipFill>
        <a:blip xmlns:r="http://schemas.openxmlformats.org/officeDocument/2006/relationships" r:embed="rId10">
          <a:lum bright="-4000" contrast="22000"/>
        </a:blip>
        <a:srcRect l="2695" t="17084" r="30188" b="41273"/>
        <a:stretch>
          <a:fillRect/>
        </a:stretch>
      </xdr:blipFill>
      <xdr:spPr>
        <a:xfrm>
          <a:off x="4988974" y="1891178"/>
          <a:ext cx="1433977" cy="274320"/>
        </a:xfrm>
        <a:prstGeom prst="rect">
          <a:avLst/>
        </a:prstGeom>
        <a:noFill/>
        <a:ln>
          <a:noFill/>
          <a:prstDash/>
        </a:ln>
      </xdr:spPr>
    </xdr:pic>
    <xdr:clientData/>
  </xdr:twoCellAnchor>
  <xdr:twoCellAnchor editAs="oneCell">
    <xdr:from>
      <xdr:col>9</xdr:col>
      <xdr:colOff>179614</xdr:colOff>
      <xdr:row>5</xdr:row>
      <xdr:rowOff>20411</xdr:rowOff>
    </xdr:from>
    <xdr:to>
      <xdr:col>10</xdr:col>
      <xdr:colOff>449172</xdr:colOff>
      <xdr:row>5</xdr:row>
      <xdr:rowOff>362876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4E0A840-C8CB-48D4-90D7-D434569A9F2E}"/>
            </a:ext>
            <a:ext uri="{147F2762-F138-4A5C-976F-8EAC2B608ADB}">
              <a16:predDERef xmlns:a16="http://schemas.microsoft.com/office/drawing/2014/main" pred="{BA0D37F0-7E82-42CC-A1AE-90363E26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994" y="1018631"/>
          <a:ext cx="863918" cy="3424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E1BA6D-C6C3-4C67-BC46-7D1E9E462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6D9AEBF-0A0D-4E69-A3C6-8EC6A5DC2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67057A1-0D18-424C-838D-9F6D78CED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E86B679-0771-42B7-A8FA-1648C3A2D9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AD60389-81D3-4561-B03B-9249D6085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DB74632-D83D-4FF4-82E5-300ED6E71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1B778F8-94B0-4714-9713-C0E174A3C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92364</xdr:colOff>
      <xdr:row>54</xdr:row>
      <xdr:rowOff>150090</xdr:rowOff>
    </xdr:from>
    <xdr:to>
      <xdr:col>27</xdr:col>
      <xdr:colOff>1189182</xdr:colOff>
      <xdr:row>66</xdr:row>
      <xdr:rowOff>392545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A0BB899-CC82-4DE6-BA4E-B09450124C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149679</xdr:colOff>
      <xdr:row>1</xdr:row>
      <xdr:rowOff>81644</xdr:rowOff>
    </xdr:from>
    <xdr:to>
      <xdr:col>2</xdr:col>
      <xdr:colOff>727166</xdr:colOff>
      <xdr:row>3</xdr:row>
      <xdr:rowOff>23172</xdr:rowOff>
    </xdr:to>
    <xdr:pic>
      <xdr:nvPicPr>
        <xdr:cNvPr id="10" name="Gráfico 3">
          <a:extLst>
            <a:ext uri="{FF2B5EF4-FFF2-40B4-BE49-F238E27FC236}">
              <a16:creationId xmlns:a16="http://schemas.microsoft.com/office/drawing/2014/main" id="{FD37EC6C-D1B6-425C-AB0E-22CDE60D3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72539" y="310244"/>
          <a:ext cx="1362347" cy="307288"/>
        </a:xfrm>
        <a:prstGeom prst="rect">
          <a:avLst/>
        </a:prstGeom>
      </xdr:spPr>
    </xdr:pic>
    <xdr:clientData/>
  </xdr:twoCellAnchor>
  <xdr:twoCellAnchor editAs="oneCell">
    <xdr:from>
      <xdr:col>9</xdr:col>
      <xdr:colOff>179614</xdr:colOff>
      <xdr:row>5</xdr:row>
      <xdr:rowOff>20411</xdr:rowOff>
    </xdr:from>
    <xdr:to>
      <xdr:col>10</xdr:col>
      <xdr:colOff>449172</xdr:colOff>
      <xdr:row>5</xdr:row>
      <xdr:rowOff>362876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3D401C8-53C8-4986-9B66-6B38E1BB0442}"/>
            </a:ext>
            <a:ext uri="{147F2762-F138-4A5C-976F-8EAC2B608ADB}">
              <a16:predDERef xmlns:a16="http://schemas.microsoft.com/office/drawing/2014/main" pred="{BA0D37F0-7E82-42CC-A1AE-90363E26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994" y="1018631"/>
          <a:ext cx="863918" cy="342465"/>
        </a:xfrm>
        <a:prstGeom prst="rect">
          <a:avLst/>
        </a:prstGeom>
      </xdr:spPr>
    </xdr:pic>
    <xdr:clientData/>
  </xdr:twoCellAnchor>
  <xdr:twoCellAnchor editAs="oneCell">
    <xdr:from>
      <xdr:col>8</xdr:col>
      <xdr:colOff>256954</xdr:colOff>
      <xdr:row>7</xdr:row>
      <xdr:rowOff>39518</xdr:rowOff>
    </xdr:from>
    <xdr:to>
      <xdr:col>10</xdr:col>
      <xdr:colOff>502211</xdr:colOff>
      <xdr:row>7</xdr:row>
      <xdr:rowOff>313838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7117413-2591-4450-B9A4-B5876E41CDA1}"/>
            </a:ext>
          </a:extLst>
        </xdr:cNvPr>
        <xdr:cNvPicPr/>
      </xdr:nvPicPr>
      <xdr:blipFill>
        <a:blip xmlns:r="http://schemas.openxmlformats.org/officeDocument/2006/relationships" r:embed="rId12">
          <a:lum bright="-4000" contrast="22000"/>
        </a:blip>
        <a:srcRect l="2695" t="17084" r="30188" b="41273"/>
        <a:stretch>
          <a:fillRect/>
        </a:stretch>
      </xdr:blipFill>
      <xdr:spPr>
        <a:xfrm>
          <a:off x="4988442" y="1891355"/>
          <a:ext cx="1432560" cy="274320"/>
        </a:xfrm>
        <a:prstGeom prst="rect">
          <a:avLst/>
        </a:prstGeom>
        <a:noFill/>
        <a:ln>
          <a:noFill/>
          <a:prstDash/>
        </a:ln>
      </xdr:spPr>
    </xdr:pic>
    <xdr:clientData/>
  </xdr:twoCellAnchor>
  <xdr:twoCellAnchor editAs="oneCell">
    <xdr:from>
      <xdr:col>9</xdr:col>
      <xdr:colOff>257663</xdr:colOff>
      <xdr:row>6</xdr:row>
      <xdr:rowOff>0</xdr:rowOff>
    </xdr:from>
    <xdr:to>
      <xdr:col>10</xdr:col>
      <xdr:colOff>295116</xdr:colOff>
      <xdr:row>6</xdr:row>
      <xdr:rowOff>342900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93A7E14-B8B7-4F2A-A769-F580F7E4D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82803" y="1426535"/>
          <a:ext cx="631104" cy="342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C05B76-B6FB-4E08-807F-19BFEFFF1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D134E8-989F-42B1-B6BB-B544427C14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55E17FD-2E43-4809-9DF7-FD12A0856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27F04E1-D371-4001-9ACD-93D274F64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C15BCFA-81E1-44C7-86C1-D08E98913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7531E25-4B5F-40BE-8900-9DECF695E7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2CA4AD3-9E4E-49A0-985C-DB7419CFA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92364</xdr:colOff>
      <xdr:row>54</xdr:row>
      <xdr:rowOff>150090</xdr:rowOff>
    </xdr:from>
    <xdr:to>
      <xdr:col>27</xdr:col>
      <xdr:colOff>1189182</xdr:colOff>
      <xdr:row>66</xdr:row>
      <xdr:rowOff>392545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F5A0339-A38A-479B-B200-C37B09A0D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149679</xdr:colOff>
      <xdr:row>1</xdr:row>
      <xdr:rowOff>81644</xdr:rowOff>
    </xdr:from>
    <xdr:to>
      <xdr:col>2</xdr:col>
      <xdr:colOff>727166</xdr:colOff>
      <xdr:row>3</xdr:row>
      <xdr:rowOff>23172</xdr:rowOff>
    </xdr:to>
    <xdr:pic>
      <xdr:nvPicPr>
        <xdr:cNvPr id="10" name="Gráfico 3">
          <a:extLst>
            <a:ext uri="{FF2B5EF4-FFF2-40B4-BE49-F238E27FC236}">
              <a16:creationId xmlns:a16="http://schemas.microsoft.com/office/drawing/2014/main" id="{AA2FD73A-E913-4374-BF77-7C2A7465A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72539" y="310244"/>
          <a:ext cx="1354727" cy="398728"/>
        </a:xfrm>
        <a:prstGeom prst="rect">
          <a:avLst/>
        </a:prstGeom>
      </xdr:spPr>
    </xdr:pic>
    <xdr:clientData/>
  </xdr:twoCellAnchor>
  <xdr:twoCellAnchor editAs="oneCell">
    <xdr:from>
      <xdr:col>9</xdr:col>
      <xdr:colOff>179614</xdr:colOff>
      <xdr:row>5</xdr:row>
      <xdr:rowOff>20411</xdr:rowOff>
    </xdr:from>
    <xdr:to>
      <xdr:col>10</xdr:col>
      <xdr:colOff>449172</xdr:colOff>
      <xdr:row>5</xdr:row>
      <xdr:rowOff>362876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7F02DA6-112C-4435-821D-91287A6A0497}"/>
            </a:ext>
            <a:ext uri="{147F2762-F138-4A5C-976F-8EAC2B608ADB}">
              <a16:predDERef xmlns:a16="http://schemas.microsoft.com/office/drawing/2014/main" pred="{BA0D37F0-7E82-42CC-A1AE-90363E26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994" y="1018631"/>
          <a:ext cx="863918" cy="342465"/>
        </a:xfrm>
        <a:prstGeom prst="rect">
          <a:avLst/>
        </a:prstGeom>
      </xdr:spPr>
    </xdr:pic>
    <xdr:clientData/>
  </xdr:twoCellAnchor>
  <xdr:twoCellAnchor editAs="oneCell">
    <xdr:from>
      <xdr:col>8</xdr:col>
      <xdr:colOff>297180</xdr:colOff>
      <xdr:row>7</xdr:row>
      <xdr:rowOff>60960</xdr:rowOff>
    </xdr:from>
    <xdr:to>
      <xdr:col>10</xdr:col>
      <xdr:colOff>541020</xdr:colOff>
      <xdr:row>7</xdr:row>
      <xdr:rowOff>335280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FBF66BC-36E1-4871-AAC8-BBE11ED96CAD}"/>
            </a:ext>
          </a:extLst>
        </xdr:cNvPr>
        <xdr:cNvPicPr/>
      </xdr:nvPicPr>
      <xdr:blipFill>
        <a:blip xmlns:r="http://schemas.openxmlformats.org/officeDocument/2006/relationships" r:embed="rId12">
          <a:lum bright="-4000" contrast="22000"/>
        </a:blip>
        <a:srcRect l="2695" t="17084" r="30188" b="41273"/>
        <a:stretch>
          <a:fillRect/>
        </a:stretch>
      </xdr:blipFill>
      <xdr:spPr>
        <a:xfrm>
          <a:off x="5029200" y="1912620"/>
          <a:ext cx="1432560" cy="274320"/>
        </a:xfrm>
        <a:prstGeom prst="rect">
          <a:avLst/>
        </a:prstGeom>
        <a:noFill/>
        <a:ln>
          <a:noFill/>
          <a:prstDash/>
        </a:ln>
      </xdr:spPr>
    </xdr:pic>
    <xdr:clientData/>
  </xdr:twoCellAnchor>
  <xdr:twoCellAnchor editAs="oneCell">
    <xdr:from>
      <xdr:col>9</xdr:col>
      <xdr:colOff>297181</xdr:colOff>
      <xdr:row>6</xdr:row>
      <xdr:rowOff>22860</xdr:rowOff>
    </xdr:from>
    <xdr:to>
      <xdr:col>10</xdr:col>
      <xdr:colOff>333925</xdr:colOff>
      <xdr:row>6</xdr:row>
      <xdr:rowOff>365760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DB5AFB0-F2AF-46F0-B876-705172DAC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623561" y="1447800"/>
          <a:ext cx="631104" cy="3429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39</xdr:row>
      <xdr:rowOff>112712</xdr:rowOff>
    </xdr:from>
    <xdr:to>
      <xdr:col>9</xdr:col>
      <xdr:colOff>15875</xdr:colOff>
      <xdr:row>53</xdr:row>
      <xdr:rowOff>188912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9C56B8-A01C-4590-8156-BE77FF32B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111125</xdr:colOff>
      <xdr:row>39</xdr:row>
      <xdr:rowOff>96837</xdr:rowOff>
    </xdr:from>
    <xdr:to>
      <xdr:col>19</xdr:col>
      <xdr:colOff>571500</xdr:colOff>
      <xdr:row>53</xdr:row>
      <xdr:rowOff>173037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FFF0AEB-4F88-485B-BFD8-9A89B30E48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54</xdr:row>
      <xdr:rowOff>144462</xdr:rowOff>
    </xdr:from>
    <xdr:to>
      <xdr:col>8</xdr:col>
      <xdr:colOff>555625</xdr:colOff>
      <xdr:row>66</xdr:row>
      <xdr:rowOff>254000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349CA31-AAE2-4FE4-A18A-301AB7AEC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63500</xdr:colOff>
      <xdr:row>54</xdr:row>
      <xdr:rowOff>144462</xdr:rowOff>
    </xdr:from>
    <xdr:to>
      <xdr:col>19</xdr:col>
      <xdr:colOff>571500</xdr:colOff>
      <xdr:row>66</xdr:row>
      <xdr:rowOff>254000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C7197C8-FFB9-4443-925D-8F528FA86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66</xdr:row>
      <xdr:rowOff>350837</xdr:rowOff>
    </xdr:from>
    <xdr:to>
      <xdr:col>9</xdr:col>
      <xdr:colOff>0</xdr:colOff>
      <xdr:row>79</xdr:row>
      <xdr:rowOff>141287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EA1CD03-7F00-465F-A59B-FFC726185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63500</xdr:colOff>
      <xdr:row>39</xdr:row>
      <xdr:rowOff>112711</xdr:rowOff>
    </xdr:from>
    <xdr:to>
      <xdr:col>27</xdr:col>
      <xdr:colOff>1238250</xdr:colOff>
      <xdr:row>54</xdr:row>
      <xdr:rowOff>15874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05F15A0-200C-4810-ACE2-74A9FECD5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103186</xdr:colOff>
      <xdr:row>66</xdr:row>
      <xdr:rowOff>350837</xdr:rowOff>
    </xdr:from>
    <xdr:to>
      <xdr:col>19</xdr:col>
      <xdr:colOff>571499</xdr:colOff>
      <xdr:row>79</xdr:row>
      <xdr:rowOff>174625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72DC9BC-1928-4AC8-9BF7-BD89311BD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92364</xdr:colOff>
      <xdr:row>54</xdr:row>
      <xdr:rowOff>150090</xdr:rowOff>
    </xdr:from>
    <xdr:to>
      <xdr:col>27</xdr:col>
      <xdr:colOff>1189182</xdr:colOff>
      <xdr:row>66</xdr:row>
      <xdr:rowOff>392545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ADD2975-626F-48C7-9119-E999C248BF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149679</xdr:colOff>
      <xdr:row>1</xdr:row>
      <xdr:rowOff>81644</xdr:rowOff>
    </xdr:from>
    <xdr:to>
      <xdr:col>2</xdr:col>
      <xdr:colOff>727166</xdr:colOff>
      <xdr:row>3</xdr:row>
      <xdr:rowOff>23172</xdr:rowOff>
    </xdr:to>
    <xdr:pic>
      <xdr:nvPicPr>
        <xdr:cNvPr id="10" name="Gráfico 3">
          <a:extLst>
            <a:ext uri="{FF2B5EF4-FFF2-40B4-BE49-F238E27FC236}">
              <a16:creationId xmlns:a16="http://schemas.microsoft.com/office/drawing/2014/main" id="{1BC1C0FD-9BCD-4578-9D6B-4B1D2DF2D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72539" y="310244"/>
          <a:ext cx="1354727" cy="398728"/>
        </a:xfrm>
        <a:prstGeom prst="rect">
          <a:avLst/>
        </a:prstGeom>
      </xdr:spPr>
    </xdr:pic>
    <xdr:clientData/>
  </xdr:twoCellAnchor>
  <xdr:twoCellAnchor editAs="oneCell">
    <xdr:from>
      <xdr:col>9</xdr:col>
      <xdr:colOff>179614</xdr:colOff>
      <xdr:row>5</xdr:row>
      <xdr:rowOff>20411</xdr:rowOff>
    </xdr:from>
    <xdr:to>
      <xdr:col>10</xdr:col>
      <xdr:colOff>449172</xdr:colOff>
      <xdr:row>5</xdr:row>
      <xdr:rowOff>362876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B6267A3-57EC-484F-BD7F-43768197A731}"/>
            </a:ext>
            <a:ext uri="{147F2762-F138-4A5C-976F-8EAC2B608ADB}">
              <a16:predDERef xmlns:a16="http://schemas.microsoft.com/office/drawing/2014/main" pred="{BA0D37F0-7E82-42CC-A1AE-90363E26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994" y="1018631"/>
          <a:ext cx="863918" cy="342465"/>
        </a:xfrm>
        <a:prstGeom prst="rect">
          <a:avLst/>
        </a:prstGeom>
      </xdr:spPr>
    </xdr:pic>
    <xdr:clientData/>
  </xdr:twoCellAnchor>
  <xdr:twoCellAnchor editAs="oneCell">
    <xdr:from>
      <xdr:col>8</xdr:col>
      <xdr:colOff>327661</xdr:colOff>
      <xdr:row>7</xdr:row>
      <xdr:rowOff>60961</xdr:rowOff>
    </xdr:from>
    <xdr:to>
      <xdr:col>10</xdr:col>
      <xdr:colOff>571501</xdr:colOff>
      <xdr:row>7</xdr:row>
      <xdr:rowOff>335281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EE50E66-B201-4858-A80E-6EE8ECEACAC1}"/>
            </a:ext>
          </a:extLst>
        </xdr:cNvPr>
        <xdr:cNvPicPr/>
      </xdr:nvPicPr>
      <xdr:blipFill>
        <a:blip xmlns:r="http://schemas.openxmlformats.org/officeDocument/2006/relationships" r:embed="rId12">
          <a:lum bright="-4000" contrast="22000"/>
        </a:blip>
        <a:srcRect l="2695" t="17084" r="30188" b="41273"/>
        <a:stretch>
          <a:fillRect/>
        </a:stretch>
      </xdr:blipFill>
      <xdr:spPr>
        <a:xfrm>
          <a:off x="5059681" y="1912621"/>
          <a:ext cx="1432560" cy="274320"/>
        </a:xfrm>
        <a:prstGeom prst="rect">
          <a:avLst/>
        </a:prstGeom>
        <a:noFill/>
        <a:ln>
          <a:noFill/>
          <a:prstDash/>
        </a:ln>
      </xdr:spPr>
    </xdr:pic>
    <xdr:clientData/>
  </xdr:twoCellAnchor>
  <xdr:twoCellAnchor editAs="oneCell">
    <xdr:from>
      <xdr:col>9</xdr:col>
      <xdr:colOff>327662</xdr:colOff>
      <xdr:row>6</xdr:row>
      <xdr:rowOff>22861</xdr:rowOff>
    </xdr:from>
    <xdr:to>
      <xdr:col>10</xdr:col>
      <xdr:colOff>364406</xdr:colOff>
      <xdr:row>6</xdr:row>
      <xdr:rowOff>365761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1E2A7FA-6E37-7592-A618-D38EB782D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654042" y="1447801"/>
          <a:ext cx="631104" cy="342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plusglobal-my.sharepoint.com/C/UST/Lab_Ref_Transp/ID0120_BIOT/Area%20Bioensayos/Manuales/PTE,%20PTO,%20PTG_NUEVA%20PLANTILLA%202010/Plantilla_DatosGeomorfologicos%20(3)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rson.bueno\Downloads\FOA802-13%20Formato%20Comprobaci&#243;n%20de%20estaci&#243;n%20meteorol&#243;gica%20V2.xlsx" TargetMode="External"/><Relationship Id="rId1" Type="http://schemas.openxmlformats.org/officeDocument/2006/relationships/externalLinkPath" Target="https://applusglobal-my.sharepoint.com/Users/jerson.bueno/Downloads/FOA802-13%20Formato%20Comprobaci&#243;n%20de%20estaci&#243;n%20meteorol&#243;gica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AB"/>
      <sheetName val="Punto1"/>
      <sheetName val="U. Biogeografica"/>
    </sheetNames>
    <sheetDataSet>
      <sheetData sheetId="0" refreshError="1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A802-13_BA171114005"/>
    </sheetNames>
    <sheetDataSet>
      <sheetData sheetId="0">
        <row r="11">
          <cell r="D11" t="str">
            <v>Temp. Out</v>
          </cell>
          <cell r="E11" t="str">
            <v>H. Out</v>
          </cell>
          <cell r="F11" t="str">
            <v>P. Bar</v>
          </cell>
          <cell r="G11" t="str">
            <v>Dir.
Viento</v>
          </cell>
          <cell r="H11" t="str">
            <v>V. Viento</v>
          </cell>
          <cell r="I11" t="str">
            <v>Rad
Solar</v>
          </cell>
          <cell r="J11" t="str">
            <v>Uv
Index</v>
          </cell>
          <cell r="K11" t="str">
            <v>Precipitación</v>
          </cell>
          <cell r="L11" t="str">
            <v>Temp. Out R</v>
          </cell>
          <cell r="M11" t="str">
            <v>H. Out</v>
          </cell>
          <cell r="N11" t="str">
            <v>P. Bar</v>
          </cell>
          <cell r="O11" t="str">
            <v>Dir.
Viento</v>
          </cell>
          <cell r="P11" t="str">
            <v>V. Viento</v>
          </cell>
          <cell r="Q11" t="str">
            <v>Rad
Solar</v>
          </cell>
          <cell r="R11" t="str">
            <v>Uv.
Index</v>
          </cell>
          <cell r="S11" t="str">
            <v>Precipitación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08A3-3DF8-4BB8-8193-FE7157FB568A}">
  <dimension ref="B2:E8"/>
  <sheetViews>
    <sheetView workbookViewId="0">
      <selection activeCell="E8" sqref="E8"/>
    </sheetView>
  </sheetViews>
  <sheetFormatPr baseColWidth="10" defaultColWidth="11.42578125" defaultRowHeight="15"/>
  <cols>
    <col min="2" max="2" width="17" bestFit="1" customWidth="1"/>
    <col min="3" max="3" width="16.28515625" bestFit="1" customWidth="1"/>
    <col min="4" max="4" width="14.28515625" bestFit="1" customWidth="1"/>
    <col min="5" max="5" width="16.7109375" bestFit="1" customWidth="1"/>
  </cols>
  <sheetData>
    <row r="2" spans="2:5">
      <c r="B2" s="78" t="s">
        <v>0</v>
      </c>
      <c r="C2" s="78" t="s">
        <v>1</v>
      </c>
      <c r="D2" s="78" t="s">
        <v>2</v>
      </c>
      <c r="E2" s="78" t="s">
        <v>3</v>
      </c>
    </row>
    <row r="3" spans="2:5" hidden="1">
      <c r="B3" s="63">
        <v>44986</v>
      </c>
      <c r="C3" s="64">
        <v>44988</v>
      </c>
      <c r="D3" s="65" t="s">
        <v>4</v>
      </c>
      <c r="E3" s="66" t="s">
        <v>5</v>
      </c>
    </row>
    <row r="4" spans="2:5" hidden="1">
      <c r="B4" s="67">
        <v>45170</v>
      </c>
      <c r="C4" s="68">
        <v>45172</v>
      </c>
      <c r="D4" s="69" t="s">
        <v>4</v>
      </c>
      <c r="E4" s="70" t="s">
        <v>5</v>
      </c>
    </row>
    <row r="5" spans="2:5">
      <c r="B5" s="67">
        <v>45323</v>
      </c>
      <c r="C5" s="68">
        <v>45325</v>
      </c>
      <c r="D5" s="69" t="s">
        <v>4</v>
      </c>
      <c r="E5" s="70" t="s">
        <v>5</v>
      </c>
    </row>
    <row r="6" spans="2:5">
      <c r="B6" s="71">
        <v>45505</v>
      </c>
      <c r="C6" s="72">
        <v>45507</v>
      </c>
      <c r="D6" s="1" t="s">
        <v>4</v>
      </c>
      <c r="E6" s="73" t="s">
        <v>5</v>
      </c>
    </row>
    <row r="7" spans="2:5">
      <c r="B7" s="71">
        <v>45674</v>
      </c>
      <c r="C7" s="72">
        <v>45679</v>
      </c>
      <c r="D7" s="1" t="s">
        <v>4</v>
      </c>
      <c r="E7" s="73" t="s">
        <v>5</v>
      </c>
    </row>
    <row r="8" spans="2:5" ht="15.75" thickBot="1">
      <c r="B8" s="74">
        <v>45812</v>
      </c>
      <c r="C8" s="75">
        <v>45815</v>
      </c>
      <c r="D8" s="76" t="s">
        <v>4</v>
      </c>
      <c r="E8" s="77" t="s">
        <v>5</v>
      </c>
    </row>
  </sheetData>
  <autoFilter ref="B2:E2" xr:uid="{F6A808A3-3DF8-4BB8-8193-FE7157FB568A}">
    <sortState xmlns:xlrd2="http://schemas.microsoft.com/office/spreadsheetml/2017/richdata2" ref="B3:E8">
      <sortCondition ref="C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1910F-6E96-41BA-B489-F6E8120C161B}">
  <dimension ref="B1:AB68"/>
  <sheetViews>
    <sheetView workbookViewId="0">
      <selection activeCell="F18" sqref="F18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27" width="8.7109375" customWidth="1"/>
    <col min="28" max="28" width="20.85546875" bestFit="1" customWidth="1"/>
  </cols>
  <sheetData>
    <row r="1" spans="2:28" ht="18" customHeight="1">
      <c r="B1" s="105"/>
      <c r="C1" s="187"/>
      <c r="D1" s="190" t="s">
        <v>6</v>
      </c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2"/>
      <c r="AA1" s="2"/>
      <c r="AB1" s="193" t="s">
        <v>7</v>
      </c>
    </row>
    <row r="2" spans="2:28" ht="18" customHeight="1">
      <c r="B2" s="107"/>
      <c r="C2" s="188"/>
      <c r="D2" s="190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2"/>
      <c r="AA2" s="2"/>
      <c r="AB2" s="194"/>
    </row>
    <row r="3" spans="2:28" ht="18" customHeight="1">
      <c r="B3" s="107"/>
      <c r="C3" s="188"/>
      <c r="D3" s="190" t="s">
        <v>8</v>
      </c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2"/>
      <c r="AA3" s="2"/>
      <c r="AB3" s="194"/>
    </row>
    <row r="4" spans="2:28" ht="18" customHeight="1" thickBot="1">
      <c r="B4" s="109"/>
      <c r="C4" s="189"/>
      <c r="D4" s="196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8"/>
      <c r="AA4" s="3"/>
      <c r="AB4" s="195"/>
    </row>
    <row r="5" spans="2:28" ht="15" customHeigh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2:28" ht="33.75" customHeight="1">
      <c r="B6" s="199" t="s">
        <v>9</v>
      </c>
      <c r="C6" s="199"/>
      <c r="D6" s="200"/>
      <c r="E6" s="200"/>
      <c r="F6" s="200"/>
      <c r="G6" s="200"/>
      <c r="H6" s="200"/>
      <c r="I6" s="200"/>
      <c r="J6" s="200"/>
      <c r="K6" s="5"/>
      <c r="L6" s="201" t="s">
        <v>10</v>
      </c>
      <c r="M6" s="201"/>
      <c r="N6" s="201"/>
      <c r="O6" s="201"/>
      <c r="P6" s="201"/>
      <c r="Q6" s="201"/>
      <c r="R6" s="201"/>
      <c r="S6" s="6"/>
      <c r="T6" s="201" t="s">
        <v>11</v>
      </c>
      <c r="U6" s="201"/>
      <c r="V6" s="201"/>
      <c r="W6" s="201"/>
      <c r="X6" s="201"/>
      <c r="Y6" s="201" t="s">
        <v>12</v>
      </c>
      <c r="Z6" s="201"/>
      <c r="AA6" s="6"/>
      <c r="AB6" s="7" t="s">
        <v>13</v>
      </c>
    </row>
    <row r="7" spans="2:28" ht="33.75" customHeight="1">
      <c r="B7" s="199" t="s">
        <v>14</v>
      </c>
      <c r="C7" s="199"/>
      <c r="D7" s="200"/>
      <c r="E7" s="200"/>
      <c r="F7" s="200"/>
      <c r="G7" s="200"/>
      <c r="H7" s="200"/>
      <c r="I7" s="200"/>
      <c r="J7" s="200"/>
      <c r="K7" s="5"/>
      <c r="L7" s="204" t="s">
        <v>15</v>
      </c>
      <c r="M7" s="204"/>
      <c r="N7" s="204"/>
      <c r="O7" s="204"/>
      <c r="P7" s="204"/>
      <c r="Q7" s="204"/>
      <c r="R7" s="204"/>
      <c r="S7" s="1"/>
      <c r="T7" s="204"/>
      <c r="U7" s="204"/>
      <c r="V7" s="204"/>
      <c r="W7" s="204"/>
      <c r="X7" s="204"/>
      <c r="Y7" s="205"/>
      <c r="Z7" s="205"/>
      <c r="AA7" s="8"/>
      <c r="AB7" s="9"/>
    </row>
    <row r="8" spans="2:28" ht="33.75" customHeight="1">
      <c r="B8" s="199" t="s">
        <v>16</v>
      </c>
      <c r="C8" s="199"/>
      <c r="D8" s="200"/>
      <c r="E8" s="200"/>
      <c r="F8" s="200"/>
      <c r="G8" s="200"/>
      <c r="H8" s="200"/>
      <c r="I8" s="200"/>
      <c r="J8" s="200"/>
      <c r="K8" s="5"/>
      <c r="L8" s="204" t="s">
        <v>17</v>
      </c>
      <c r="M8" s="204"/>
      <c r="N8" s="204"/>
      <c r="O8" s="204"/>
      <c r="P8" s="204"/>
      <c r="Q8" s="204"/>
      <c r="R8" s="204"/>
      <c r="S8" s="1"/>
      <c r="T8" s="206"/>
      <c r="U8" s="206"/>
      <c r="V8" s="206"/>
      <c r="W8" s="206"/>
      <c r="X8" s="206"/>
      <c r="Y8" s="205"/>
      <c r="Z8" s="205"/>
      <c r="AA8" s="8"/>
      <c r="AB8" s="9"/>
    </row>
    <row r="9" spans="2:28" ht="22.5" customHeight="1" thickBot="1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2:28" ht="22.5" customHeight="1" thickBot="1">
      <c r="B10" s="207" t="s">
        <v>18</v>
      </c>
      <c r="C10" s="209" t="s">
        <v>19</v>
      </c>
      <c r="D10" s="211" t="s">
        <v>20</v>
      </c>
      <c r="E10" s="212"/>
      <c r="F10" s="212"/>
      <c r="G10" s="212"/>
      <c r="H10" s="212"/>
      <c r="I10" s="212"/>
      <c r="J10" s="212"/>
      <c r="K10" s="213"/>
      <c r="L10" s="214" t="s">
        <v>21</v>
      </c>
      <c r="M10" s="215"/>
      <c r="N10" s="215"/>
      <c r="O10" s="215"/>
      <c r="P10" s="215"/>
      <c r="Q10" s="215"/>
      <c r="R10" s="215"/>
      <c r="S10" s="216"/>
      <c r="T10" s="217" t="s">
        <v>22</v>
      </c>
      <c r="U10" s="218"/>
      <c r="V10" s="218"/>
      <c r="W10" s="218"/>
      <c r="X10" s="218"/>
      <c r="Y10" s="218"/>
      <c r="Z10" s="218"/>
      <c r="AA10" s="219"/>
      <c r="AB10" s="202" t="s">
        <v>23</v>
      </c>
    </row>
    <row r="11" spans="2:28" ht="48.75" customHeight="1" thickBot="1">
      <c r="B11" s="208"/>
      <c r="C11" s="210"/>
      <c r="D11" s="12" t="s">
        <v>24</v>
      </c>
      <c r="E11" s="13" t="s">
        <v>25</v>
      </c>
      <c r="F11" s="13" t="s">
        <v>26</v>
      </c>
      <c r="G11" s="13" t="s">
        <v>27</v>
      </c>
      <c r="H11" s="13" t="s">
        <v>28</v>
      </c>
      <c r="I11" s="13" t="s">
        <v>29</v>
      </c>
      <c r="J11" s="13" t="s">
        <v>30</v>
      </c>
      <c r="K11" s="14" t="s">
        <v>31</v>
      </c>
      <c r="L11" s="15" t="s">
        <v>32</v>
      </c>
      <c r="M11" s="16" t="s">
        <v>25</v>
      </c>
      <c r="N11" s="16" t="s">
        <v>26</v>
      </c>
      <c r="O11" s="16" t="s">
        <v>27</v>
      </c>
      <c r="P11" s="16" t="s">
        <v>28</v>
      </c>
      <c r="Q11" s="16" t="s">
        <v>29</v>
      </c>
      <c r="R11" s="16" t="s">
        <v>33</v>
      </c>
      <c r="S11" s="17" t="s">
        <v>31</v>
      </c>
      <c r="T11" s="18" t="s">
        <v>34</v>
      </c>
      <c r="U11" s="19" t="s">
        <v>35</v>
      </c>
      <c r="V11" s="19" t="s">
        <v>36</v>
      </c>
      <c r="W11" s="19" t="s">
        <v>37</v>
      </c>
      <c r="X11" s="19" t="s">
        <v>38</v>
      </c>
      <c r="Y11" s="19" t="s">
        <v>39</v>
      </c>
      <c r="Z11" s="19" t="s">
        <v>40</v>
      </c>
      <c r="AA11" s="20" t="s">
        <v>41</v>
      </c>
      <c r="AB11" s="203"/>
    </row>
    <row r="12" spans="2:28" ht="15" customHeight="1">
      <c r="B12" s="21"/>
      <c r="C12" s="22"/>
      <c r="D12" s="23"/>
      <c r="E12" s="24"/>
      <c r="F12" s="24"/>
      <c r="G12" s="24"/>
      <c r="H12" s="24"/>
      <c r="I12" s="24"/>
      <c r="J12" s="24"/>
      <c r="K12" s="25"/>
      <c r="L12" s="23"/>
      <c r="M12" s="24"/>
      <c r="N12" s="24"/>
      <c r="O12" s="24"/>
      <c r="P12" s="24"/>
      <c r="Q12" s="24"/>
      <c r="R12" s="24"/>
      <c r="S12" s="25"/>
      <c r="T12" s="23">
        <f t="shared" ref="T12:Z35" si="0">+ABS(L12-D12)</f>
        <v>0</v>
      </c>
      <c r="U12" s="24">
        <f t="shared" si="0"/>
        <v>0</v>
      </c>
      <c r="V12" s="24">
        <f t="shared" si="0"/>
        <v>0</v>
      </c>
      <c r="W12" s="24">
        <f t="shared" si="0"/>
        <v>0</v>
      </c>
      <c r="X12" s="24">
        <f t="shared" si="0"/>
        <v>0</v>
      </c>
      <c r="Y12" s="24">
        <f t="shared" si="0"/>
        <v>0</v>
      </c>
      <c r="Z12" s="24">
        <f t="shared" si="0"/>
        <v>0</v>
      </c>
      <c r="AA12" s="26" t="e">
        <f>1-ABS(S12/K12)</f>
        <v>#DIV/0!</v>
      </c>
      <c r="AB12" s="27"/>
    </row>
    <row r="13" spans="2:28" ht="15" customHeight="1">
      <c r="B13" s="21"/>
      <c r="C13" s="22"/>
      <c r="D13" s="28"/>
      <c r="E13" s="29"/>
      <c r="F13" s="29"/>
      <c r="G13" s="29"/>
      <c r="H13" s="29"/>
      <c r="I13" s="29"/>
      <c r="J13" s="29"/>
      <c r="K13" s="30"/>
      <c r="L13" s="28"/>
      <c r="M13" s="29"/>
      <c r="N13" s="29"/>
      <c r="O13" s="29"/>
      <c r="P13" s="29"/>
      <c r="Q13" s="29"/>
      <c r="R13" s="29"/>
      <c r="S13" s="30"/>
      <c r="T13" s="28">
        <f t="shared" si="0"/>
        <v>0</v>
      </c>
      <c r="U13" s="29">
        <f t="shared" si="0"/>
        <v>0</v>
      </c>
      <c r="V13" s="29">
        <f t="shared" si="0"/>
        <v>0</v>
      </c>
      <c r="W13" s="29">
        <f t="shared" si="0"/>
        <v>0</v>
      </c>
      <c r="X13" s="29">
        <f t="shared" si="0"/>
        <v>0</v>
      </c>
      <c r="Y13" s="29">
        <f t="shared" si="0"/>
        <v>0</v>
      </c>
      <c r="Z13" s="29">
        <f t="shared" si="0"/>
        <v>0</v>
      </c>
      <c r="AA13" s="31" t="e">
        <f t="shared" ref="AA13:AA35" si="1">1-ABS(S13/K13)</f>
        <v>#DIV/0!</v>
      </c>
      <c r="AB13" s="32"/>
    </row>
    <row r="14" spans="2:28" ht="15" customHeight="1">
      <c r="B14" s="21"/>
      <c r="C14" s="22"/>
      <c r="D14" s="28"/>
      <c r="E14" s="29"/>
      <c r="F14" s="29"/>
      <c r="G14" s="29"/>
      <c r="H14" s="29"/>
      <c r="I14" s="29"/>
      <c r="J14" s="29"/>
      <c r="K14" s="30"/>
      <c r="L14" s="28"/>
      <c r="M14" s="29"/>
      <c r="N14" s="29"/>
      <c r="O14" s="29"/>
      <c r="P14" s="29"/>
      <c r="Q14" s="29"/>
      <c r="R14" s="29"/>
      <c r="S14" s="30"/>
      <c r="T14" s="28">
        <f t="shared" si="0"/>
        <v>0</v>
      </c>
      <c r="U14" s="29">
        <f t="shared" si="0"/>
        <v>0</v>
      </c>
      <c r="V14" s="29">
        <f t="shared" si="0"/>
        <v>0</v>
      </c>
      <c r="W14" s="29">
        <f t="shared" si="0"/>
        <v>0</v>
      </c>
      <c r="X14" s="29">
        <f t="shared" si="0"/>
        <v>0</v>
      </c>
      <c r="Y14" s="29">
        <f t="shared" si="0"/>
        <v>0</v>
      </c>
      <c r="Z14" s="29">
        <f t="shared" si="0"/>
        <v>0</v>
      </c>
      <c r="AA14" s="31" t="e">
        <f t="shared" si="1"/>
        <v>#DIV/0!</v>
      </c>
      <c r="AB14" s="32"/>
    </row>
    <row r="15" spans="2:28" ht="15" customHeight="1">
      <c r="B15" s="21"/>
      <c r="C15" s="22"/>
      <c r="D15" s="28"/>
      <c r="E15" s="29"/>
      <c r="F15" s="29"/>
      <c r="G15" s="29"/>
      <c r="H15" s="29"/>
      <c r="I15" s="29"/>
      <c r="J15" s="29"/>
      <c r="K15" s="30"/>
      <c r="L15" s="28"/>
      <c r="M15" s="29"/>
      <c r="N15" s="29"/>
      <c r="O15" s="29"/>
      <c r="P15" s="29"/>
      <c r="Q15" s="29"/>
      <c r="R15" s="29"/>
      <c r="S15" s="30"/>
      <c r="T15" s="28">
        <f t="shared" si="0"/>
        <v>0</v>
      </c>
      <c r="U15" s="29">
        <f t="shared" si="0"/>
        <v>0</v>
      </c>
      <c r="V15" s="29">
        <f t="shared" si="0"/>
        <v>0</v>
      </c>
      <c r="W15" s="29">
        <f t="shared" si="0"/>
        <v>0</v>
      </c>
      <c r="X15" s="29">
        <f t="shared" si="0"/>
        <v>0</v>
      </c>
      <c r="Y15" s="29">
        <f t="shared" si="0"/>
        <v>0</v>
      </c>
      <c r="Z15" s="29">
        <f t="shared" si="0"/>
        <v>0</v>
      </c>
      <c r="AA15" s="31" t="e">
        <f t="shared" si="1"/>
        <v>#DIV/0!</v>
      </c>
      <c r="AB15" s="32"/>
    </row>
    <row r="16" spans="2:28" ht="15" customHeight="1">
      <c r="B16" s="21"/>
      <c r="C16" s="22"/>
      <c r="D16" s="28"/>
      <c r="E16" s="29"/>
      <c r="F16" s="29"/>
      <c r="G16" s="29"/>
      <c r="H16" s="29"/>
      <c r="I16" s="29"/>
      <c r="J16" s="29"/>
      <c r="K16" s="30"/>
      <c r="L16" s="28"/>
      <c r="M16" s="29"/>
      <c r="N16" s="29"/>
      <c r="O16" s="29"/>
      <c r="P16" s="29"/>
      <c r="Q16" s="29"/>
      <c r="R16" s="29"/>
      <c r="S16" s="30"/>
      <c r="T16" s="28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31" t="e">
        <f t="shared" si="1"/>
        <v>#DIV/0!</v>
      </c>
      <c r="AB16" s="32"/>
    </row>
    <row r="17" spans="2:28" ht="15" customHeight="1">
      <c r="B17" s="21"/>
      <c r="C17" s="22"/>
      <c r="D17" s="28"/>
      <c r="E17" s="29"/>
      <c r="F17" s="29"/>
      <c r="G17" s="29"/>
      <c r="H17" s="29"/>
      <c r="I17" s="29"/>
      <c r="J17" s="29"/>
      <c r="K17" s="30"/>
      <c r="L17" s="28"/>
      <c r="M17" s="29"/>
      <c r="N17" s="29"/>
      <c r="O17" s="29"/>
      <c r="P17" s="29"/>
      <c r="Q17" s="29"/>
      <c r="R17" s="29"/>
      <c r="S17" s="30"/>
      <c r="T17" s="28">
        <f t="shared" si="0"/>
        <v>0</v>
      </c>
      <c r="U17" s="29">
        <f t="shared" si="0"/>
        <v>0</v>
      </c>
      <c r="V17" s="29">
        <f t="shared" si="0"/>
        <v>0</v>
      </c>
      <c r="W17" s="29">
        <f t="shared" si="0"/>
        <v>0</v>
      </c>
      <c r="X17" s="29">
        <f t="shared" si="0"/>
        <v>0</v>
      </c>
      <c r="Y17" s="29">
        <f t="shared" si="0"/>
        <v>0</v>
      </c>
      <c r="Z17" s="29">
        <f t="shared" si="0"/>
        <v>0</v>
      </c>
      <c r="AA17" s="31" t="e">
        <f t="shared" si="1"/>
        <v>#DIV/0!</v>
      </c>
      <c r="AB17" s="32"/>
    </row>
    <row r="18" spans="2:28" ht="15" customHeight="1">
      <c r="B18" s="21"/>
      <c r="C18" s="22"/>
      <c r="D18" s="28"/>
      <c r="E18" s="29"/>
      <c r="F18" s="29"/>
      <c r="G18" s="29"/>
      <c r="H18" s="29"/>
      <c r="I18" s="29"/>
      <c r="J18" s="29"/>
      <c r="K18" s="30"/>
      <c r="L18" s="28"/>
      <c r="M18" s="29"/>
      <c r="N18" s="29"/>
      <c r="O18" s="29"/>
      <c r="P18" s="29"/>
      <c r="Q18" s="29"/>
      <c r="R18" s="29"/>
      <c r="S18" s="30"/>
      <c r="T18" s="28">
        <f t="shared" si="0"/>
        <v>0</v>
      </c>
      <c r="U18" s="29">
        <f t="shared" si="0"/>
        <v>0</v>
      </c>
      <c r="V18" s="29">
        <f t="shared" si="0"/>
        <v>0</v>
      </c>
      <c r="W18" s="29">
        <f t="shared" si="0"/>
        <v>0</v>
      </c>
      <c r="X18" s="29">
        <f t="shared" si="0"/>
        <v>0</v>
      </c>
      <c r="Y18" s="29">
        <f t="shared" si="0"/>
        <v>0</v>
      </c>
      <c r="Z18" s="29">
        <f t="shared" si="0"/>
        <v>0</v>
      </c>
      <c r="AA18" s="31" t="e">
        <f t="shared" si="1"/>
        <v>#DIV/0!</v>
      </c>
      <c r="AB18" s="32"/>
    </row>
    <row r="19" spans="2:28" ht="15" customHeight="1">
      <c r="B19" s="21"/>
      <c r="C19" s="22"/>
      <c r="D19" s="28"/>
      <c r="E19" s="29"/>
      <c r="F19" s="29"/>
      <c r="G19" s="29"/>
      <c r="H19" s="29"/>
      <c r="I19" s="29"/>
      <c r="J19" s="29"/>
      <c r="K19" s="30"/>
      <c r="L19" s="28"/>
      <c r="M19" s="29"/>
      <c r="N19" s="29"/>
      <c r="O19" s="29"/>
      <c r="P19" s="29"/>
      <c r="Q19" s="29"/>
      <c r="R19" s="29"/>
      <c r="S19" s="30"/>
      <c r="T19" s="28">
        <f t="shared" si="0"/>
        <v>0</v>
      </c>
      <c r="U19" s="29">
        <f t="shared" si="0"/>
        <v>0</v>
      </c>
      <c r="V19" s="29">
        <f t="shared" si="0"/>
        <v>0</v>
      </c>
      <c r="W19" s="29">
        <f t="shared" si="0"/>
        <v>0</v>
      </c>
      <c r="X19" s="29">
        <f t="shared" si="0"/>
        <v>0</v>
      </c>
      <c r="Y19" s="29">
        <f t="shared" si="0"/>
        <v>0</v>
      </c>
      <c r="Z19" s="29">
        <f t="shared" si="0"/>
        <v>0</v>
      </c>
      <c r="AA19" s="31" t="e">
        <f t="shared" si="1"/>
        <v>#DIV/0!</v>
      </c>
      <c r="AB19" s="32"/>
    </row>
    <row r="20" spans="2:28" ht="15" customHeight="1">
      <c r="B20" s="21"/>
      <c r="C20" s="22"/>
      <c r="D20" s="28"/>
      <c r="E20" s="29"/>
      <c r="F20" s="29"/>
      <c r="G20" s="29"/>
      <c r="H20" s="29"/>
      <c r="I20" s="29"/>
      <c r="J20" s="29"/>
      <c r="K20" s="30"/>
      <c r="L20" s="28"/>
      <c r="M20" s="29"/>
      <c r="N20" s="29"/>
      <c r="O20" s="29"/>
      <c r="P20" s="29"/>
      <c r="Q20" s="29"/>
      <c r="R20" s="29"/>
      <c r="S20" s="30"/>
      <c r="T20" s="28">
        <f t="shared" si="0"/>
        <v>0</v>
      </c>
      <c r="U20" s="29">
        <f t="shared" si="0"/>
        <v>0</v>
      </c>
      <c r="V20" s="29">
        <f t="shared" si="0"/>
        <v>0</v>
      </c>
      <c r="W20" s="29">
        <f t="shared" si="0"/>
        <v>0</v>
      </c>
      <c r="X20" s="29">
        <f t="shared" si="0"/>
        <v>0</v>
      </c>
      <c r="Y20" s="29">
        <f t="shared" si="0"/>
        <v>0</v>
      </c>
      <c r="Z20" s="29">
        <f t="shared" si="0"/>
        <v>0</v>
      </c>
      <c r="AA20" s="31" t="e">
        <f t="shared" si="1"/>
        <v>#DIV/0!</v>
      </c>
      <c r="AB20" s="33"/>
    </row>
    <row r="21" spans="2:28" ht="15" customHeight="1">
      <c r="B21" s="21"/>
      <c r="C21" s="22"/>
      <c r="D21" s="28"/>
      <c r="E21" s="29"/>
      <c r="F21" s="29"/>
      <c r="G21" s="29"/>
      <c r="H21" s="29"/>
      <c r="I21" s="29"/>
      <c r="J21" s="29"/>
      <c r="K21" s="30"/>
      <c r="L21" s="28"/>
      <c r="M21" s="29"/>
      <c r="N21" s="29"/>
      <c r="O21" s="29"/>
      <c r="P21" s="29"/>
      <c r="Q21" s="29"/>
      <c r="R21" s="29"/>
      <c r="S21" s="30"/>
      <c r="T21" s="28">
        <f t="shared" si="0"/>
        <v>0</v>
      </c>
      <c r="U21" s="29">
        <f t="shared" si="0"/>
        <v>0</v>
      </c>
      <c r="V21" s="29">
        <f t="shared" si="0"/>
        <v>0</v>
      </c>
      <c r="W21" s="29">
        <f t="shared" si="0"/>
        <v>0</v>
      </c>
      <c r="X21" s="29">
        <f t="shared" si="0"/>
        <v>0</v>
      </c>
      <c r="Y21" s="29">
        <f t="shared" si="0"/>
        <v>0</v>
      </c>
      <c r="Z21" s="29">
        <f t="shared" si="0"/>
        <v>0</v>
      </c>
      <c r="AA21" s="31" t="e">
        <f t="shared" si="1"/>
        <v>#DIV/0!</v>
      </c>
      <c r="AB21" s="33"/>
    </row>
    <row r="22" spans="2:28" ht="15" customHeight="1">
      <c r="B22" s="21"/>
      <c r="C22" s="22"/>
      <c r="D22" s="28"/>
      <c r="E22" s="29"/>
      <c r="F22" s="29"/>
      <c r="G22" s="29"/>
      <c r="H22" s="29"/>
      <c r="I22" s="29"/>
      <c r="J22" s="29"/>
      <c r="K22" s="30"/>
      <c r="L22" s="28"/>
      <c r="M22" s="29"/>
      <c r="N22" s="29"/>
      <c r="O22" s="29"/>
      <c r="P22" s="29"/>
      <c r="Q22" s="29"/>
      <c r="R22" s="29"/>
      <c r="S22" s="30"/>
      <c r="T22" s="28">
        <f t="shared" si="0"/>
        <v>0</v>
      </c>
      <c r="U22" s="29">
        <f t="shared" si="0"/>
        <v>0</v>
      </c>
      <c r="V22" s="29">
        <f t="shared" si="0"/>
        <v>0</v>
      </c>
      <c r="W22" s="29">
        <f t="shared" si="0"/>
        <v>0</v>
      </c>
      <c r="X22" s="29">
        <f t="shared" si="0"/>
        <v>0</v>
      </c>
      <c r="Y22" s="29">
        <f t="shared" si="0"/>
        <v>0</v>
      </c>
      <c r="Z22" s="29">
        <f t="shared" si="0"/>
        <v>0</v>
      </c>
      <c r="AA22" s="31" t="e">
        <f t="shared" si="1"/>
        <v>#DIV/0!</v>
      </c>
      <c r="AB22" s="33"/>
    </row>
    <row r="23" spans="2:28" ht="15" customHeight="1">
      <c r="B23" s="21"/>
      <c r="C23" s="22"/>
      <c r="D23" s="28"/>
      <c r="E23" s="29"/>
      <c r="F23" s="29"/>
      <c r="G23" s="29"/>
      <c r="H23" s="29"/>
      <c r="I23" s="29"/>
      <c r="J23" s="29"/>
      <c r="K23" s="30"/>
      <c r="L23" s="28"/>
      <c r="M23" s="29"/>
      <c r="N23" s="29"/>
      <c r="O23" s="29"/>
      <c r="P23" s="29"/>
      <c r="Q23" s="29"/>
      <c r="R23" s="29"/>
      <c r="S23" s="30"/>
      <c r="T23" s="28">
        <f t="shared" si="0"/>
        <v>0</v>
      </c>
      <c r="U23" s="29">
        <f t="shared" si="0"/>
        <v>0</v>
      </c>
      <c r="V23" s="29">
        <f t="shared" si="0"/>
        <v>0</v>
      </c>
      <c r="W23" s="29">
        <f t="shared" si="0"/>
        <v>0</v>
      </c>
      <c r="X23" s="29">
        <f t="shared" si="0"/>
        <v>0</v>
      </c>
      <c r="Y23" s="29">
        <f t="shared" si="0"/>
        <v>0</v>
      </c>
      <c r="Z23" s="29">
        <f t="shared" si="0"/>
        <v>0</v>
      </c>
      <c r="AA23" s="31" t="e">
        <f t="shared" si="1"/>
        <v>#DIV/0!</v>
      </c>
      <c r="AB23" s="33"/>
    </row>
    <row r="24" spans="2:28" ht="15" customHeight="1">
      <c r="B24" s="21"/>
      <c r="C24" s="22"/>
      <c r="D24" s="28"/>
      <c r="E24" s="29"/>
      <c r="F24" s="29"/>
      <c r="G24" s="29"/>
      <c r="H24" s="29"/>
      <c r="I24" s="29"/>
      <c r="J24" s="29"/>
      <c r="K24" s="30"/>
      <c r="L24" s="28"/>
      <c r="M24" s="29"/>
      <c r="N24" s="29"/>
      <c r="O24" s="29"/>
      <c r="P24" s="29"/>
      <c r="Q24" s="29"/>
      <c r="R24" s="29"/>
      <c r="S24" s="30"/>
      <c r="T24" s="28">
        <f t="shared" si="0"/>
        <v>0</v>
      </c>
      <c r="U24" s="29">
        <f t="shared" si="0"/>
        <v>0</v>
      </c>
      <c r="V24" s="29">
        <f t="shared" si="0"/>
        <v>0</v>
      </c>
      <c r="W24" s="29">
        <f t="shared" si="0"/>
        <v>0</v>
      </c>
      <c r="X24" s="29">
        <f t="shared" si="0"/>
        <v>0</v>
      </c>
      <c r="Y24" s="29">
        <f t="shared" si="0"/>
        <v>0</v>
      </c>
      <c r="Z24" s="29">
        <f t="shared" si="0"/>
        <v>0</v>
      </c>
      <c r="AA24" s="31" t="e">
        <f t="shared" si="1"/>
        <v>#DIV/0!</v>
      </c>
      <c r="AB24" s="33"/>
    </row>
    <row r="25" spans="2:28" ht="15" customHeight="1">
      <c r="B25" s="21"/>
      <c r="C25" s="22"/>
      <c r="D25" s="28"/>
      <c r="E25" s="29"/>
      <c r="F25" s="29"/>
      <c r="G25" s="29"/>
      <c r="H25" s="29"/>
      <c r="I25" s="29"/>
      <c r="J25" s="29"/>
      <c r="K25" s="30"/>
      <c r="L25" s="28"/>
      <c r="M25" s="29"/>
      <c r="N25" s="29"/>
      <c r="O25" s="29"/>
      <c r="P25" s="29"/>
      <c r="Q25" s="29"/>
      <c r="R25" s="29"/>
      <c r="S25" s="30"/>
      <c r="T25" s="28">
        <f t="shared" si="0"/>
        <v>0</v>
      </c>
      <c r="U25" s="29">
        <f t="shared" si="0"/>
        <v>0</v>
      </c>
      <c r="V25" s="29">
        <f t="shared" si="0"/>
        <v>0</v>
      </c>
      <c r="W25" s="29">
        <f t="shared" si="0"/>
        <v>0</v>
      </c>
      <c r="X25" s="29">
        <f t="shared" si="0"/>
        <v>0</v>
      </c>
      <c r="Y25" s="29">
        <f t="shared" si="0"/>
        <v>0</v>
      </c>
      <c r="Z25" s="29">
        <f t="shared" si="0"/>
        <v>0</v>
      </c>
      <c r="AA25" s="31" t="e">
        <f t="shared" si="1"/>
        <v>#DIV/0!</v>
      </c>
      <c r="AB25" s="33"/>
    </row>
    <row r="26" spans="2:28" ht="15" customHeight="1">
      <c r="B26" s="21"/>
      <c r="C26" s="22"/>
      <c r="D26" s="28"/>
      <c r="E26" s="29"/>
      <c r="F26" s="29"/>
      <c r="G26" s="29"/>
      <c r="H26" s="29"/>
      <c r="I26" s="29"/>
      <c r="J26" s="29"/>
      <c r="K26" s="30"/>
      <c r="L26" s="28"/>
      <c r="M26" s="29"/>
      <c r="N26" s="29"/>
      <c r="O26" s="29"/>
      <c r="P26" s="29"/>
      <c r="Q26" s="29"/>
      <c r="R26" s="29"/>
      <c r="S26" s="30"/>
      <c r="T26" s="28">
        <f t="shared" si="0"/>
        <v>0</v>
      </c>
      <c r="U26" s="29">
        <f t="shared" si="0"/>
        <v>0</v>
      </c>
      <c r="V26" s="29">
        <f t="shared" si="0"/>
        <v>0</v>
      </c>
      <c r="W26" s="29">
        <f t="shared" si="0"/>
        <v>0</v>
      </c>
      <c r="X26" s="29">
        <f t="shared" si="0"/>
        <v>0</v>
      </c>
      <c r="Y26" s="29">
        <f t="shared" si="0"/>
        <v>0</v>
      </c>
      <c r="Z26" s="29">
        <f t="shared" si="0"/>
        <v>0</v>
      </c>
      <c r="AA26" s="31" t="e">
        <f t="shared" si="1"/>
        <v>#DIV/0!</v>
      </c>
      <c r="AB26" s="33"/>
    </row>
    <row r="27" spans="2:28" ht="15" customHeight="1">
      <c r="B27" s="21"/>
      <c r="C27" s="22"/>
      <c r="D27" s="28"/>
      <c r="E27" s="29"/>
      <c r="F27" s="29"/>
      <c r="G27" s="29"/>
      <c r="H27" s="29"/>
      <c r="I27" s="29"/>
      <c r="J27" s="29"/>
      <c r="K27" s="30"/>
      <c r="L27" s="28"/>
      <c r="M27" s="29"/>
      <c r="N27" s="29"/>
      <c r="O27" s="29"/>
      <c r="P27" s="29"/>
      <c r="Q27" s="29"/>
      <c r="R27" s="29"/>
      <c r="S27" s="30"/>
      <c r="T27" s="28">
        <f t="shared" si="0"/>
        <v>0</v>
      </c>
      <c r="U27" s="29">
        <f t="shared" si="0"/>
        <v>0</v>
      </c>
      <c r="V27" s="29">
        <f t="shared" si="0"/>
        <v>0</v>
      </c>
      <c r="W27" s="29">
        <f t="shared" si="0"/>
        <v>0</v>
      </c>
      <c r="X27" s="29">
        <f t="shared" si="0"/>
        <v>0</v>
      </c>
      <c r="Y27" s="29">
        <f t="shared" si="0"/>
        <v>0</v>
      </c>
      <c r="Z27" s="29">
        <f t="shared" si="0"/>
        <v>0</v>
      </c>
      <c r="AA27" s="31" t="e">
        <f t="shared" si="1"/>
        <v>#DIV/0!</v>
      </c>
      <c r="AB27" s="33"/>
    </row>
    <row r="28" spans="2:28" ht="15" customHeight="1">
      <c r="B28" s="21"/>
      <c r="C28" s="22"/>
      <c r="D28" s="28"/>
      <c r="E28" s="29"/>
      <c r="F28" s="29"/>
      <c r="G28" s="29"/>
      <c r="H28" s="29"/>
      <c r="I28" s="29"/>
      <c r="J28" s="29"/>
      <c r="K28" s="30"/>
      <c r="L28" s="28"/>
      <c r="M28" s="29"/>
      <c r="N28" s="29"/>
      <c r="O28" s="29"/>
      <c r="P28" s="29"/>
      <c r="Q28" s="29"/>
      <c r="R28" s="29"/>
      <c r="S28" s="30"/>
      <c r="T28" s="28">
        <f t="shared" si="0"/>
        <v>0</v>
      </c>
      <c r="U28" s="29">
        <f t="shared" si="0"/>
        <v>0</v>
      </c>
      <c r="V28" s="29">
        <f t="shared" si="0"/>
        <v>0</v>
      </c>
      <c r="W28" s="29">
        <f t="shared" si="0"/>
        <v>0</v>
      </c>
      <c r="X28" s="29">
        <f t="shared" si="0"/>
        <v>0</v>
      </c>
      <c r="Y28" s="29">
        <f t="shared" si="0"/>
        <v>0</v>
      </c>
      <c r="Z28" s="29">
        <f t="shared" si="0"/>
        <v>0</v>
      </c>
      <c r="AA28" s="31" t="e">
        <f t="shared" si="1"/>
        <v>#DIV/0!</v>
      </c>
      <c r="AB28" s="33"/>
    </row>
    <row r="29" spans="2:28" ht="15" customHeight="1">
      <c r="B29" s="21"/>
      <c r="C29" s="22"/>
      <c r="D29" s="28"/>
      <c r="E29" s="29"/>
      <c r="F29" s="29"/>
      <c r="G29" s="29"/>
      <c r="H29" s="29"/>
      <c r="I29" s="29"/>
      <c r="J29" s="29"/>
      <c r="K29" s="30"/>
      <c r="L29" s="28"/>
      <c r="M29" s="29"/>
      <c r="N29" s="29"/>
      <c r="O29" s="29"/>
      <c r="P29" s="29"/>
      <c r="Q29" s="29"/>
      <c r="R29" s="29"/>
      <c r="S29" s="30"/>
      <c r="T29" s="28">
        <f t="shared" si="0"/>
        <v>0</v>
      </c>
      <c r="U29" s="29">
        <f t="shared" si="0"/>
        <v>0</v>
      </c>
      <c r="V29" s="29">
        <f t="shared" si="0"/>
        <v>0</v>
      </c>
      <c r="W29" s="29">
        <f t="shared" si="0"/>
        <v>0</v>
      </c>
      <c r="X29" s="29">
        <f t="shared" si="0"/>
        <v>0</v>
      </c>
      <c r="Y29" s="29">
        <f t="shared" si="0"/>
        <v>0</v>
      </c>
      <c r="Z29" s="29">
        <f t="shared" si="0"/>
        <v>0</v>
      </c>
      <c r="AA29" s="31" t="e">
        <f t="shared" si="1"/>
        <v>#DIV/0!</v>
      </c>
      <c r="AB29" s="33"/>
    </row>
    <row r="30" spans="2:28" ht="15" customHeight="1">
      <c r="B30" s="21"/>
      <c r="C30" s="22"/>
      <c r="D30" s="28"/>
      <c r="E30" s="29"/>
      <c r="F30" s="29"/>
      <c r="G30" s="29"/>
      <c r="H30" s="29"/>
      <c r="I30" s="29"/>
      <c r="J30" s="29"/>
      <c r="K30" s="30"/>
      <c r="L30" s="28"/>
      <c r="M30" s="29"/>
      <c r="N30" s="29"/>
      <c r="O30" s="29"/>
      <c r="P30" s="29"/>
      <c r="Q30" s="29"/>
      <c r="R30" s="29"/>
      <c r="S30" s="30"/>
      <c r="T30" s="28">
        <f t="shared" si="0"/>
        <v>0</v>
      </c>
      <c r="U30" s="29">
        <f t="shared" si="0"/>
        <v>0</v>
      </c>
      <c r="V30" s="29">
        <f t="shared" si="0"/>
        <v>0</v>
      </c>
      <c r="W30" s="29">
        <f t="shared" si="0"/>
        <v>0</v>
      </c>
      <c r="X30" s="29">
        <f t="shared" si="0"/>
        <v>0</v>
      </c>
      <c r="Y30" s="29">
        <f t="shared" si="0"/>
        <v>0</v>
      </c>
      <c r="Z30" s="29">
        <f t="shared" si="0"/>
        <v>0</v>
      </c>
      <c r="AA30" s="31" t="e">
        <f t="shared" si="1"/>
        <v>#DIV/0!</v>
      </c>
      <c r="AB30" s="33"/>
    </row>
    <row r="31" spans="2:28" ht="15" customHeight="1">
      <c r="B31" s="21"/>
      <c r="C31" s="22"/>
      <c r="D31" s="28"/>
      <c r="E31" s="29"/>
      <c r="F31" s="29"/>
      <c r="G31" s="29"/>
      <c r="H31" s="29"/>
      <c r="I31" s="29"/>
      <c r="J31" s="29"/>
      <c r="K31" s="30"/>
      <c r="L31" s="28"/>
      <c r="M31" s="29"/>
      <c r="N31" s="29"/>
      <c r="O31" s="29"/>
      <c r="P31" s="29"/>
      <c r="Q31" s="29"/>
      <c r="R31" s="29"/>
      <c r="S31" s="30"/>
      <c r="T31" s="28">
        <f t="shared" si="0"/>
        <v>0</v>
      </c>
      <c r="U31" s="29">
        <f t="shared" si="0"/>
        <v>0</v>
      </c>
      <c r="V31" s="29">
        <f t="shared" si="0"/>
        <v>0</v>
      </c>
      <c r="W31" s="29">
        <f t="shared" si="0"/>
        <v>0</v>
      </c>
      <c r="X31" s="29">
        <f t="shared" si="0"/>
        <v>0</v>
      </c>
      <c r="Y31" s="29">
        <f t="shared" si="0"/>
        <v>0</v>
      </c>
      <c r="Z31" s="29">
        <f t="shared" si="0"/>
        <v>0</v>
      </c>
      <c r="AA31" s="31" t="e">
        <f t="shared" si="1"/>
        <v>#DIV/0!</v>
      </c>
      <c r="AB31" s="33"/>
    </row>
    <row r="32" spans="2:28" ht="15" customHeight="1">
      <c r="B32" s="21"/>
      <c r="C32" s="22"/>
      <c r="D32" s="28"/>
      <c r="E32" s="29"/>
      <c r="F32" s="29"/>
      <c r="G32" s="29"/>
      <c r="H32" s="29"/>
      <c r="I32" s="29"/>
      <c r="J32" s="29"/>
      <c r="K32" s="30"/>
      <c r="L32" s="28"/>
      <c r="M32" s="29"/>
      <c r="N32" s="29"/>
      <c r="O32" s="29"/>
      <c r="P32" s="29"/>
      <c r="Q32" s="29"/>
      <c r="R32" s="29"/>
      <c r="S32" s="30"/>
      <c r="T32" s="28">
        <f t="shared" si="0"/>
        <v>0</v>
      </c>
      <c r="U32" s="29">
        <f t="shared" si="0"/>
        <v>0</v>
      </c>
      <c r="V32" s="29">
        <f t="shared" si="0"/>
        <v>0</v>
      </c>
      <c r="W32" s="29">
        <f t="shared" si="0"/>
        <v>0</v>
      </c>
      <c r="X32" s="29">
        <f t="shared" si="0"/>
        <v>0</v>
      </c>
      <c r="Y32" s="29">
        <f t="shared" si="0"/>
        <v>0</v>
      </c>
      <c r="Z32" s="29">
        <f t="shared" si="0"/>
        <v>0</v>
      </c>
      <c r="AA32" s="31" t="e">
        <f t="shared" si="1"/>
        <v>#DIV/0!</v>
      </c>
      <c r="AB32" s="33"/>
    </row>
    <row r="33" spans="2:28" ht="15" customHeight="1">
      <c r="B33" s="21"/>
      <c r="C33" s="22"/>
      <c r="D33" s="28"/>
      <c r="E33" s="29"/>
      <c r="F33" s="29"/>
      <c r="G33" s="29"/>
      <c r="H33" s="29"/>
      <c r="I33" s="29"/>
      <c r="J33" s="29"/>
      <c r="K33" s="30"/>
      <c r="L33" s="28"/>
      <c r="M33" s="29"/>
      <c r="N33" s="29"/>
      <c r="O33" s="29"/>
      <c r="P33" s="29"/>
      <c r="Q33" s="29"/>
      <c r="R33" s="29"/>
      <c r="S33" s="30"/>
      <c r="T33" s="28">
        <f t="shared" si="0"/>
        <v>0</v>
      </c>
      <c r="U33" s="29">
        <f t="shared" si="0"/>
        <v>0</v>
      </c>
      <c r="V33" s="29">
        <f t="shared" si="0"/>
        <v>0</v>
      </c>
      <c r="W33" s="29">
        <f t="shared" si="0"/>
        <v>0</v>
      </c>
      <c r="X33" s="29">
        <f t="shared" si="0"/>
        <v>0</v>
      </c>
      <c r="Y33" s="29">
        <f t="shared" si="0"/>
        <v>0</v>
      </c>
      <c r="Z33" s="29">
        <f t="shared" si="0"/>
        <v>0</v>
      </c>
      <c r="AA33" s="31" t="e">
        <f t="shared" si="1"/>
        <v>#DIV/0!</v>
      </c>
      <c r="AB33" s="33"/>
    </row>
    <row r="34" spans="2:28" ht="15" customHeight="1">
      <c r="B34" s="21"/>
      <c r="C34" s="22"/>
      <c r="D34" s="28"/>
      <c r="E34" s="29"/>
      <c r="F34" s="29"/>
      <c r="G34" s="29"/>
      <c r="H34" s="29"/>
      <c r="I34" s="29"/>
      <c r="J34" s="29"/>
      <c r="K34" s="30"/>
      <c r="L34" s="28"/>
      <c r="M34" s="29"/>
      <c r="N34" s="29"/>
      <c r="O34" s="29"/>
      <c r="P34" s="29"/>
      <c r="Q34" s="29"/>
      <c r="R34" s="29"/>
      <c r="S34" s="30"/>
      <c r="T34" s="28">
        <f t="shared" si="0"/>
        <v>0</v>
      </c>
      <c r="U34" s="29">
        <f t="shared" si="0"/>
        <v>0</v>
      </c>
      <c r="V34" s="29">
        <f t="shared" si="0"/>
        <v>0</v>
      </c>
      <c r="W34" s="29">
        <f t="shared" si="0"/>
        <v>0</v>
      </c>
      <c r="X34" s="29">
        <f t="shared" si="0"/>
        <v>0</v>
      </c>
      <c r="Y34" s="29">
        <f t="shared" si="0"/>
        <v>0</v>
      </c>
      <c r="Z34" s="29">
        <f t="shared" si="0"/>
        <v>0</v>
      </c>
      <c r="AA34" s="31" t="e">
        <f t="shared" si="1"/>
        <v>#DIV/0!</v>
      </c>
      <c r="AB34" s="33"/>
    </row>
    <row r="35" spans="2:28" ht="15" customHeight="1" thickBot="1">
      <c r="B35" s="21"/>
      <c r="C35" s="22"/>
      <c r="D35" s="34"/>
      <c r="E35" s="35"/>
      <c r="F35" s="35"/>
      <c r="G35" s="35"/>
      <c r="H35" s="35"/>
      <c r="I35" s="35"/>
      <c r="J35" s="35"/>
      <c r="K35" s="36"/>
      <c r="L35" s="34"/>
      <c r="M35" s="35"/>
      <c r="N35" s="35"/>
      <c r="O35" s="35"/>
      <c r="P35" s="35"/>
      <c r="Q35" s="35"/>
      <c r="R35" s="35"/>
      <c r="S35" s="36"/>
      <c r="T35" s="34">
        <f t="shared" si="0"/>
        <v>0</v>
      </c>
      <c r="U35" s="35">
        <f t="shared" si="0"/>
        <v>0</v>
      </c>
      <c r="V35" s="35">
        <f t="shared" si="0"/>
        <v>0</v>
      </c>
      <c r="W35" s="35">
        <f t="shared" si="0"/>
        <v>0</v>
      </c>
      <c r="X35" s="35">
        <f t="shared" si="0"/>
        <v>0</v>
      </c>
      <c r="Y35" s="35">
        <f t="shared" si="0"/>
        <v>0</v>
      </c>
      <c r="Z35" s="35">
        <f t="shared" si="0"/>
        <v>0</v>
      </c>
      <c r="AA35" s="37" t="e">
        <f t="shared" si="1"/>
        <v>#DIV/0!</v>
      </c>
      <c r="AB35" s="38"/>
    </row>
    <row r="36" spans="2:28" ht="33" customHeight="1">
      <c r="B36" s="220" t="s">
        <v>42</v>
      </c>
      <c r="C36" s="221"/>
      <c r="D36" s="222"/>
      <c r="E36" s="223"/>
      <c r="F36" s="223"/>
      <c r="G36" s="223"/>
      <c r="H36" s="223"/>
      <c r="I36" s="224"/>
      <c r="J36" s="225" t="s">
        <v>43</v>
      </c>
      <c r="K36" s="225"/>
      <c r="L36" s="225"/>
      <c r="M36" s="225"/>
      <c r="N36" s="225"/>
      <c r="O36" s="225"/>
      <c r="P36" s="225"/>
      <c r="Q36" s="164" t="s">
        <v>44</v>
      </c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5"/>
    </row>
    <row r="37" spans="2:28" ht="33" customHeight="1">
      <c r="B37" s="226" t="s">
        <v>45</v>
      </c>
      <c r="C37" s="227"/>
      <c r="D37" s="169" t="s">
        <v>46</v>
      </c>
      <c r="E37" s="170"/>
      <c r="F37" s="170"/>
      <c r="G37" s="170"/>
      <c r="H37" s="170"/>
      <c r="I37" s="171"/>
      <c r="J37" s="228" t="s">
        <v>47</v>
      </c>
      <c r="K37" s="229"/>
      <c r="L37" s="229"/>
      <c r="M37" s="229"/>
      <c r="N37" s="229"/>
      <c r="O37" s="229"/>
      <c r="P37" s="230"/>
      <c r="Q37" s="234" t="s">
        <v>48</v>
      </c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</row>
    <row r="38" spans="2:28" ht="33" customHeight="1" thickBot="1">
      <c r="B38" s="236" t="s">
        <v>49</v>
      </c>
      <c r="C38" s="237"/>
      <c r="D38" s="238" t="s">
        <v>50</v>
      </c>
      <c r="E38" s="185"/>
      <c r="F38" s="185"/>
      <c r="G38" s="185"/>
      <c r="H38" s="185"/>
      <c r="I38" s="186"/>
      <c r="J38" s="231"/>
      <c r="K38" s="232"/>
      <c r="L38" s="232"/>
      <c r="M38" s="232"/>
      <c r="N38" s="232"/>
      <c r="O38" s="232"/>
      <c r="P38" s="233"/>
      <c r="Q38" s="235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</row>
    <row r="39" spans="2:28" ht="15" customHeight="1"/>
    <row r="40" spans="2:28" ht="15" customHeight="1"/>
    <row r="41" spans="2:28" ht="15" customHeight="1"/>
    <row r="42" spans="2:28" ht="15" customHeight="1"/>
    <row r="43" spans="2:28" ht="15" customHeight="1"/>
    <row r="44" spans="2:28" ht="15" customHeight="1"/>
    <row r="45" spans="2:28" ht="15" customHeight="1"/>
    <row r="46" spans="2:28" ht="15" customHeight="1"/>
    <row r="47" spans="2:28" ht="15" customHeight="1"/>
    <row r="48" spans="2:28" ht="15" customHeight="1"/>
    <row r="49" customFormat="1" ht="15" customHeight="1"/>
    <row r="50" customFormat="1" ht="15" customHeight="1"/>
    <row r="51" customFormat="1" ht="15" customHeight="1"/>
    <row r="52" customFormat="1" ht="15" customHeight="1"/>
    <row r="53" customFormat="1" ht="15" customHeight="1"/>
    <row r="54" customFormat="1" ht="15" customHeight="1"/>
    <row r="55" customFormat="1" ht="15" customHeight="1"/>
    <row r="56" customFormat="1" ht="15" customHeight="1"/>
    <row r="57" customFormat="1" ht="15" customHeight="1"/>
    <row r="58" customFormat="1" ht="15" customHeight="1"/>
    <row r="59" customFormat="1" ht="15" customHeight="1"/>
    <row r="60" customFormat="1" ht="15" customHeight="1"/>
    <row r="61" customFormat="1" ht="15" customHeight="1"/>
    <row r="62" customFormat="1" ht="15" customHeight="1"/>
    <row r="63" customFormat="1" ht="15" customHeight="1"/>
    <row r="64" customFormat="1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mergeCells count="35">
    <mergeCell ref="B36:C36"/>
    <mergeCell ref="D36:I36"/>
    <mergeCell ref="J36:P36"/>
    <mergeCell ref="Q36:AB36"/>
    <mergeCell ref="B37:C37"/>
    <mergeCell ref="D37:I37"/>
    <mergeCell ref="J37:P38"/>
    <mergeCell ref="Q37:AB38"/>
    <mergeCell ref="B38:C38"/>
    <mergeCell ref="D38:I38"/>
    <mergeCell ref="AB10:AB11"/>
    <mergeCell ref="B7:C7"/>
    <mergeCell ref="D7:J7"/>
    <mergeCell ref="L7:R7"/>
    <mergeCell ref="T7:X7"/>
    <mergeCell ref="Y7:Z7"/>
    <mergeCell ref="B8:C8"/>
    <mergeCell ref="D8:J8"/>
    <mergeCell ref="L8:R8"/>
    <mergeCell ref="T8:X8"/>
    <mergeCell ref="Y8:Z8"/>
    <mergeCell ref="B10:B11"/>
    <mergeCell ref="C10:C11"/>
    <mergeCell ref="D10:K10"/>
    <mergeCell ref="L10:S10"/>
    <mergeCell ref="T10:AA10"/>
    <mergeCell ref="B1:C4"/>
    <mergeCell ref="D1:Z2"/>
    <mergeCell ref="AB1:AB4"/>
    <mergeCell ref="D3:Z4"/>
    <mergeCell ref="B6:C6"/>
    <mergeCell ref="D6:J6"/>
    <mergeCell ref="L6:R6"/>
    <mergeCell ref="T6:X6"/>
    <mergeCell ref="Y6:Z6"/>
  </mergeCells>
  <conditionalFormatting sqref="T12:T35">
    <cfRule type="cellIs" dxfId="108" priority="15" operator="greaterThan">
      <formula>0.51</formula>
    </cfRule>
    <cfRule type="cellIs" dxfId="107" priority="16" operator="lessThan">
      <formula>0.5</formula>
    </cfRule>
  </conditionalFormatting>
  <conditionalFormatting sqref="U12:U35">
    <cfRule type="cellIs" dxfId="106" priority="13" operator="greaterThan">
      <formula>5.1</formula>
    </cfRule>
    <cfRule type="cellIs" dxfId="105" priority="14" operator="lessThan">
      <formula>5</formula>
    </cfRule>
  </conditionalFormatting>
  <conditionalFormatting sqref="V12:V35">
    <cfRule type="cellIs" dxfId="104" priority="11" operator="greaterThan">
      <formula>1.1</formula>
    </cfRule>
    <cfRule type="cellIs" dxfId="103" priority="12" operator="lessThan">
      <formula>1</formula>
    </cfRule>
  </conditionalFormatting>
  <conditionalFormatting sqref="W12:W35">
    <cfRule type="cellIs" dxfId="102" priority="9" operator="greaterThan">
      <formula>22.6</formula>
    </cfRule>
    <cfRule type="cellIs" dxfId="101" priority="10" operator="lessThan">
      <formula>22.5</formula>
    </cfRule>
  </conditionalFormatting>
  <conditionalFormatting sqref="X12:X35">
    <cfRule type="cellIs" dxfId="100" priority="7" operator="greaterThan">
      <formula>1.1</formula>
    </cfRule>
    <cfRule type="cellIs" dxfId="99" priority="8" operator="lessThan">
      <formula>1</formula>
    </cfRule>
  </conditionalFormatting>
  <conditionalFormatting sqref="Y12:Y35">
    <cfRule type="cellIs" dxfId="98" priority="5" operator="greaterThan">
      <formula>90.1</formula>
    </cfRule>
    <cfRule type="cellIs" dxfId="97" priority="6" operator="lessThan">
      <formula>90</formula>
    </cfRule>
  </conditionalFormatting>
  <conditionalFormatting sqref="Z12:Z35">
    <cfRule type="cellIs" dxfId="96" priority="3" operator="greaterThan">
      <formula>0.9</formula>
    </cfRule>
    <cfRule type="cellIs" dxfId="95" priority="4" operator="lessThan">
      <formula>0.8</formula>
    </cfRule>
  </conditionalFormatting>
  <conditionalFormatting sqref="AA12:AA35">
    <cfRule type="cellIs" dxfId="94" priority="1" operator="lessThan">
      <formula>0.05</formula>
    </cfRule>
    <cfRule type="cellIs" dxfId="93" priority="2" operator="greaterThan">
      <formula>0.05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6459-4473-46A8-BA32-9EB486843A83}">
  <dimension ref="B1:AB68"/>
  <sheetViews>
    <sheetView workbookViewId="0">
      <selection activeCell="F18" sqref="F18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27" width="8.7109375" customWidth="1"/>
    <col min="28" max="28" width="20.85546875" bestFit="1" customWidth="1"/>
  </cols>
  <sheetData>
    <row r="1" spans="2:28" ht="18" customHeight="1">
      <c r="B1" s="105"/>
      <c r="C1" s="187"/>
      <c r="D1" s="190" t="s">
        <v>6</v>
      </c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2"/>
      <c r="AA1" s="2"/>
      <c r="AB1" s="193" t="s">
        <v>7</v>
      </c>
    </row>
    <row r="2" spans="2:28" ht="18" customHeight="1">
      <c r="B2" s="107"/>
      <c r="C2" s="188"/>
      <c r="D2" s="190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2"/>
      <c r="AA2" s="2"/>
      <c r="AB2" s="194"/>
    </row>
    <row r="3" spans="2:28" ht="18" customHeight="1">
      <c r="B3" s="107"/>
      <c r="C3" s="188"/>
      <c r="D3" s="190" t="s">
        <v>8</v>
      </c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2"/>
      <c r="AA3" s="2"/>
      <c r="AB3" s="194"/>
    </row>
    <row r="4" spans="2:28" ht="18" customHeight="1" thickBot="1">
      <c r="B4" s="109"/>
      <c r="C4" s="189"/>
      <c r="D4" s="196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8"/>
      <c r="AA4" s="3"/>
      <c r="AB4" s="195"/>
    </row>
    <row r="5" spans="2:28" ht="15" customHeigh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2:28" ht="33.75" customHeight="1">
      <c r="B6" s="199" t="s">
        <v>9</v>
      </c>
      <c r="C6" s="199"/>
      <c r="D6" s="200"/>
      <c r="E6" s="200"/>
      <c r="F6" s="200"/>
      <c r="G6" s="200"/>
      <c r="H6" s="200"/>
      <c r="I6" s="200"/>
      <c r="J6" s="200"/>
      <c r="K6" s="5"/>
      <c r="L6" s="201" t="s">
        <v>10</v>
      </c>
      <c r="M6" s="201"/>
      <c r="N6" s="201"/>
      <c r="O6" s="201"/>
      <c r="P6" s="201"/>
      <c r="Q6" s="201"/>
      <c r="R6" s="201"/>
      <c r="S6" s="6"/>
      <c r="T6" s="201" t="s">
        <v>11</v>
      </c>
      <c r="U6" s="201"/>
      <c r="V6" s="201"/>
      <c r="W6" s="201"/>
      <c r="X6" s="201"/>
      <c r="Y6" s="201" t="s">
        <v>12</v>
      </c>
      <c r="Z6" s="201"/>
      <c r="AA6" s="6"/>
      <c r="AB6" s="7" t="s">
        <v>13</v>
      </c>
    </row>
    <row r="7" spans="2:28" ht="33.75" customHeight="1">
      <c r="B7" s="199" t="s">
        <v>14</v>
      </c>
      <c r="C7" s="199"/>
      <c r="D7" s="200"/>
      <c r="E7" s="200"/>
      <c r="F7" s="200"/>
      <c r="G7" s="200"/>
      <c r="H7" s="200"/>
      <c r="I7" s="200"/>
      <c r="J7" s="200"/>
      <c r="K7" s="5"/>
      <c r="L7" s="204" t="s">
        <v>15</v>
      </c>
      <c r="M7" s="204"/>
      <c r="N7" s="204"/>
      <c r="O7" s="204"/>
      <c r="P7" s="204"/>
      <c r="Q7" s="204"/>
      <c r="R7" s="204"/>
      <c r="S7" s="1"/>
      <c r="T7" s="204"/>
      <c r="U7" s="204"/>
      <c r="V7" s="204"/>
      <c r="W7" s="204"/>
      <c r="X7" s="204"/>
      <c r="Y7" s="205"/>
      <c r="Z7" s="205"/>
      <c r="AA7" s="8"/>
      <c r="AB7" s="9"/>
    </row>
    <row r="8" spans="2:28" ht="33.75" customHeight="1">
      <c r="B8" s="199" t="s">
        <v>16</v>
      </c>
      <c r="C8" s="199"/>
      <c r="D8" s="200"/>
      <c r="E8" s="200"/>
      <c r="F8" s="200"/>
      <c r="G8" s="200"/>
      <c r="H8" s="200"/>
      <c r="I8" s="200"/>
      <c r="J8" s="200"/>
      <c r="K8" s="5"/>
      <c r="L8" s="204" t="s">
        <v>17</v>
      </c>
      <c r="M8" s="204"/>
      <c r="N8" s="204"/>
      <c r="O8" s="204"/>
      <c r="P8" s="204"/>
      <c r="Q8" s="204"/>
      <c r="R8" s="204"/>
      <c r="S8" s="1"/>
      <c r="T8" s="206"/>
      <c r="U8" s="206"/>
      <c r="V8" s="206"/>
      <c r="W8" s="206"/>
      <c r="X8" s="206"/>
      <c r="Y8" s="205"/>
      <c r="Z8" s="205"/>
      <c r="AA8" s="8"/>
      <c r="AB8" s="9"/>
    </row>
    <row r="9" spans="2:28" ht="22.5" customHeight="1" thickBot="1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2:28" ht="22.5" customHeight="1" thickBot="1">
      <c r="B10" s="207" t="s">
        <v>18</v>
      </c>
      <c r="C10" s="209" t="s">
        <v>19</v>
      </c>
      <c r="D10" s="211" t="s">
        <v>20</v>
      </c>
      <c r="E10" s="212"/>
      <c r="F10" s="212"/>
      <c r="G10" s="212"/>
      <c r="H10" s="212"/>
      <c r="I10" s="212"/>
      <c r="J10" s="212"/>
      <c r="K10" s="213"/>
      <c r="L10" s="214" t="s">
        <v>21</v>
      </c>
      <c r="M10" s="215"/>
      <c r="N10" s="215"/>
      <c r="O10" s="215"/>
      <c r="P10" s="215"/>
      <c r="Q10" s="215"/>
      <c r="R10" s="215"/>
      <c r="S10" s="216"/>
      <c r="T10" s="217" t="s">
        <v>22</v>
      </c>
      <c r="U10" s="218"/>
      <c r="V10" s="218"/>
      <c r="W10" s="218"/>
      <c r="X10" s="218"/>
      <c r="Y10" s="218"/>
      <c r="Z10" s="218"/>
      <c r="AA10" s="219"/>
      <c r="AB10" s="202" t="s">
        <v>23</v>
      </c>
    </row>
    <row r="11" spans="2:28" ht="48.75" customHeight="1" thickBot="1">
      <c r="B11" s="208"/>
      <c r="C11" s="210"/>
      <c r="D11" s="12" t="s">
        <v>24</v>
      </c>
      <c r="E11" s="13" t="s">
        <v>25</v>
      </c>
      <c r="F11" s="13" t="s">
        <v>26</v>
      </c>
      <c r="G11" s="13" t="s">
        <v>27</v>
      </c>
      <c r="H11" s="13" t="s">
        <v>28</v>
      </c>
      <c r="I11" s="13" t="s">
        <v>29</v>
      </c>
      <c r="J11" s="13" t="s">
        <v>30</v>
      </c>
      <c r="K11" s="14" t="s">
        <v>31</v>
      </c>
      <c r="L11" s="15" t="s">
        <v>32</v>
      </c>
      <c r="M11" s="16" t="s">
        <v>25</v>
      </c>
      <c r="N11" s="16" t="s">
        <v>26</v>
      </c>
      <c r="O11" s="16" t="s">
        <v>27</v>
      </c>
      <c r="P11" s="16" t="s">
        <v>28</v>
      </c>
      <c r="Q11" s="16" t="s">
        <v>29</v>
      </c>
      <c r="R11" s="16" t="s">
        <v>33</v>
      </c>
      <c r="S11" s="17" t="s">
        <v>31</v>
      </c>
      <c r="T11" s="18" t="s">
        <v>34</v>
      </c>
      <c r="U11" s="19" t="s">
        <v>35</v>
      </c>
      <c r="V11" s="19" t="s">
        <v>36</v>
      </c>
      <c r="W11" s="19" t="s">
        <v>37</v>
      </c>
      <c r="X11" s="19" t="s">
        <v>38</v>
      </c>
      <c r="Y11" s="19" t="s">
        <v>39</v>
      </c>
      <c r="Z11" s="19" t="s">
        <v>40</v>
      </c>
      <c r="AA11" s="20" t="s">
        <v>41</v>
      </c>
      <c r="AB11" s="203"/>
    </row>
    <row r="12" spans="2:28" ht="15" customHeight="1">
      <c r="B12" s="21"/>
      <c r="C12" s="22"/>
      <c r="D12" s="23"/>
      <c r="E12" s="24"/>
      <c r="F12" s="24"/>
      <c r="G12" s="24"/>
      <c r="H12" s="24"/>
      <c r="I12" s="24"/>
      <c r="J12" s="24"/>
      <c r="K12" s="25"/>
      <c r="L12" s="23"/>
      <c r="M12" s="24"/>
      <c r="N12" s="24"/>
      <c r="O12" s="24"/>
      <c r="P12" s="24"/>
      <c r="Q12" s="24"/>
      <c r="R12" s="24"/>
      <c r="S12" s="25"/>
      <c r="T12" s="23">
        <f t="shared" ref="T12:Z35" si="0">+ABS(L12-D12)</f>
        <v>0</v>
      </c>
      <c r="U12" s="24">
        <f t="shared" si="0"/>
        <v>0</v>
      </c>
      <c r="V12" s="24">
        <f t="shared" si="0"/>
        <v>0</v>
      </c>
      <c r="W12" s="24">
        <f t="shared" si="0"/>
        <v>0</v>
      </c>
      <c r="X12" s="24">
        <f t="shared" si="0"/>
        <v>0</v>
      </c>
      <c r="Y12" s="24">
        <f t="shared" si="0"/>
        <v>0</v>
      </c>
      <c r="Z12" s="24">
        <f t="shared" si="0"/>
        <v>0</v>
      </c>
      <c r="AA12" s="26" t="e">
        <f>1-ABS(S12/K12)</f>
        <v>#DIV/0!</v>
      </c>
      <c r="AB12" s="27"/>
    </row>
    <row r="13" spans="2:28" ht="15" customHeight="1">
      <c r="B13" s="21"/>
      <c r="C13" s="22"/>
      <c r="D13" s="28"/>
      <c r="E13" s="29"/>
      <c r="F13" s="29"/>
      <c r="G13" s="29"/>
      <c r="H13" s="29"/>
      <c r="I13" s="29"/>
      <c r="J13" s="29"/>
      <c r="K13" s="30"/>
      <c r="L13" s="28"/>
      <c r="M13" s="29"/>
      <c r="N13" s="29"/>
      <c r="O13" s="29"/>
      <c r="P13" s="29"/>
      <c r="Q13" s="29"/>
      <c r="R13" s="29"/>
      <c r="S13" s="30"/>
      <c r="T13" s="28">
        <f t="shared" si="0"/>
        <v>0</v>
      </c>
      <c r="U13" s="29">
        <f t="shared" si="0"/>
        <v>0</v>
      </c>
      <c r="V13" s="29">
        <f t="shared" si="0"/>
        <v>0</v>
      </c>
      <c r="W13" s="29">
        <f t="shared" si="0"/>
        <v>0</v>
      </c>
      <c r="X13" s="29">
        <f t="shared" si="0"/>
        <v>0</v>
      </c>
      <c r="Y13" s="29">
        <f t="shared" si="0"/>
        <v>0</v>
      </c>
      <c r="Z13" s="29">
        <f t="shared" si="0"/>
        <v>0</v>
      </c>
      <c r="AA13" s="31" t="e">
        <f t="shared" ref="AA13:AA35" si="1">1-ABS(S13/K13)</f>
        <v>#DIV/0!</v>
      </c>
      <c r="AB13" s="32"/>
    </row>
    <row r="14" spans="2:28" ht="15" customHeight="1">
      <c r="B14" s="21"/>
      <c r="C14" s="22"/>
      <c r="D14" s="28"/>
      <c r="E14" s="29"/>
      <c r="F14" s="29"/>
      <c r="G14" s="29"/>
      <c r="H14" s="29"/>
      <c r="I14" s="29"/>
      <c r="J14" s="29"/>
      <c r="K14" s="30"/>
      <c r="L14" s="28"/>
      <c r="M14" s="29"/>
      <c r="N14" s="29"/>
      <c r="O14" s="29"/>
      <c r="P14" s="29"/>
      <c r="Q14" s="29"/>
      <c r="R14" s="29"/>
      <c r="S14" s="30"/>
      <c r="T14" s="28">
        <f t="shared" si="0"/>
        <v>0</v>
      </c>
      <c r="U14" s="29">
        <f t="shared" si="0"/>
        <v>0</v>
      </c>
      <c r="V14" s="29">
        <f t="shared" si="0"/>
        <v>0</v>
      </c>
      <c r="W14" s="29">
        <f t="shared" si="0"/>
        <v>0</v>
      </c>
      <c r="X14" s="29">
        <f t="shared" si="0"/>
        <v>0</v>
      </c>
      <c r="Y14" s="29">
        <f t="shared" si="0"/>
        <v>0</v>
      </c>
      <c r="Z14" s="29">
        <f t="shared" si="0"/>
        <v>0</v>
      </c>
      <c r="AA14" s="31" t="e">
        <f t="shared" si="1"/>
        <v>#DIV/0!</v>
      </c>
      <c r="AB14" s="32"/>
    </row>
    <row r="15" spans="2:28" ht="15" customHeight="1">
      <c r="B15" s="21"/>
      <c r="C15" s="22"/>
      <c r="D15" s="28"/>
      <c r="E15" s="29"/>
      <c r="F15" s="29"/>
      <c r="G15" s="29"/>
      <c r="H15" s="29"/>
      <c r="I15" s="29"/>
      <c r="J15" s="29"/>
      <c r="K15" s="30"/>
      <c r="L15" s="28"/>
      <c r="M15" s="29"/>
      <c r="N15" s="29"/>
      <c r="O15" s="29"/>
      <c r="P15" s="29"/>
      <c r="Q15" s="29"/>
      <c r="R15" s="29"/>
      <c r="S15" s="30"/>
      <c r="T15" s="28">
        <f t="shared" si="0"/>
        <v>0</v>
      </c>
      <c r="U15" s="29">
        <f t="shared" si="0"/>
        <v>0</v>
      </c>
      <c r="V15" s="29">
        <f t="shared" si="0"/>
        <v>0</v>
      </c>
      <c r="W15" s="29">
        <f t="shared" si="0"/>
        <v>0</v>
      </c>
      <c r="X15" s="29">
        <f t="shared" si="0"/>
        <v>0</v>
      </c>
      <c r="Y15" s="29">
        <f t="shared" si="0"/>
        <v>0</v>
      </c>
      <c r="Z15" s="29">
        <f t="shared" si="0"/>
        <v>0</v>
      </c>
      <c r="AA15" s="31" t="e">
        <f t="shared" si="1"/>
        <v>#DIV/0!</v>
      </c>
      <c r="AB15" s="32"/>
    </row>
    <row r="16" spans="2:28" ht="15" customHeight="1">
      <c r="B16" s="21"/>
      <c r="C16" s="22"/>
      <c r="D16" s="28"/>
      <c r="E16" s="29"/>
      <c r="F16" s="29"/>
      <c r="G16" s="29"/>
      <c r="H16" s="29"/>
      <c r="I16" s="29"/>
      <c r="J16" s="29"/>
      <c r="K16" s="30"/>
      <c r="L16" s="28"/>
      <c r="M16" s="29"/>
      <c r="N16" s="29"/>
      <c r="O16" s="29"/>
      <c r="P16" s="29"/>
      <c r="Q16" s="29"/>
      <c r="R16" s="29"/>
      <c r="S16" s="30"/>
      <c r="T16" s="28">
        <f t="shared" si="0"/>
        <v>0</v>
      </c>
      <c r="U16" s="29">
        <f t="shared" si="0"/>
        <v>0</v>
      </c>
      <c r="V16" s="29">
        <f t="shared" si="0"/>
        <v>0</v>
      </c>
      <c r="W16" s="29">
        <f t="shared" si="0"/>
        <v>0</v>
      </c>
      <c r="X16" s="29">
        <f t="shared" si="0"/>
        <v>0</v>
      </c>
      <c r="Y16" s="29">
        <f t="shared" si="0"/>
        <v>0</v>
      </c>
      <c r="Z16" s="29">
        <f t="shared" si="0"/>
        <v>0</v>
      </c>
      <c r="AA16" s="31" t="e">
        <f t="shared" si="1"/>
        <v>#DIV/0!</v>
      </c>
      <c r="AB16" s="32"/>
    </row>
    <row r="17" spans="2:28" ht="15" customHeight="1">
      <c r="B17" s="21"/>
      <c r="C17" s="22"/>
      <c r="D17" s="28"/>
      <c r="E17" s="29"/>
      <c r="F17" s="29"/>
      <c r="G17" s="29"/>
      <c r="H17" s="29"/>
      <c r="I17" s="29"/>
      <c r="J17" s="29"/>
      <c r="K17" s="30"/>
      <c r="L17" s="28"/>
      <c r="M17" s="29"/>
      <c r="N17" s="29"/>
      <c r="O17" s="29"/>
      <c r="P17" s="29"/>
      <c r="Q17" s="29"/>
      <c r="R17" s="29"/>
      <c r="S17" s="30"/>
      <c r="T17" s="28">
        <f t="shared" si="0"/>
        <v>0</v>
      </c>
      <c r="U17" s="29">
        <f t="shared" si="0"/>
        <v>0</v>
      </c>
      <c r="V17" s="29">
        <f t="shared" si="0"/>
        <v>0</v>
      </c>
      <c r="W17" s="29">
        <f t="shared" si="0"/>
        <v>0</v>
      </c>
      <c r="X17" s="29">
        <f t="shared" si="0"/>
        <v>0</v>
      </c>
      <c r="Y17" s="29">
        <f t="shared" si="0"/>
        <v>0</v>
      </c>
      <c r="Z17" s="29">
        <f t="shared" si="0"/>
        <v>0</v>
      </c>
      <c r="AA17" s="31" t="e">
        <f t="shared" si="1"/>
        <v>#DIV/0!</v>
      </c>
      <c r="AB17" s="32"/>
    </row>
    <row r="18" spans="2:28" ht="15" customHeight="1">
      <c r="B18" s="21"/>
      <c r="C18" s="22"/>
      <c r="D18" s="28"/>
      <c r="E18" s="29"/>
      <c r="F18" s="29"/>
      <c r="G18" s="29"/>
      <c r="H18" s="29"/>
      <c r="I18" s="29"/>
      <c r="J18" s="29"/>
      <c r="K18" s="30"/>
      <c r="L18" s="28"/>
      <c r="M18" s="29"/>
      <c r="N18" s="29"/>
      <c r="O18" s="29"/>
      <c r="P18" s="29"/>
      <c r="Q18" s="29"/>
      <c r="R18" s="29"/>
      <c r="S18" s="30"/>
      <c r="T18" s="28">
        <f t="shared" si="0"/>
        <v>0</v>
      </c>
      <c r="U18" s="29">
        <f t="shared" si="0"/>
        <v>0</v>
      </c>
      <c r="V18" s="29">
        <f t="shared" si="0"/>
        <v>0</v>
      </c>
      <c r="W18" s="29">
        <f t="shared" si="0"/>
        <v>0</v>
      </c>
      <c r="X18" s="29">
        <f t="shared" si="0"/>
        <v>0</v>
      </c>
      <c r="Y18" s="29">
        <f t="shared" si="0"/>
        <v>0</v>
      </c>
      <c r="Z18" s="29">
        <f t="shared" si="0"/>
        <v>0</v>
      </c>
      <c r="AA18" s="31" t="e">
        <f t="shared" si="1"/>
        <v>#DIV/0!</v>
      </c>
      <c r="AB18" s="32"/>
    </row>
    <row r="19" spans="2:28" ht="15" customHeight="1">
      <c r="B19" s="21"/>
      <c r="C19" s="22"/>
      <c r="D19" s="28"/>
      <c r="E19" s="29"/>
      <c r="F19" s="29"/>
      <c r="G19" s="29"/>
      <c r="H19" s="29"/>
      <c r="I19" s="29"/>
      <c r="J19" s="29"/>
      <c r="K19" s="30"/>
      <c r="L19" s="28"/>
      <c r="M19" s="29"/>
      <c r="N19" s="29"/>
      <c r="O19" s="29"/>
      <c r="P19" s="29"/>
      <c r="Q19" s="29"/>
      <c r="R19" s="29"/>
      <c r="S19" s="30"/>
      <c r="T19" s="28">
        <f t="shared" si="0"/>
        <v>0</v>
      </c>
      <c r="U19" s="29">
        <f t="shared" si="0"/>
        <v>0</v>
      </c>
      <c r="V19" s="29">
        <f t="shared" si="0"/>
        <v>0</v>
      </c>
      <c r="W19" s="29">
        <f t="shared" si="0"/>
        <v>0</v>
      </c>
      <c r="X19" s="29">
        <f t="shared" si="0"/>
        <v>0</v>
      </c>
      <c r="Y19" s="29">
        <f t="shared" si="0"/>
        <v>0</v>
      </c>
      <c r="Z19" s="29">
        <f t="shared" si="0"/>
        <v>0</v>
      </c>
      <c r="AA19" s="31" t="e">
        <f t="shared" si="1"/>
        <v>#DIV/0!</v>
      </c>
      <c r="AB19" s="32"/>
    </row>
    <row r="20" spans="2:28" ht="15" customHeight="1">
      <c r="B20" s="21"/>
      <c r="C20" s="22"/>
      <c r="D20" s="28"/>
      <c r="E20" s="29"/>
      <c r="F20" s="29"/>
      <c r="G20" s="29"/>
      <c r="H20" s="29"/>
      <c r="I20" s="29"/>
      <c r="J20" s="29"/>
      <c r="K20" s="30"/>
      <c r="L20" s="28"/>
      <c r="M20" s="29"/>
      <c r="N20" s="29"/>
      <c r="O20" s="29"/>
      <c r="P20" s="29"/>
      <c r="Q20" s="29"/>
      <c r="R20" s="29"/>
      <c r="S20" s="30"/>
      <c r="T20" s="28">
        <f t="shared" si="0"/>
        <v>0</v>
      </c>
      <c r="U20" s="29">
        <f t="shared" si="0"/>
        <v>0</v>
      </c>
      <c r="V20" s="29">
        <f t="shared" si="0"/>
        <v>0</v>
      </c>
      <c r="W20" s="29">
        <f t="shared" si="0"/>
        <v>0</v>
      </c>
      <c r="X20" s="29">
        <f t="shared" si="0"/>
        <v>0</v>
      </c>
      <c r="Y20" s="29">
        <f t="shared" si="0"/>
        <v>0</v>
      </c>
      <c r="Z20" s="29">
        <f t="shared" si="0"/>
        <v>0</v>
      </c>
      <c r="AA20" s="31" t="e">
        <f t="shared" si="1"/>
        <v>#DIV/0!</v>
      </c>
      <c r="AB20" s="33"/>
    </row>
    <row r="21" spans="2:28" ht="15" customHeight="1">
      <c r="B21" s="21"/>
      <c r="C21" s="22"/>
      <c r="D21" s="28"/>
      <c r="E21" s="29"/>
      <c r="F21" s="29"/>
      <c r="G21" s="29"/>
      <c r="H21" s="29"/>
      <c r="I21" s="29"/>
      <c r="J21" s="29"/>
      <c r="K21" s="30"/>
      <c r="L21" s="28"/>
      <c r="M21" s="29"/>
      <c r="N21" s="29"/>
      <c r="O21" s="29"/>
      <c r="P21" s="29"/>
      <c r="Q21" s="29"/>
      <c r="R21" s="29"/>
      <c r="S21" s="30"/>
      <c r="T21" s="28">
        <f t="shared" si="0"/>
        <v>0</v>
      </c>
      <c r="U21" s="29">
        <f t="shared" si="0"/>
        <v>0</v>
      </c>
      <c r="V21" s="29">
        <f t="shared" si="0"/>
        <v>0</v>
      </c>
      <c r="W21" s="29">
        <f t="shared" si="0"/>
        <v>0</v>
      </c>
      <c r="X21" s="29">
        <f t="shared" si="0"/>
        <v>0</v>
      </c>
      <c r="Y21" s="29">
        <f t="shared" si="0"/>
        <v>0</v>
      </c>
      <c r="Z21" s="29">
        <f t="shared" si="0"/>
        <v>0</v>
      </c>
      <c r="AA21" s="31" t="e">
        <f t="shared" si="1"/>
        <v>#DIV/0!</v>
      </c>
      <c r="AB21" s="33"/>
    </row>
    <row r="22" spans="2:28" ht="15" customHeight="1">
      <c r="B22" s="21"/>
      <c r="C22" s="22"/>
      <c r="D22" s="28"/>
      <c r="E22" s="29"/>
      <c r="F22" s="29"/>
      <c r="G22" s="29"/>
      <c r="H22" s="29"/>
      <c r="I22" s="29"/>
      <c r="J22" s="29"/>
      <c r="K22" s="30"/>
      <c r="L22" s="28"/>
      <c r="M22" s="29"/>
      <c r="N22" s="29"/>
      <c r="O22" s="29"/>
      <c r="P22" s="29"/>
      <c r="Q22" s="29"/>
      <c r="R22" s="29"/>
      <c r="S22" s="30"/>
      <c r="T22" s="28">
        <f t="shared" si="0"/>
        <v>0</v>
      </c>
      <c r="U22" s="29">
        <f t="shared" si="0"/>
        <v>0</v>
      </c>
      <c r="V22" s="29">
        <f t="shared" si="0"/>
        <v>0</v>
      </c>
      <c r="W22" s="29">
        <f t="shared" si="0"/>
        <v>0</v>
      </c>
      <c r="X22" s="29">
        <f t="shared" si="0"/>
        <v>0</v>
      </c>
      <c r="Y22" s="29">
        <f t="shared" si="0"/>
        <v>0</v>
      </c>
      <c r="Z22" s="29">
        <f t="shared" si="0"/>
        <v>0</v>
      </c>
      <c r="AA22" s="31" t="e">
        <f t="shared" si="1"/>
        <v>#DIV/0!</v>
      </c>
      <c r="AB22" s="33"/>
    </row>
    <row r="23" spans="2:28" ht="15" customHeight="1">
      <c r="B23" s="21"/>
      <c r="C23" s="22"/>
      <c r="D23" s="28"/>
      <c r="E23" s="29"/>
      <c r="F23" s="29"/>
      <c r="G23" s="29"/>
      <c r="H23" s="29"/>
      <c r="I23" s="29"/>
      <c r="J23" s="29"/>
      <c r="K23" s="30"/>
      <c r="L23" s="28"/>
      <c r="M23" s="29"/>
      <c r="N23" s="29"/>
      <c r="O23" s="29"/>
      <c r="P23" s="29"/>
      <c r="Q23" s="29"/>
      <c r="R23" s="29"/>
      <c r="S23" s="30"/>
      <c r="T23" s="28">
        <f t="shared" si="0"/>
        <v>0</v>
      </c>
      <c r="U23" s="29">
        <f t="shared" si="0"/>
        <v>0</v>
      </c>
      <c r="V23" s="29">
        <f t="shared" si="0"/>
        <v>0</v>
      </c>
      <c r="W23" s="29">
        <f t="shared" si="0"/>
        <v>0</v>
      </c>
      <c r="X23" s="29">
        <f t="shared" si="0"/>
        <v>0</v>
      </c>
      <c r="Y23" s="29">
        <f t="shared" si="0"/>
        <v>0</v>
      </c>
      <c r="Z23" s="29">
        <f t="shared" si="0"/>
        <v>0</v>
      </c>
      <c r="AA23" s="31" t="e">
        <f t="shared" si="1"/>
        <v>#DIV/0!</v>
      </c>
      <c r="AB23" s="33"/>
    </row>
    <row r="24" spans="2:28" ht="15" customHeight="1">
      <c r="B24" s="21"/>
      <c r="C24" s="22"/>
      <c r="D24" s="28"/>
      <c r="E24" s="29"/>
      <c r="F24" s="29"/>
      <c r="G24" s="29"/>
      <c r="H24" s="29"/>
      <c r="I24" s="29"/>
      <c r="J24" s="29"/>
      <c r="K24" s="30"/>
      <c r="L24" s="28"/>
      <c r="M24" s="29"/>
      <c r="N24" s="29"/>
      <c r="O24" s="29"/>
      <c r="P24" s="29"/>
      <c r="Q24" s="29"/>
      <c r="R24" s="29"/>
      <c r="S24" s="30"/>
      <c r="T24" s="28">
        <f t="shared" si="0"/>
        <v>0</v>
      </c>
      <c r="U24" s="29">
        <f t="shared" si="0"/>
        <v>0</v>
      </c>
      <c r="V24" s="29">
        <f t="shared" si="0"/>
        <v>0</v>
      </c>
      <c r="W24" s="29">
        <f t="shared" si="0"/>
        <v>0</v>
      </c>
      <c r="X24" s="29">
        <f t="shared" si="0"/>
        <v>0</v>
      </c>
      <c r="Y24" s="29">
        <f t="shared" si="0"/>
        <v>0</v>
      </c>
      <c r="Z24" s="29">
        <f t="shared" si="0"/>
        <v>0</v>
      </c>
      <c r="AA24" s="31" t="e">
        <f t="shared" si="1"/>
        <v>#DIV/0!</v>
      </c>
      <c r="AB24" s="33"/>
    </row>
    <row r="25" spans="2:28" ht="15" customHeight="1">
      <c r="B25" s="21"/>
      <c r="C25" s="22"/>
      <c r="D25" s="28"/>
      <c r="E25" s="29"/>
      <c r="F25" s="29"/>
      <c r="G25" s="29"/>
      <c r="H25" s="29"/>
      <c r="I25" s="29"/>
      <c r="J25" s="29"/>
      <c r="K25" s="30"/>
      <c r="L25" s="28"/>
      <c r="M25" s="29"/>
      <c r="N25" s="29"/>
      <c r="O25" s="29"/>
      <c r="P25" s="29"/>
      <c r="Q25" s="29"/>
      <c r="R25" s="29"/>
      <c r="S25" s="30"/>
      <c r="T25" s="28">
        <f t="shared" si="0"/>
        <v>0</v>
      </c>
      <c r="U25" s="29">
        <f t="shared" si="0"/>
        <v>0</v>
      </c>
      <c r="V25" s="29">
        <f t="shared" si="0"/>
        <v>0</v>
      </c>
      <c r="W25" s="29">
        <f t="shared" si="0"/>
        <v>0</v>
      </c>
      <c r="X25" s="29">
        <f t="shared" si="0"/>
        <v>0</v>
      </c>
      <c r="Y25" s="29">
        <f t="shared" si="0"/>
        <v>0</v>
      </c>
      <c r="Z25" s="29">
        <f t="shared" si="0"/>
        <v>0</v>
      </c>
      <c r="AA25" s="31" t="e">
        <f t="shared" si="1"/>
        <v>#DIV/0!</v>
      </c>
      <c r="AB25" s="33"/>
    </row>
    <row r="26" spans="2:28" ht="15" customHeight="1">
      <c r="B26" s="21"/>
      <c r="C26" s="22"/>
      <c r="D26" s="28"/>
      <c r="E26" s="29"/>
      <c r="F26" s="29"/>
      <c r="G26" s="29"/>
      <c r="H26" s="29"/>
      <c r="I26" s="29"/>
      <c r="J26" s="29"/>
      <c r="K26" s="30"/>
      <c r="L26" s="28"/>
      <c r="M26" s="29"/>
      <c r="N26" s="29"/>
      <c r="O26" s="29"/>
      <c r="P26" s="29"/>
      <c r="Q26" s="29"/>
      <c r="R26" s="29"/>
      <c r="S26" s="30"/>
      <c r="T26" s="28">
        <f t="shared" si="0"/>
        <v>0</v>
      </c>
      <c r="U26" s="29">
        <f t="shared" si="0"/>
        <v>0</v>
      </c>
      <c r="V26" s="29">
        <f t="shared" si="0"/>
        <v>0</v>
      </c>
      <c r="W26" s="29">
        <f t="shared" si="0"/>
        <v>0</v>
      </c>
      <c r="X26" s="29">
        <f t="shared" si="0"/>
        <v>0</v>
      </c>
      <c r="Y26" s="29">
        <f t="shared" si="0"/>
        <v>0</v>
      </c>
      <c r="Z26" s="29">
        <f t="shared" si="0"/>
        <v>0</v>
      </c>
      <c r="AA26" s="31" t="e">
        <f t="shared" si="1"/>
        <v>#DIV/0!</v>
      </c>
      <c r="AB26" s="33"/>
    </row>
    <row r="27" spans="2:28" ht="15" customHeight="1">
      <c r="B27" s="21"/>
      <c r="C27" s="22"/>
      <c r="D27" s="28"/>
      <c r="E27" s="29"/>
      <c r="F27" s="29"/>
      <c r="G27" s="29"/>
      <c r="H27" s="29"/>
      <c r="I27" s="29"/>
      <c r="J27" s="29"/>
      <c r="K27" s="30"/>
      <c r="L27" s="28"/>
      <c r="M27" s="29"/>
      <c r="N27" s="29"/>
      <c r="O27" s="29"/>
      <c r="P27" s="29"/>
      <c r="Q27" s="29"/>
      <c r="R27" s="29"/>
      <c r="S27" s="30"/>
      <c r="T27" s="28">
        <f t="shared" si="0"/>
        <v>0</v>
      </c>
      <c r="U27" s="29">
        <f t="shared" si="0"/>
        <v>0</v>
      </c>
      <c r="V27" s="29">
        <f t="shared" si="0"/>
        <v>0</v>
      </c>
      <c r="W27" s="29">
        <f t="shared" si="0"/>
        <v>0</v>
      </c>
      <c r="X27" s="29">
        <f t="shared" si="0"/>
        <v>0</v>
      </c>
      <c r="Y27" s="29">
        <f t="shared" si="0"/>
        <v>0</v>
      </c>
      <c r="Z27" s="29">
        <f t="shared" si="0"/>
        <v>0</v>
      </c>
      <c r="AA27" s="31" t="e">
        <f t="shared" si="1"/>
        <v>#DIV/0!</v>
      </c>
      <c r="AB27" s="33"/>
    </row>
    <row r="28" spans="2:28" ht="15" customHeight="1">
      <c r="B28" s="21"/>
      <c r="C28" s="22"/>
      <c r="D28" s="28"/>
      <c r="E28" s="29"/>
      <c r="F28" s="29"/>
      <c r="G28" s="29"/>
      <c r="H28" s="29"/>
      <c r="I28" s="29"/>
      <c r="J28" s="29"/>
      <c r="K28" s="30"/>
      <c r="L28" s="28"/>
      <c r="M28" s="29"/>
      <c r="N28" s="29"/>
      <c r="O28" s="29"/>
      <c r="P28" s="29"/>
      <c r="Q28" s="29"/>
      <c r="R28" s="29"/>
      <c r="S28" s="30"/>
      <c r="T28" s="28">
        <f t="shared" si="0"/>
        <v>0</v>
      </c>
      <c r="U28" s="29">
        <f t="shared" si="0"/>
        <v>0</v>
      </c>
      <c r="V28" s="29">
        <f t="shared" si="0"/>
        <v>0</v>
      </c>
      <c r="W28" s="29">
        <f t="shared" si="0"/>
        <v>0</v>
      </c>
      <c r="X28" s="29">
        <f t="shared" si="0"/>
        <v>0</v>
      </c>
      <c r="Y28" s="29">
        <f t="shared" si="0"/>
        <v>0</v>
      </c>
      <c r="Z28" s="29">
        <f t="shared" si="0"/>
        <v>0</v>
      </c>
      <c r="AA28" s="31" t="e">
        <f t="shared" si="1"/>
        <v>#DIV/0!</v>
      </c>
      <c r="AB28" s="33"/>
    </row>
    <row r="29" spans="2:28" ht="15" customHeight="1">
      <c r="B29" s="21"/>
      <c r="C29" s="22"/>
      <c r="D29" s="28"/>
      <c r="E29" s="29"/>
      <c r="F29" s="29"/>
      <c r="G29" s="29"/>
      <c r="H29" s="29"/>
      <c r="I29" s="29"/>
      <c r="J29" s="29"/>
      <c r="K29" s="30"/>
      <c r="L29" s="28"/>
      <c r="M29" s="29"/>
      <c r="N29" s="29"/>
      <c r="O29" s="29"/>
      <c r="P29" s="29"/>
      <c r="Q29" s="29"/>
      <c r="R29" s="29"/>
      <c r="S29" s="30"/>
      <c r="T29" s="28">
        <f t="shared" si="0"/>
        <v>0</v>
      </c>
      <c r="U29" s="29">
        <f t="shared" si="0"/>
        <v>0</v>
      </c>
      <c r="V29" s="29">
        <f t="shared" si="0"/>
        <v>0</v>
      </c>
      <c r="W29" s="29">
        <f t="shared" si="0"/>
        <v>0</v>
      </c>
      <c r="X29" s="29">
        <f t="shared" si="0"/>
        <v>0</v>
      </c>
      <c r="Y29" s="29">
        <f t="shared" si="0"/>
        <v>0</v>
      </c>
      <c r="Z29" s="29">
        <f t="shared" si="0"/>
        <v>0</v>
      </c>
      <c r="AA29" s="31" t="e">
        <f t="shared" si="1"/>
        <v>#DIV/0!</v>
      </c>
      <c r="AB29" s="33"/>
    </row>
    <row r="30" spans="2:28" ht="15" customHeight="1">
      <c r="B30" s="21"/>
      <c r="C30" s="22"/>
      <c r="D30" s="28"/>
      <c r="E30" s="29"/>
      <c r="F30" s="29"/>
      <c r="G30" s="29"/>
      <c r="H30" s="29"/>
      <c r="I30" s="29"/>
      <c r="J30" s="29"/>
      <c r="K30" s="30"/>
      <c r="L30" s="28"/>
      <c r="M30" s="29"/>
      <c r="N30" s="29"/>
      <c r="O30" s="29"/>
      <c r="P30" s="29"/>
      <c r="Q30" s="29"/>
      <c r="R30" s="29"/>
      <c r="S30" s="30"/>
      <c r="T30" s="28">
        <f t="shared" si="0"/>
        <v>0</v>
      </c>
      <c r="U30" s="29">
        <f t="shared" si="0"/>
        <v>0</v>
      </c>
      <c r="V30" s="29">
        <f t="shared" si="0"/>
        <v>0</v>
      </c>
      <c r="W30" s="29">
        <f t="shared" si="0"/>
        <v>0</v>
      </c>
      <c r="X30" s="29">
        <f t="shared" si="0"/>
        <v>0</v>
      </c>
      <c r="Y30" s="29">
        <f t="shared" si="0"/>
        <v>0</v>
      </c>
      <c r="Z30" s="29">
        <f t="shared" si="0"/>
        <v>0</v>
      </c>
      <c r="AA30" s="31" t="e">
        <f t="shared" si="1"/>
        <v>#DIV/0!</v>
      </c>
      <c r="AB30" s="33"/>
    </row>
    <row r="31" spans="2:28" ht="15" customHeight="1">
      <c r="B31" s="21"/>
      <c r="C31" s="22"/>
      <c r="D31" s="28"/>
      <c r="E31" s="29"/>
      <c r="F31" s="29"/>
      <c r="G31" s="29"/>
      <c r="H31" s="29"/>
      <c r="I31" s="29"/>
      <c r="J31" s="29"/>
      <c r="K31" s="30"/>
      <c r="L31" s="28"/>
      <c r="M31" s="29"/>
      <c r="N31" s="29"/>
      <c r="O31" s="29"/>
      <c r="P31" s="29"/>
      <c r="Q31" s="29"/>
      <c r="R31" s="29"/>
      <c r="S31" s="30"/>
      <c r="T31" s="28">
        <f t="shared" si="0"/>
        <v>0</v>
      </c>
      <c r="U31" s="29">
        <f t="shared" si="0"/>
        <v>0</v>
      </c>
      <c r="V31" s="29">
        <f t="shared" si="0"/>
        <v>0</v>
      </c>
      <c r="W31" s="29">
        <f t="shared" si="0"/>
        <v>0</v>
      </c>
      <c r="X31" s="29">
        <f t="shared" si="0"/>
        <v>0</v>
      </c>
      <c r="Y31" s="29">
        <f t="shared" si="0"/>
        <v>0</v>
      </c>
      <c r="Z31" s="29">
        <f t="shared" si="0"/>
        <v>0</v>
      </c>
      <c r="AA31" s="31" t="e">
        <f t="shared" si="1"/>
        <v>#DIV/0!</v>
      </c>
      <c r="AB31" s="33"/>
    </row>
    <row r="32" spans="2:28" ht="15" customHeight="1">
      <c r="B32" s="21"/>
      <c r="C32" s="22"/>
      <c r="D32" s="28"/>
      <c r="E32" s="29"/>
      <c r="F32" s="29"/>
      <c r="G32" s="29"/>
      <c r="H32" s="29"/>
      <c r="I32" s="29"/>
      <c r="J32" s="29"/>
      <c r="K32" s="30"/>
      <c r="L32" s="28"/>
      <c r="M32" s="29"/>
      <c r="N32" s="29"/>
      <c r="O32" s="29"/>
      <c r="P32" s="29"/>
      <c r="Q32" s="29"/>
      <c r="R32" s="29"/>
      <c r="S32" s="30"/>
      <c r="T32" s="28">
        <f t="shared" si="0"/>
        <v>0</v>
      </c>
      <c r="U32" s="29">
        <f t="shared" si="0"/>
        <v>0</v>
      </c>
      <c r="V32" s="29">
        <f t="shared" si="0"/>
        <v>0</v>
      </c>
      <c r="W32" s="29">
        <f t="shared" si="0"/>
        <v>0</v>
      </c>
      <c r="X32" s="29">
        <f t="shared" si="0"/>
        <v>0</v>
      </c>
      <c r="Y32" s="29">
        <f t="shared" si="0"/>
        <v>0</v>
      </c>
      <c r="Z32" s="29">
        <f t="shared" si="0"/>
        <v>0</v>
      </c>
      <c r="AA32" s="31" t="e">
        <f t="shared" si="1"/>
        <v>#DIV/0!</v>
      </c>
      <c r="AB32" s="33"/>
    </row>
    <row r="33" spans="2:28" ht="15" customHeight="1">
      <c r="B33" s="21"/>
      <c r="C33" s="22"/>
      <c r="D33" s="28"/>
      <c r="E33" s="29"/>
      <c r="F33" s="29"/>
      <c r="G33" s="29"/>
      <c r="H33" s="29"/>
      <c r="I33" s="29"/>
      <c r="J33" s="29"/>
      <c r="K33" s="30"/>
      <c r="L33" s="28"/>
      <c r="M33" s="29"/>
      <c r="N33" s="29"/>
      <c r="O33" s="29"/>
      <c r="P33" s="29"/>
      <c r="Q33" s="29"/>
      <c r="R33" s="29"/>
      <c r="S33" s="30"/>
      <c r="T33" s="28">
        <f t="shared" si="0"/>
        <v>0</v>
      </c>
      <c r="U33" s="29">
        <f t="shared" si="0"/>
        <v>0</v>
      </c>
      <c r="V33" s="29">
        <f t="shared" si="0"/>
        <v>0</v>
      </c>
      <c r="W33" s="29">
        <f t="shared" si="0"/>
        <v>0</v>
      </c>
      <c r="X33" s="29">
        <f t="shared" si="0"/>
        <v>0</v>
      </c>
      <c r="Y33" s="29">
        <f t="shared" si="0"/>
        <v>0</v>
      </c>
      <c r="Z33" s="29">
        <f t="shared" si="0"/>
        <v>0</v>
      </c>
      <c r="AA33" s="31" t="e">
        <f t="shared" si="1"/>
        <v>#DIV/0!</v>
      </c>
      <c r="AB33" s="33"/>
    </row>
    <row r="34" spans="2:28" ht="15" customHeight="1">
      <c r="B34" s="21"/>
      <c r="C34" s="22"/>
      <c r="D34" s="28"/>
      <c r="E34" s="29"/>
      <c r="F34" s="29"/>
      <c r="G34" s="29"/>
      <c r="H34" s="29"/>
      <c r="I34" s="29"/>
      <c r="J34" s="29"/>
      <c r="K34" s="30"/>
      <c r="L34" s="28"/>
      <c r="M34" s="29"/>
      <c r="N34" s="29"/>
      <c r="O34" s="29"/>
      <c r="P34" s="29"/>
      <c r="Q34" s="29"/>
      <c r="R34" s="29"/>
      <c r="S34" s="30"/>
      <c r="T34" s="28">
        <f t="shared" si="0"/>
        <v>0</v>
      </c>
      <c r="U34" s="29">
        <f t="shared" si="0"/>
        <v>0</v>
      </c>
      <c r="V34" s="29">
        <f t="shared" si="0"/>
        <v>0</v>
      </c>
      <c r="W34" s="29">
        <f t="shared" si="0"/>
        <v>0</v>
      </c>
      <c r="X34" s="29">
        <f t="shared" si="0"/>
        <v>0</v>
      </c>
      <c r="Y34" s="29">
        <f t="shared" si="0"/>
        <v>0</v>
      </c>
      <c r="Z34" s="29">
        <f t="shared" si="0"/>
        <v>0</v>
      </c>
      <c r="AA34" s="31" t="e">
        <f t="shared" si="1"/>
        <v>#DIV/0!</v>
      </c>
      <c r="AB34" s="33"/>
    </row>
    <row r="35" spans="2:28" ht="15" customHeight="1" thickBot="1">
      <c r="B35" s="21"/>
      <c r="C35" s="22"/>
      <c r="D35" s="34"/>
      <c r="E35" s="35"/>
      <c r="F35" s="35"/>
      <c r="G35" s="35"/>
      <c r="H35" s="35"/>
      <c r="I35" s="35"/>
      <c r="J35" s="35"/>
      <c r="K35" s="36"/>
      <c r="L35" s="34"/>
      <c r="M35" s="35"/>
      <c r="N35" s="35"/>
      <c r="O35" s="35"/>
      <c r="P35" s="35"/>
      <c r="Q35" s="35"/>
      <c r="R35" s="35"/>
      <c r="S35" s="36"/>
      <c r="T35" s="34">
        <f t="shared" si="0"/>
        <v>0</v>
      </c>
      <c r="U35" s="35">
        <f t="shared" si="0"/>
        <v>0</v>
      </c>
      <c r="V35" s="35">
        <f t="shared" si="0"/>
        <v>0</v>
      </c>
      <c r="W35" s="35">
        <f t="shared" si="0"/>
        <v>0</v>
      </c>
      <c r="X35" s="35">
        <f t="shared" si="0"/>
        <v>0</v>
      </c>
      <c r="Y35" s="35">
        <f t="shared" si="0"/>
        <v>0</v>
      </c>
      <c r="Z35" s="35">
        <f t="shared" si="0"/>
        <v>0</v>
      </c>
      <c r="AA35" s="37" t="e">
        <f t="shared" si="1"/>
        <v>#DIV/0!</v>
      </c>
      <c r="AB35" s="38"/>
    </row>
    <row r="36" spans="2:28" ht="33" customHeight="1">
      <c r="B36" s="220" t="s">
        <v>42</v>
      </c>
      <c r="C36" s="221"/>
      <c r="D36" s="222"/>
      <c r="E36" s="223"/>
      <c r="F36" s="223"/>
      <c r="G36" s="223"/>
      <c r="H36" s="223"/>
      <c r="I36" s="224"/>
      <c r="J36" s="225" t="s">
        <v>43</v>
      </c>
      <c r="K36" s="225"/>
      <c r="L36" s="225"/>
      <c r="M36" s="225"/>
      <c r="N36" s="225"/>
      <c r="O36" s="225"/>
      <c r="P36" s="225"/>
      <c r="Q36" s="164" t="s">
        <v>44</v>
      </c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5"/>
    </row>
    <row r="37" spans="2:28" ht="33" customHeight="1">
      <c r="B37" s="226" t="s">
        <v>45</v>
      </c>
      <c r="C37" s="227"/>
      <c r="D37" s="169" t="s">
        <v>46</v>
      </c>
      <c r="E37" s="170"/>
      <c r="F37" s="170"/>
      <c r="G37" s="170"/>
      <c r="H37" s="170"/>
      <c r="I37" s="171"/>
      <c r="J37" s="228" t="s">
        <v>47</v>
      </c>
      <c r="K37" s="229"/>
      <c r="L37" s="229"/>
      <c r="M37" s="229"/>
      <c r="N37" s="229"/>
      <c r="O37" s="229"/>
      <c r="P37" s="230"/>
      <c r="Q37" s="234" t="s">
        <v>48</v>
      </c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</row>
    <row r="38" spans="2:28" ht="33" customHeight="1" thickBot="1">
      <c r="B38" s="236" t="s">
        <v>49</v>
      </c>
      <c r="C38" s="237"/>
      <c r="D38" s="238" t="s">
        <v>50</v>
      </c>
      <c r="E38" s="185"/>
      <c r="F38" s="185"/>
      <c r="G38" s="185"/>
      <c r="H38" s="185"/>
      <c r="I38" s="186"/>
      <c r="J38" s="231"/>
      <c r="K38" s="232"/>
      <c r="L38" s="232"/>
      <c r="M38" s="232"/>
      <c r="N38" s="232"/>
      <c r="O38" s="232"/>
      <c r="P38" s="233"/>
      <c r="Q38" s="235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</row>
    <row r="39" spans="2:28" ht="15" customHeight="1"/>
    <row r="40" spans="2:28" ht="15" customHeight="1"/>
    <row r="41" spans="2:28" ht="15" customHeight="1"/>
    <row r="42" spans="2:28" ht="15" customHeight="1"/>
    <row r="43" spans="2:28" ht="15" customHeight="1"/>
    <row r="44" spans="2:28" ht="15" customHeight="1"/>
    <row r="45" spans="2:28" ht="15" customHeight="1"/>
    <row r="46" spans="2:28" ht="15" customHeight="1"/>
    <row r="47" spans="2:28" ht="15" customHeight="1"/>
    <row r="48" spans="2:28" ht="15" customHeight="1"/>
    <row r="49" customFormat="1" ht="15" customHeight="1"/>
    <row r="50" customFormat="1" ht="15" customHeight="1"/>
    <row r="51" customFormat="1" ht="15" customHeight="1"/>
    <row r="52" customFormat="1" ht="15" customHeight="1"/>
    <row r="53" customFormat="1" ht="15" customHeight="1"/>
    <row r="54" customFormat="1" ht="15" customHeight="1"/>
    <row r="55" customFormat="1" ht="15" customHeight="1"/>
    <row r="56" customFormat="1" ht="15" customHeight="1"/>
    <row r="57" customFormat="1" ht="15" customHeight="1"/>
    <row r="58" customFormat="1" ht="15" customHeight="1"/>
    <row r="59" customFormat="1" ht="15" customHeight="1"/>
    <row r="60" customFormat="1" ht="15" customHeight="1"/>
    <row r="61" customFormat="1" ht="15" customHeight="1"/>
    <row r="62" customFormat="1" ht="15" customHeight="1"/>
    <row r="63" customFormat="1" ht="15" customHeight="1"/>
    <row r="64" customFormat="1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mergeCells count="35">
    <mergeCell ref="B36:C36"/>
    <mergeCell ref="D36:I36"/>
    <mergeCell ref="J36:P36"/>
    <mergeCell ref="Q36:AB36"/>
    <mergeCell ref="B37:C37"/>
    <mergeCell ref="D37:I37"/>
    <mergeCell ref="J37:P38"/>
    <mergeCell ref="Q37:AB38"/>
    <mergeCell ref="B38:C38"/>
    <mergeCell ref="D38:I38"/>
    <mergeCell ref="AB10:AB11"/>
    <mergeCell ref="B7:C7"/>
    <mergeCell ref="D7:J7"/>
    <mergeCell ref="L7:R7"/>
    <mergeCell ref="T7:X7"/>
    <mergeCell ref="Y7:Z7"/>
    <mergeCell ref="B8:C8"/>
    <mergeCell ref="D8:J8"/>
    <mergeCell ref="L8:R8"/>
    <mergeCell ref="T8:X8"/>
    <mergeCell ref="Y8:Z8"/>
    <mergeCell ref="B10:B11"/>
    <mergeCell ref="C10:C11"/>
    <mergeCell ref="D10:K10"/>
    <mergeCell ref="L10:S10"/>
    <mergeCell ref="T10:AA10"/>
    <mergeCell ref="B1:C4"/>
    <mergeCell ref="D1:Z2"/>
    <mergeCell ref="AB1:AB4"/>
    <mergeCell ref="D3:Z4"/>
    <mergeCell ref="B6:C6"/>
    <mergeCell ref="D6:J6"/>
    <mergeCell ref="L6:R6"/>
    <mergeCell ref="T6:X6"/>
    <mergeCell ref="Y6:Z6"/>
  </mergeCells>
  <conditionalFormatting sqref="T12:T35">
    <cfRule type="cellIs" dxfId="92" priority="15" operator="greaterThan">
      <formula>0.51</formula>
    </cfRule>
    <cfRule type="cellIs" dxfId="91" priority="16" operator="lessThan">
      <formula>0.5</formula>
    </cfRule>
  </conditionalFormatting>
  <conditionalFormatting sqref="U12:U35">
    <cfRule type="cellIs" dxfId="90" priority="13" operator="greaterThan">
      <formula>5.1</formula>
    </cfRule>
    <cfRule type="cellIs" dxfId="89" priority="14" operator="lessThan">
      <formula>5</formula>
    </cfRule>
  </conditionalFormatting>
  <conditionalFormatting sqref="V12:V35">
    <cfRule type="cellIs" dxfId="88" priority="11" operator="greaterThan">
      <formula>1.1</formula>
    </cfRule>
    <cfRule type="cellIs" dxfId="87" priority="12" operator="lessThan">
      <formula>1</formula>
    </cfRule>
  </conditionalFormatting>
  <conditionalFormatting sqref="W12:W35">
    <cfRule type="cellIs" dxfId="86" priority="9" operator="greaterThan">
      <formula>22.6</formula>
    </cfRule>
    <cfRule type="cellIs" dxfId="85" priority="10" operator="lessThan">
      <formula>22.5</formula>
    </cfRule>
  </conditionalFormatting>
  <conditionalFormatting sqref="X12:X35">
    <cfRule type="cellIs" dxfId="84" priority="7" operator="greaterThan">
      <formula>1.1</formula>
    </cfRule>
    <cfRule type="cellIs" dxfId="83" priority="8" operator="lessThan">
      <formula>1</formula>
    </cfRule>
  </conditionalFormatting>
  <conditionalFormatting sqref="Y12:Y35">
    <cfRule type="cellIs" dxfId="82" priority="5" operator="greaterThan">
      <formula>90.1</formula>
    </cfRule>
    <cfRule type="cellIs" dxfId="81" priority="6" operator="lessThan">
      <formula>90</formula>
    </cfRule>
  </conditionalFormatting>
  <conditionalFormatting sqref="Z12:Z35">
    <cfRule type="cellIs" dxfId="80" priority="3" operator="greaterThan">
      <formula>0.9</formula>
    </cfRule>
    <cfRule type="cellIs" dxfId="79" priority="4" operator="lessThan">
      <formula>0.8</formula>
    </cfRule>
  </conditionalFormatting>
  <conditionalFormatting sqref="AA12:AA35">
    <cfRule type="cellIs" dxfId="78" priority="1" operator="lessThan">
      <formula>0.05</formula>
    </cfRule>
    <cfRule type="cellIs" dxfId="77" priority="2" operator="greaterThan">
      <formula>0.05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23F7-F699-44BF-AD26-5EE355BE585C}">
  <dimension ref="B1:AB68"/>
  <sheetViews>
    <sheetView topLeftCell="P1" zoomScale="90" zoomScaleNormal="90" workbookViewId="0">
      <selection activeCell="H14" sqref="H14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27" width="8.7109375" customWidth="1"/>
    <col min="28" max="28" width="20.85546875" bestFit="1" customWidth="1"/>
  </cols>
  <sheetData>
    <row r="1" spans="2:28" ht="18" customHeight="1">
      <c r="B1" s="105"/>
      <c r="C1" s="187"/>
      <c r="D1" s="190" t="s">
        <v>6</v>
      </c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2"/>
      <c r="AA1" s="2"/>
      <c r="AB1" s="193" t="s">
        <v>7</v>
      </c>
    </row>
    <row r="2" spans="2:28" ht="18" customHeight="1">
      <c r="B2" s="107"/>
      <c r="C2" s="188"/>
      <c r="D2" s="190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2"/>
      <c r="AA2" s="2"/>
      <c r="AB2" s="194"/>
    </row>
    <row r="3" spans="2:28" ht="18" customHeight="1">
      <c r="B3" s="107"/>
      <c r="C3" s="188"/>
      <c r="D3" s="190" t="s">
        <v>8</v>
      </c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2"/>
      <c r="AA3" s="2"/>
      <c r="AB3" s="194"/>
    </row>
    <row r="4" spans="2:28" ht="18" customHeight="1" thickBot="1">
      <c r="B4" s="109"/>
      <c r="C4" s="189"/>
      <c r="D4" s="196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8"/>
      <c r="AA4" s="3"/>
      <c r="AB4" s="195"/>
    </row>
    <row r="5" spans="2:28" ht="15" customHeigh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2:28" ht="33.75" customHeight="1">
      <c r="B6" s="199" t="s">
        <v>9</v>
      </c>
      <c r="C6" s="199"/>
      <c r="D6" s="130" t="s">
        <v>73</v>
      </c>
      <c r="E6" s="131"/>
      <c r="F6" s="131"/>
      <c r="G6" s="131"/>
      <c r="H6" s="131"/>
      <c r="I6" s="131"/>
      <c r="J6" s="131"/>
      <c r="K6" s="132"/>
      <c r="L6" s="239" t="s">
        <v>10</v>
      </c>
      <c r="M6" s="240"/>
      <c r="N6" s="240"/>
      <c r="O6" s="240"/>
      <c r="P6" s="240"/>
      <c r="Q6" s="240"/>
      <c r="R6" s="240"/>
      <c r="S6" s="241"/>
      <c r="T6" s="201" t="s">
        <v>11</v>
      </c>
      <c r="U6" s="201"/>
      <c r="V6" s="201"/>
      <c r="W6" s="201"/>
      <c r="X6" s="201"/>
      <c r="Y6" s="201" t="s">
        <v>12</v>
      </c>
      <c r="Z6" s="201"/>
      <c r="AA6" s="242" t="s">
        <v>13</v>
      </c>
      <c r="AB6" s="243"/>
    </row>
    <row r="7" spans="2:28" ht="33.75" customHeight="1">
      <c r="B7" s="199" t="s">
        <v>14</v>
      </c>
      <c r="C7" s="199"/>
      <c r="D7" s="130" t="s">
        <v>74</v>
      </c>
      <c r="E7" s="131"/>
      <c r="F7" s="131"/>
      <c r="G7" s="131"/>
      <c r="H7" s="131"/>
      <c r="I7" s="131"/>
      <c r="J7" s="131"/>
      <c r="K7" s="132"/>
      <c r="L7" s="139" t="s">
        <v>15</v>
      </c>
      <c r="M7" s="140"/>
      <c r="N7" s="140"/>
      <c r="O7" s="140"/>
      <c r="P7" s="140"/>
      <c r="Q7" s="140"/>
      <c r="R7" s="140"/>
      <c r="S7" s="141"/>
      <c r="T7" s="139" t="s">
        <v>76</v>
      </c>
      <c r="U7" s="140"/>
      <c r="V7" s="140"/>
      <c r="W7" s="140"/>
      <c r="X7" s="141"/>
      <c r="Y7" s="142">
        <v>6262</v>
      </c>
      <c r="Z7" s="143"/>
      <c r="AA7" s="103" t="s">
        <v>79</v>
      </c>
      <c r="AB7" s="104"/>
    </row>
    <row r="8" spans="2:28" ht="33.75" customHeight="1">
      <c r="B8" s="199" t="s">
        <v>16</v>
      </c>
      <c r="C8" s="199"/>
      <c r="D8" s="130" t="s">
        <v>75</v>
      </c>
      <c r="E8" s="131"/>
      <c r="F8" s="131"/>
      <c r="G8" s="131"/>
      <c r="H8" s="131"/>
      <c r="I8" s="131"/>
      <c r="J8" s="131"/>
      <c r="K8" s="132"/>
      <c r="L8" s="139" t="s">
        <v>77</v>
      </c>
      <c r="M8" s="140"/>
      <c r="N8" s="140"/>
      <c r="O8" s="140"/>
      <c r="P8" s="140"/>
      <c r="Q8" s="140"/>
      <c r="R8" s="140"/>
      <c r="S8" s="141"/>
      <c r="T8" s="139" t="s">
        <v>76</v>
      </c>
      <c r="U8" s="140"/>
      <c r="V8" s="140"/>
      <c r="W8" s="140"/>
      <c r="X8" s="141"/>
      <c r="Y8" s="142">
        <v>6327</v>
      </c>
      <c r="Z8" s="143"/>
      <c r="AA8" s="103" t="s">
        <v>5</v>
      </c>
      <c r="AB8" s="104"/>
    </row>
    <row r="9" spans="2:28" ht="22.5" customHeight="1" thickBot="1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2:28" ht="22.5" customHeight="1" thickBot="1">
      <c r="B10" s="207" t="s">
        <v>18</v>
      </c>
      <c r="C10" s="209" t="s">
        <v>19</v>
      </c>
      <c r="D10" s="211" t="s">
        <v>20</v>
      </c>
      <c r="E10" s="212"/>
      <c r="F10" s="212"/>
      <c r="G10" s="212"/>
      <c r="H10" s="212"/>
      <c r="I10" s="212"/>
      <c r="J10" s="212"/>
      <c r="K10" s="213"/>
      <c r="L10" s="214" t="s">
        <v>21</v>
      </c>
      <c r="M10" s="215"/>
      <c r="N10" s="215"/>
      <c r="O10" s="215"/>
      <c r="P10" s="215"/>
      <c r="Q10" s="215"/>
      <c r="R10" s="215"/>
      <c r="S10" s="216"/>
      <c r="T10" s="217" t="s">
        <v>22</v>
      </c>
      <c r="U10" s="218"/>
      <c r="V10" s="218"/>
      <c r="W10" s="218"/>
      <c r="X10" s="218"/>
      <c r="Y10" s="218"/>
      <c r="Z10" s="218"/>
      <c r="AA10" s="219"/>
      <c r="AB10" s="202" t="s">
        <v>23</v>
      </c>
    </row>
    <row r="11" spans="2:28" ht="48.75" customHeight="1" thickBot="1">
      <c r="B11" s="208"/>
      <c r="C11" s="210"/>
      <c r="D11" s="12" t="s">
        <v>24</v>
      </c>
      <c r="E11" s="13" t="s">
        <v>25</v>
      </c>
      <c r="F11" s="13" t="s">
        <v>26</v>
      </c>
      <c r="G11" s="13" t="s">
        <v>27</v>
      </c>
      <c r="H11" s="13" t="s">
        <v>28</v>
      </c>
      <c r="I11" s="13" t="s">
        <v>29</v>
      </c>
      <c r="J11" s="13" t="s">
        <v>30</v>
      </c>
      <c r="K11" s="14" t="s">
        <v>31</v>
      </c>
      <c r="L11" s="15" t="s">
        <v>32</v>
      </c>
      <c r="M11" s="16" t="s">
        <v>25</v>
      </c>
      <c r="N11" s="16" t="s">
        <v>26</v>
      </c>
      <c r="O11" s="16" t="s">
        <v>27</v>
      </c>
      <c r="P11" s="16" t="s">
        <v>28</v>
      </c>
      <c r="Q11" s="16" t="s">
        <v>29</v>
      </c>
      <c r="R11" s="16" t="s">
        <v>33</v>
      </c>
      <c r="S11" s="17" t="s">
        <v>31</v>
      </c>
      <c r="T11" s="18" t="s">
        <v>34</v>
      </c>
      <c r="U11" s="19" t="s">
        <v>35</v>
      </c>
      <c r="V11" s="19" t="s">
        <v>36</v>
      </c>
      <c r="W11" s="19" t="s">
        <v>37</v>
      </c>
      <c r="X11" s="19" t="s">
        <v>38</v>
      </c>
      <c r="Y11" s="19" t="s">
        <v>39</v>
      </c>
      <c r="Z11" s="19" t="s">
        <v>40</v>
      </c>
      <c r="AA11" s="20" t="s">
        <v>41</v>
      </c>
      <c r="AB11" s="203"/>
    </row>
    <row r="12" spans="2:28" ht="15" customHeight="1" thickBot="1">
      <c r="B12" s="79">
        <v>45324.041666666664</v>
      </c>
      <c r="C12" s="80">
        <v>0</v>
      </c>
      <c r="D12" s="82">
        <v>15.426666666666668</v>
      </c>
      <c r="E12" s="58">
        <v>86.06</v>
      </c>
      <c r="F12" s="58">
        <v>565.72166666666669</v>
      </c>
      <c r="G12" s="58">
        <v>337.5</v>
      </c>
      <c r="H12" s="58">
        <v>0.98499999999999999</v>
      </c>
      <c r="I12" s="58">
        <v>0</v>
      </c>
      <c r="J12" s="58"/>
      <c r="K12" s="83">
        <v>0</v>
      </c>
      <c r="L12" s="82">
        <v>15.733333333333333</v>
      </c>
      <c r="M12" s="58">
        <v>83.533333333333331</v>
      </c>
      <c r="N12" s="58">
        <v>565.41666666666663</v>
      </c>
      <c r="O12" s="58">
        <v>337.5</v>
      </c>
      <c r="P12" s="58">
        <v>0.48333333333333334</v>
      </c>
      <c r="Q12" s="58">
        <v>0</v>
      </c>
      <c r="R12" s="58"/>
      <c r="S12" s="83">
        <v>0</v>
      </c>
      <c r="T12" s="82">
        <f t="shared" ref="T12:Z35" si="0">+ABS(L12-D12)</f>
        <v>0.30666666666666487</v>
      </c>
      <c r="U12" s="58">
        <f t="shared" si="0"/>
        <v>2.5266666666666708</v>
      </c>
      <c r="V12" s="58">
        <f t="shared" si="0"/>
        <v>0.30500000000006366</v>
      </c>
      <c r="W12" s="58">
        <f t="shared" si="0"/>
        <v>0</v>
      </c>
      <c r="X12" s="58">
        <f t="shared" si="0"/>
        <v>0.50166666666666671</v>
      </c>
      <c r="Y12" s="58">
        <f t="shared" si="0"/>
        <v>0</v>
      </c>
      <c r="Z12" s="58">
        <f t="shared" si="0"/>
        <v>0</v>
      </c>
      <c r="AA12" s="84">
        <f>IF(AND(K12=0, S12=0), 0, IF(K12=0, 1, ABS((S12-K12)/K12)))</f>
        <v>0</v>
      </c>
      <c r="AB12" s="27" t="str">
        <f>+IF(AND(T12&lt;=0.5,U12&lt;=5,V12&lt;=1,W12&lt;=22.5,X12&lt;=1,Y12&lt;=90,Z12&lt;=0.8,AA12&lt;=5%),"Cumple","No cumple")</f>
        <v>Cumple</v>
      </c>
    </row>
    <row r="13" spans="2:28" ht="15" customHeight="1" thickBot="1">
      <c r="B13" s="79">
        <v>45324</v>
      </c>
      <c r="C13" s="80">
        <v>4.1666666666666664E-2</v>
      </c>
      <c r="D13" s="85">
        <v>15.046666666666667</v>
      </c>
      <c r="E13" s="61">
        <v>86.993333333333325</v>
      </c>
      <c r="F13" s="61">
        <v>564.97500000000002</v>
      </c>
      <c r="G13" s="61">
        <v>337.5</v>
      </c>
      <c r="H13" s="61">
        <v>2.1683333333333334</v>
      </c>
      <c r="I13" s="61">
        <v>0</v>
      </c>
      <c r="J13" s="61"/>
      <c r="K13" s="86">
        <v>0.4</v>
      </c>
      <c r="L13" s="85">
        <v>15.333333333333334</v>
      </c>
      <c r="M13" s="61">
        <v>84.449999999999989</v>
      </c>
      <c r="N13" s="61">
        <v>564.81666666666661</v>
      </c>
      <c r="O13" s="61">
        <v>337.5</v>
      </c>
      <c r="P13" s="61">
        <v>1.4999999999999998</v>
      </c>
      <c r="Q13" s="61">
        <v>0</v>
      </c>
      <c r="R13" s="61"/>
      <c r="S13" s="86">
        <v>0.4</v>
      </c>
      <c r="T13" s="85">
        <f t="shared" si="0"/>
        <v>0.28666666666666707</v>
      </c>
      <c r="U13" s="61">
        <f t="shared" si="0"/>
        <v>2.5433333333333366</v>
      </c>
      <c r="V13" s="61">
        <f t="shared" si="0"/>
        <v>0.1583333333334167</v>
      </c>
      <c r="W13" s="61">
        <f t="shared" si="0"/>
        <v>0</v>
      </c>
      <c r="X13" s="61">
        <f t="shared" si="0"/>
        <v>0.66833333333333367</v>
      </c>
      <c r="Y13" s="61">
        <f t="shared" si="0"/>
        <v>0</v>
      </c>
      <c r="Z13" s="61">
        <f t="shared" si="0"/>
        <v>0</v>
      </c>
      <c r="AA13" s="84">
        <f t="shared" ref="AA13:AA35" si="1">IF(AND(K13=0, S13=0), 0, IF(K13=0, 1, ABS((S13-K13)/K13)))</f>
        <v>0</v>
      </c>
      <c r="AB13" s="27" t="str">
        <f t="shared" ref="AB13:AB35" si="2">+IF(AND(T13&lt;=0.5,U13&lt;=5,V13&lt;=1,W13&lt;=22.5,X13&lt;=1,Y13&lt;=90,Z13&lt;=0.8,AA13&lt;=5%),"Cumple","No cumple")</f>
        <v>Cumple</v>
      </c>
    </row>
    <row r="14" spans="2:28" ht="15" customHeight="1" thickBot="1">
      <c r="B14" s="79">
        <v>45324</v>
      </c>
      <c r="C14" s="80">
        <v>45690.083333333336</v>
      </c>
      <c r="D14" s="85">
        <v>14.65</v>
      </c>
      <c r="E14" s="61">
        <v>88.251666666666665</v>
      </c>
      <c r="F14" s="61">
        <v>564.66999999999996</v>
      </c>
      <c r="G14" s="61">
        <v>337.5</v>
      </c>
      <c r="H14" s="61">
        <v>1.8483333333333334</v>
      </c>
      <c r="I14" s="61">
        <v>0</v>
      </c>
      <c r="J14" s="61"/>
      <c r="K14" s="86">
        <v>0</v>
      </c>
      <c r="L14" s="85">
        <v>14.950000000000001</v>
      </c>
      <c r="M14" s="61">
        <v>85.683333333333323</v>
      </c>
      <c r="N14" s="61">
        <v>564.51666666666677</v>
      </c>
      <c r="O14" s="61">
        <v>337.5</v>
      </c>
      <c r="P14" s="61">
        <v>1.1833333333333333</v>
      </c>
      <c r="Q14" s="61">
        <v>0</v>
      </c>
      <c r="R14" s="61"/>
      <c r="S14" s="86">
        <v>0</v>
      </c>
      <c r="T14" s="85">
        <f t="shared" si="0"/>
        <v>0.30000000000000071</v>
      </c>
      <c r="U14" s="61">
        <f t="shared" si="0"/>
        <v>2.5683333333333422</v>
      </c>
      <c r="V14" s="61">
        <f t="shared" si="0"/>
        <v>0.15333333333319388</v>
      </c>
      <c r="W14" s="61">
        <f t="shared" si="0"/>
        <v>0</v>
      </c>
      <c r="X14" s="61">
        <f t="shared" si="0"/>
        <v>0.66500000000000004</v>
      </c>
      <c r="Y14" s="61">
        <f t="shared" si="0"/>
        <v>0</v>
      </c>
      <c r="Z14" s="61">
        <f t="shared" si="0"/>
        <v>0</v>
      </c>
      <c r="AA14" s="84">
        <f>IF(AND(K14=0, S14=0), 0, IF(K14=0, 1, ABS((S14-K14)/K14)))</f>
        <v>0</v>
      </c>
      <c r="AB14" s="27" t="str">
        <f t="shared" si="2"/>
        <v>Cumple</v>
      </c>
    </row>
    <row r="15" spans="2:28" ht="15" customHeight="1" thickBot="1">
      <c r="B15" s="79">
        <v>45324</v>
      </c>
      <c r="C15" s="80">
        <v>45690.125</v>
      </c>
      <c r="D15" s="85">
        <v>14.585000000000001</v>
      </c>
      <c r="E15" s="61">
        <v>88.311666666666653</v>
      </c>
      <c r="F15" s="61">
        <v>564.88499999999999</v>
      </c>
      <c r="G15" s="61">
        <v>337.5</v>
      </c>
      <c r="H15" s="61">
        <v>0.68500000000000005</v>
      </c>
      <c r="I15" s="61">
        <v>0</v>
      </c>
      <c r="J15" s="61"/>
      <c r="K15" s="86">
        <v>0.4</v>
      </c>
      <c r="L15" s="85">
        <v>14.866666666666667</v>
      </c>
      <c r="M15" s="61">
        <v>85.733333333333334</v>
      </c>
      <c r="N15" s="61">
        <v>564.2166666666667</v>
      </c>
      <c r="O15" s="61">
        <v>337.5</v>
      </c>
      <c r="P15" s="61">
        <v>0.35000000000000003</v>
      </c>
      <c r="Q15" s="61">
        <v>0</v>
      </c>
      <c r="R15" s="61"/>
      <c r="S15" s="86">
        <v>0.4</v>
      </c>
      <c r="T15" s="85">
        <f t="shared" si="0"/>
        <v>0.28166666666666629</v>
      </c>
      <c r="U15" s="61">
        <f t="shared" si="0"/>
        <v>2.5783333333333189</v>
      </c>
      <c r="V15" s="61">
        <f t="shared" si="0"/>
        <v>0.66833333333329392</v>
      </c>
      <c r="W15" s="61">
        <f t="shared" si="0"/>
        <v>0</v>
      </c>
      <c r="X15" s="61">
        <f t="shared" si="0"/>
        <v>0.33500000000000002</v>
      </c>
      <c r="Y15" s="61">
        <f t="shared" si="0"/>
        <v>0</v>
      </c>
      <c r="Z15" s="61">
        <f t="shared" si="0"/>
        <v>0</v>
      </c>
      <c r="AA15" s="84">
        <f t="shared" si="1"/>
        <v>0</v>
      </c>
      <c r="AB15" s="27" t="str">
        <f t="shared" si="2"/>
        <v>Cumple</v>
      </c>
    </row>
    <row r="16" spans="2:28" ht="15" customHeight="1" thickBot="1">
      <c r="B16" s="79">
        <v>45324</v>
      </c>
      <c r="C16" s="80">
        <v>45690.166666666664</v>
      </c>
      <c r="D16" s="85">
        <v>14.475</v>
      </c>
      <c r="E16" s="61">
        <v>88.401666666666657</v>
      </c>
      <c r="F16" s="61">
        <v>564.69833333333338</v>
      </c>
      <c r="G16" s="61">
        <v>337.5</v>
      </c>
      <c r="H16" s="61">
        <v>0.69166666666666654</v>
      </c>
      <c r="I16" s="61">
        <v>0</v>
      </c>
      <c r="J16" s="61"/>
      <c r="K16" s="86">
        <v>0.4</v>
      </c>
      <c r="L16" s="85">
        <v>14.783333333333333</v>
      </c>
      <c r="M16" s="61">
        <v>85.850000000000009</v>
      </c>
      <c r="N16" s="61">
        <v>564.5333333333333</v>
      </c>
      <c r="O16" s="61">
        <v>337.5</v>
      </c>
      <c r="P16" s="61">
        <v>0.3833333333333333</v>
      </c>
      <c r="Q16" s="61">
        <v>0</v>
      </c>
      <c r="R16" s="61"/>
      <c r="S16" s="86">
        <v>0.4</v>
      </c>
      <c r="T16" s="85">
        <f t="shared" si="0"/>
        <v>0.30833333333333357</v>
      </c>
      <c r="U16" s="61">
        <f t="shared" si="0"/>
        <v>2.5516666666666481</v>
      </c>
      <c r="V16" s="61">
        <f t="shared" si="0"/>
        <v>0.16500000000007731</v>
      </c>
      <c r="W16" s="61">
        <f t="shared" si="0"/>
        <v>0</v>
      </c>
      <c r="X16" s="61">
        <f t="shared" si="0"/>
        <v>0.30833333333333324</v>
      </c>
      <c r="Y16" s="61">
        <f t="shared" si="0"/>
        <v>0</v>
      </c>
      <c r="Z16" s="61">
        <f t="shared" si="0"/>
        <v>0</v>
      </c>
      <c r="AA16" s="84">
        <f t="shared" si="1"/>
        <v>0</v>
      </c>
      <c r="AB16" s="27" t="str">
        <f t="shared" si="2"/>
        <v>Cumple</v>
      </c>
    </row>
    <row r="17" spans="2:28" ht="15" customHeight="1" thickBot="1">
      <c r="B17" s="79">
        <v>45324</v>
      </c>
      <c r="C17" s="80">
        <v>45690.208333333336</v>
      </c>
      <c r="D17" s="85">
        <v>14.731666666666667</v>
      </c>
      <c r="E17" s="61">
        <v>87.87</v>
      </c>
      <c r="F17" s="61">
        <v>564.9616666666667</v>
      </c>
      <c r="G17" s="61">
        <v>157.5</v>
      </c>
      <c r="H17" s="61">
        <v>0.77499999999999991</v>
      </c>
      <c r="I17" s="61">
        <v>0</v>
      </c>
      <c r="J17" s="61"/>
      <c r="K17" s="86">
        <v>0</v>
      </c>
      <c r="L17" s="85">
        <v>15.033333333333333</v>
      </c>
      <c r="M17" s="61">
        <v>85.316666666666677</v>
      </c>
      <c r="N17" s="61">
        <v>564.48333333333323</v>
      </c>
      <c r="O17" s="61">
        <v>157.5</v>
      </c>
      <c r="P17" s="61">
        <v>0.10000000000000002</v>
      </c>
      <c r="Q17" s="61">
        <v>0</v>
      </c>
      <c r="R17" s="61"/>
      <c r="S17" s="86">
        <v>0</v>
      </c>
      <c r="T17" s="85">
        <f t="shared" si="0"/>
        <v>0.30166666666666586</v>
      </c>
      <c r="U17" s="61">
        <f t="shared" si="0"/>
        <v>2.5533333333333275</v>
      </c>
      <c r="V17" s="61">
        <f t="shared" si="0"/>
        <v>0.47833333333346673</v>
      </c>
      <c r="W17" s="61">
        <f t="shared" si="0"/>
        <v>0</v>
      </c>
      <c r="X17" s="61">
        <f t="shared" si="0"/>
        <v>0.67499999999999993</v>
      </c>
      <c r="Y17" s="61">
        <f t="shared" si="0"/>
        <v>0</v>
      </c>
      <c r="Z17" s="61">
        <f t="shared" si="0"/>
        <v>0</v>
      </c>
      <c r="AA17" s="84">
        <f t="shared" si="1"/>
        <v>0</v>
      </c>
      <c r="AB17" s="27" t="str">
        <f t="shared" si="2"/>
        <v>Cumple</v>
      </c>
    </row>
    <row r="18" spans="2:28" ht="15" customHeight="1" thickBot="1">
      <c r="B18" s="79">
        <v>45324</v>
      </c>
      <c r="C18" s="80">
        <v>45690.25</v>
      </c>
      <c r="D18" s="85">
        <v>14.676666666666668</v>
      </c>
      <c r="E18" s="61">
        <v>87.203333333333333</v>
      </c>
      <c r="F18" s="61">
        <v>565.16166666666675</v>
      </c>
      <c r="G18" s="61">
        <v>135</v>
      </c>
      <c r="H18" s="61">
        <v>1.4833333333333334</v>
      </c>
      <c r="I18" s="61">
        <v>19.591666666666665</v>
      </c>
      <c r="J18" s="61"/>
      <c r="K18" s="86">
        <v>0</v>
      </c>
      <c r="L18" s="85">
        <v>14.983333333333333</v>
      </c>
      <c r="M18" s="61">
        <v>84.666666666666657</v>
      </c>
      <c r="N18" s="61">
        <v>564.83333333333337</v>
      </c>
      <c r="O18" s="61">
        <v>112.5</v>
      </c>
      <c r="P18" s="61">
        <v>0.79999999999999993</v>
      </c>
      <c r="Q18" s="61">
        <v>3.1</v>
      </c>
      <c r="R18" s="61"/>
      <c r="S18" s="86">
        <v>0</v>
      </c>
      <c r="T18" s="85">
        <f t="shared" si="0"/>
        <v>0.30666666666666487</v>
      </c>
      <c r="U18" s="61">
        <f t="shared" si="0"/>
        <v>2.536666666666676</v>
      </c>
      <c r="V18" s="61">
        <f t="shared" si="0"/>
        <v>0.32833333333337578</v>
      </c>
      <c r="W18" s="61">
        <f t="shared" si="0"/>
        <v>22.5</v>
      </c>
      <c r="X18" s="61">
        <f t="shared" si="0"/>
        <v>0.68333333333333346</v>
      </c>
      <c r="Y18" s="61">
        <f t="shared" si="0"/>
        <v>16.491666666666664</v>
      </c>
      <c r="Z18" s="61">
        <f t="shared" si="0"/>
        <v>0</v>
      </c>
      <c r="AA18" s="84">
        <f t="shared" si="1"/>
        <v>0</v>
      </c>
      <c r="AB18" s="27" t="str">
        <f t="shared" si="2"/>
        <v>Cumple</v>
      </c>
    </row>
    <row r="19" spans="2:28" ht="15" customHeight="1" thickBot="1">
      <c r="B19" s="79">
        <v>45324</v>
      </c>
      <c r="C19" s="80">
        <v>45690.291666666664</v>
      </c>
      <c r="D19" s="85">
        <v>14.473333333333331</v>
      </c>
      <c r="E19" s="61">
        <v>87.261666666666656</v>
      </c>
      <c r="F19" s="61">
        <v>565.75666666666666</v>
      </c>
      <c r="G19" s="61">
        <v>22.5</v>
      </c>
      <c r="H19" s="61">
        <v>0.84666666666666668</v>
      </c>
      <c r="I19" s="61">
        <v>103.77166666666666</v>
      </c>
      <c r="J19" s="61"/>
      <c r="K19" s="86">
        <v>0</v>
      </c>
      <c r="L19" s="85">
        <v>14.766666666666666</v>
      </c>
      <c r="M19" s="61">
        <v>84.716666666666654</v>
      </c>
      <c r="N19" s="61">
        <v>565.25</v>
      </c>
      <c r="O19" s="61">
        <v>22.5</v>
      </c>
      <c r="P19" s="61">
        <v>0.51666666666666672</v>
      </c>
      <c r="Q19" s="61">
        <v>46.133333333333333</v>
      </c>
      <c r="R19" s="61"/>
      <c r="S19" s="86">
        <v>0</v>
      </c>
      <c r="T19" s="85">
        <f t="shared" si="0"/>
        <v>0.29333333333333478</v>
      </c>
      <c r="U19" s="61">
        <f t="shared" si="0"/>
        <v>2.5450000000000017</v>
      </c>
      <c r="V19" s="61">
        <f t="shared" si="0"/>
        <v>0.5066666666666606</v>
      </c>
      <c r="W19" s="61">
        <f t="shared" si="0"/>
        <v>0</v>
      </c>
      <c r="X19" s="61">
        <f t="shared" si="0"/>
        <v>0.32999999999999996</v>
      </c>
      <c r="Y19" s="61">
        <f t="shared" si="0"/>
        <v>57.638333333333328</v>
      </c>
      <c r="Z19" s="61">
        <f t="shared" si="0"/>
        <v>0</v>
      </c>
      <c r="AA19" s="84">
        <f t="shared" si="1"/>
        <v>0</v>
      </c>
      <c r="AB19" s="27" t="str">
        <f t="shared" si="2"/>
        <v>Cumple</v>
      </c>
    </row>
    <row r="20" spans="2:28" ht="15" customHeight="1" thickBot="1">
      <c r="B20" s="79">
        <v>45324</v>
      </c>
      <c r="C20" s="80">
        <v>45690.333333333336</v>
      </c>
      <c r="D20" s="85">
        <v>15.021666666666667</v>
      </c>
      <c r="E20" s="61">
        <v>84.036666666666676</v>
      </c>
      <c r="F20" s="61">
        <v>566.19500000000005</v>
      </c>
      <c r="G20" s="61">
        <v>22.5</v>
      </c>
      <c r="H20" s="61">
        <v>1.8616666666666666</v>
      </c>
      <c r="I20" s="61">
        <v>167.36666666666667</v>
      </c>
      <c r="J20" s="61"/>
      <c r="K20" s="86">
        <v>0</v>
      </c>
      <c r="L20" s="85">
        <v>15.35</v>
      </c>
      <c r="M20" s="61">
        <v>81.600000000000009</v>
      </c>
      <c r="N20" s="61">
        <v>565.85</v>
      </c>
      <c r="O20" s="61">
        <v>0</v>
      </c>
      <c r="P20" s="61">
        <v>1.2166666666666668</v>
      </c>
      <c r="Q20" s="61">
        <v>105.51666666666665</v>
      </c>
      <c r="R20" s="61"/>
      <c r="S20" s="86">
        <v>0</v>
      </c>
      <c r="T20" s="85">
        <f t="shared" si="0"/>
        <v>0.32833333333333314</v>
      </c>
      <c r="U20" s="61">
        <f t="shared" si="0"/>
        <v>2.4366666666666674</v>
      </c>
      <c r="V20" s="61">
        <f t="shared" si="0"/>
        <v>0.34500000000002728</v>
      </c>
      <c r="W20" s="61">
        <f t="shared" si="0"/>
        <v>22.5</v>
      </c>
      <c r="X20" s="61">
        <f t="shared" si="0"/>
        <v>0.6449999999999998</v>
      </c>
      <c r="Y20" s="61">
        <f t="shared" si="0"/>
        <v>61.850000000000023</v>
      </c>
      <c r="Z20" s="61">
        <f t="shared" si="0"/>
        <v>0</v>
      </c>
      <c r="AA20" s="84">
        <f t="shared" si="1"/>
        <v>0</v>
      </c>
      <c r="AB20" s="27" t="str">
        <f t="shared" si="2"/>
        <v>Cumple</v>
      </c>
    </row>
    <row r="21" spans="2:28" ht="15" customHeight="1" thickBot="1">
      <c r="B21" s="79">
        <v>45324</v>
      </c>
      <c r="C21" s="80">
        <v>45690.375</v>
      </c>
      <c r="D21" s="85">
        <v>16.161666666666665</v>
      </c>
      <c r="E21" s="61">
        <v>78.61666666666666</v>
      </c>
      <c r="F21" s="61">
        <v>566.43999999999994</v>
      </c>
      <c r="G21" s="61">
        <v>22.5</v>
      </c>
      <c r="H21" s="61">
        <v>1.3933333333333333</v>
      </c>
      <c r="I21" s="61">
        <v>272.38500000000005</v>
      </c>
      <c r="J21" s="61"/>
      <c r="K21" s="86">
        <v>0</v>
      </c>
      <c r="L21" s="85">
        <v>16.499999999999996</v>
      </c>
      <c r="M21" s="61">
        <v>76.333333333333329</v>
      </c>
      <c r="N21" s="61">
        <v>565.93333333333339</v>
      </c>
      <c r="O21" s="61">
        <v>22.5</v>
      </c>
      <c r="P21" s="61">
        <v>0.9</v>
      </c>
      <c r="Q21" s="61">
        <v>238.4</v>
      </c>
      <c r="R21" s="61"/>
      <c r="S21" s="86">
        <v>0</v>
      </c>
      <c r="T21" s="85">
        <f t="shared" si="0"/>
        <v>0.33833333333333115</v>
      </c>
      <c r="U21" s="61">
        <f t="shared" si="0"/>
        <v>2.2833333333333314</v>
      </c>
      <c r="V21" s="61">
        <f t="shared" si="0"/>
        <v>0.50666666666654692</v>
      </c>
      <c r="W21" s="61">
        <f t="shared" si="0"/>
        <v>0</v>
      </c>
      <c r="X21" s="61">
        <f t="shared" si="0"/>
        <v>0.49333333333333329</v>
      </c>
      <c r="Y21" s="61">
        <f t="shared" si="0"/>
        <v>33.985000000000042</v>
      </c>
      <c r="Z21" s="61">
        <f t="shared" si="0"/>
        <v>0</v>
      </c>
      <c r="AA21" s="84">
        <f t="shared" si="1"/>
        <v>0</v>
      </c>
      <c r="AB21" s="27" t="str">
        <f t="shared" si="2"/>
        <v>Cumple</v>
      </c>
    </row>
    <row r="22" spans="2:28" ht="15" customHeight="1" thickBot="1">
      <c r="B22" s="79">
        <v>45324</v>
      </c>
      <c r="C22" s="80">
        <v>45690.416666666664</v>
      </c>
      <c r="D22" s="85">
        <v>17.073333333333334</v>
      </c>
      <c r="E22" s="61">
        <v>73.051666666666662</v>
      </c>
      <c r="F22" s="61">
        <v>566.40333333333331</v>
      </c>
      <c r="G22" s="61">
        <v>270</v>
      </c>
      <c r="H22" s="61">
        <v>1.2416666666666669</v>
      </c>
      <c r="I22" s="61">
        <v>250.88500000000002</v>
      </c>
      <c r="J22" s="61"/>
      <c r="K22" s="86">
        <v>0</v>
      </c>
      <c r="L22" s="85">
        <v>17.433333333333334</v>
      </c>
      <c r="M22" s="61">
        <v>70.916666666666671</v>
      </c>
      <c r="N22" s="61">
        <v>565.75</v>
      </c>
      <c r="O22" s="61">
        <v>270</v>
      </c>
      <c r="P22" s="61">
        <v>0.41666666666666669</v>
      </c>
      <c r="Q22" s="61">
        <v>210.04999999999998</v>
      </c>
      <c r="R22" s="61"/>
      <c r="S22" s="86">
        <v>0</v>
      </c>
      <c r="T22" s="85">
        <f t="shared" si="0"/>
        <v>0.35999999999999943</v>
      </c>
      <c r="U22" s="61">
        <f t="shared" si="0"/>
        <v>2.1349999999999909</v>
      </c>
      <c r="V22" s="61">
        <f t="shared" si="0"/>
        <v>0.65333333333330756</v>
      </c>
      <c r="W22" s="61">
        <f t="shared" si="0"/>
        <v>0</v>
      </c>
      <c r="X22" s="61">
        <f t="shared" si="0"/>
        <v>0.82500000000000018</v>
      </c>
      <c r="Y22" s="61">
        <f t="shared" si="0"/>
        <v>40.835000000000036</v>
      </c>
      <c r="Z22" s="61">
        <f t="shared" si="0"/>
        <v>0</v>
      </c>
      <c r="AA22" s="84">
        <f t="shared" si="1"/>
        <v>0</v>
      </c>
      <c r="AB22" s="27" t="str">
        <f t="shared" si="2"/>
        <v>Cumple</v>
      </c>
    </row>
    <row r="23" spans="2:28" ht="15" customHeight="1" thickBot="1">
      <c r="B23" s="79">
        <v>45324</v>
      </c>
      <c r="C23" s="80">
        <v>45690.458333333336</v>
      </c>
      <c r="D23" s="85">
        <v>18.170000000000002</v>
      </c>
      <c r="E23" s="61">
        <v>67.061666666666667</v>
      </c>
      <c r="F23" s="61">
        <v>565.51499999999999</v>
      </c>
      <c r="G23" s="61">
        <v>180</v>
      </c>
      <c r="H23" s="61">
        <v>1.8283333333333334</v>
      </c>
      <c r="I23" s="61">
        <v>327.625</v>
      </c>
      <c r="J23" s="61"/>
      <c r="K23" s="86">
        <v>0</v>
      </c>
      <c r="L23" s="85">
        <v>18.566666666666663</v>
      </c>
      <c r="M23" s="61">
        <v>65.11666666666666</v>
      </c>
      <c r="N23" s="61">
        <v>565.01666666666677</v>
      </c>
      <c r="O23" s="61">
        <v>180</v>
      </c>
      <c r="P23" s="61">
        <v>1.5</v>
      </c>
      <c r="Q23" s="61">
        <v>280.8</v>
      </c>
      <c r="R23" s="61"/>
      <c r="S23" s="86">
        <v>0</v>
      </c>
      <c r="T23" s="85">
        <f t="shared" si="0"/>
        <v>0.39666666666666117</v>
      </c>
      <c r="U23" s="61">
        <f t="shared" si="0"/>
        <v>1.9450000000000074</v>
      </c>
      <c r="V23" s="61">
        <f t="shared" si="0"/>
        <v>0.49833333333322116</v>
      </c>
      <c r="W23" s="61">
        <f t="shared" si="0"/>
        <v>0</v>
      </c>
      <c r="X23" s="61">
        <f t="shared" si="0"/>
        <v>0.32833333333333337</v>
      </c>
      <c r="Y23" s="61">
        <f t="shared" si="0"/>
        <v>46.824999999999989</v>
      </c>
      <c r="Z23" s="61">
        <f t="shared" si="0"/>
        <v>0</v>
      </c>
      <c r="AA23" s="84">
        <f t="shared" si="1"/>
        <v>0</v>
      </c>
      <c r="AB23" s="27" t="str">
        <f t="shared" si="2"/>
        <v>Cumple</v>
      </c>
    </row>
    <row r="24" spans="2:28" ht="15" customHeight="1" thickBot="1">
      <c r="B24" s="79">
        <v>45324</v>
      </c>
      <c r="C24" s="80">
        <v>45690.5</v>
      </c>
      <c r="D24" s="85">
        <v>18.736666666666668</v>
      </c>
      <c r="E24" s="61">
        <v>59.983333333333341</v>
      </c>
      <c r="F24" s="61">
        <v>565.12833333333322</v>
      </c>
      <c r="G24" s="61">
        <v>112.5</v>
      </c>
      <c r="H24" s="61">
        <v>1.9249999999999998</v>
      </c>
      <c r="I24" s="61">
        <v>303.16166666666669</v>
      </c>
      <c r="J24" s="61"/>
      <c r="K24" s="86">
        <v>0</v>
      </c>
      <c r="L24" s="85">
        <v>19.133333333333333</v>
      </c>
      <c r="M24" s="61">
        <v>58.233333333333341</v>
      </c>
      <c r="N24" s="61">
        <v>564.61666666666667</v>
      </c>
      <c r="O24" s="61">
        <v>112.5</v>
      </c>
      <c r="P24" s="61">
        <v>1.5999999999999999</v>
      </c>
      <c r="Q24" s="61">
        <v>257.66666666666669</v>
      </c>
      <c r="R24" s="61"/>
      <c r="S24" s="86">
        <v>0</v>
      </c>
      <c r="T24" s="85">
        <f t="shared" si="0"/>
        <v>0.39666666666666472</v>
      </c>
      <c r="U24" s="61">
        <f t="shared" si="0"/>
        <v>1.75</v>
      </c>
      <c r="V24" s="61">
        <f t="shared" si="0"/>
        <v>0.51166666666654237</v>
      </c>
      <c r="W24" s="61">
        <f t="shared" si="0"/>
        <v>0</v>
      </c>
      <c r="X24" s="61">
        <f t="shared" si="0"/>
        <v>0.32499999999999996</v>
      </c>
      <c r="Y24" s="61">
        <f t="shared" si="0"/>
        <v>45.495000000000005</v>
      </c>
      <c r="Z24" s="61">
        <f t="shared" si="0"/>
        <v>0</v>
      </c>
      <c r="AA24" s="84">
        <f t="shared" si="1"/>
        <v>0</v>
      </c>
      <c r="AB24" s="27" t="str">
        <f t="shared" si="2"/>
        <v>Cumple</v>
      </c>
    </row>
    <row r="25" spans="2:28" ht="15" customHeight="1" thickBot="1">
      <c r="B25" s="79">
        <v>45324</v>
      </c>
      <c r="C25" s="80">
        <v>45690.541666666664</v>
      </c>
      <c r="D25" s="85">
        <v>20.285</v>
      </c>
      <c r="E25" s="61">
        <v>54.756666666666661</v>
      </c>
      <c r="F25" s="61">
        <v>564.36999999999989</v>
      </c>
      <c r="G25" s="61">
        <v>45</v>
      </c>
      <c r="H25" s="61">
        <v>1.4433333333333334</v>
      </c>
      <c r="I25" s="61">
        <v>490.12500000000006</v>
      </c>
      <c r="J25" s="61"/>
      <c r="K25" s="86">
        <v>0</v>
      </c>
      <c r="L25" s="85">
        <v>20.716666666666665</v>
      </c>
      <c r="M25" s="61">
        <v>53.18333333333333</v>
      </c>
      <c r="N25" s="61">
        <v>563.88333333333333</v>
      </c>
      <c r="O25" s="61">
        <v>22.5</v>
      </c>
      <c r="P25" s="61">
        <v>0.76666666666666661</v>
      </c>
      <c r="Q25" s="61">
        <v>435.9666666666667</v>
      </c>
      <c r="R25" s="61"/>
      <c r="S25" s="86">
        <v>0</v>
      </c>
      <c r="T25" s="85">
        <f t="shared" si="0"/>
        <v>0.43166666666666487</v>
      </c>
      <c r="U25" s="61">
        <f t="shared" si="0"/>
        <v>1.5733333333333306</v>
      </c>
      <c r="V25" s="61">
        <f t="shared" si="0"/>
        <v>0.48666666666656511</v>
      </c>
      <c r="W25" s="61">
        <f t="shared" si="0"/>
        <v>22.5</v>
      </c>
      <c r="X25" s="61">
        <f t="shared" si="0"/>
        <v>0.67666666666666675</v>
      </c>
      <c r="Y25" s="61">
        <f t="shared" si="0"/>
        <v>54.15833333333336</v>
      </c>
      <c r="Z25" s="61">
        <f t="shared" si="0"/>
        <v>0</v>
      </c>
      <c r="AA25" s="84">
        <f t="shared" si="1"/>
        <v>0</v>
      </c>
      <c r="AB25" s="27" t="str">
        <f t="shared" si="2"/>
        <v>Cumple</v>
      </c>
    </row>
    <row r="26" spans="2:28" ht="15" customHeight="1" thickBot="1">
      <c r="B26" s="79">
        <v>45324</v>
      </c>
      <c r="C26" s="80">
        <v>45690.583333333336</v>
      </c>
      <c r="D26" s="85">
        <v>20.841666666666669</v>
      </c>
      <c r="E26" s="61">
        <v>52.62166666666667</v>
      </c>
      <c r="F26" s="61">
        <v>563.80166666666673</v>
      </c>
      <c r="G26" s="61">
        <v>67.5</v>
      </c>
      <c r="H26" s="61">
        <v>3.2183333333333333</v>
      </c>
      <c r="I26" s="61">
        <v>414.79333333333335</v>
      </c>
      <c r="J26" s="61"/>
      <c r="K26" s="86">
        <v>0</v>
      </c>
      <c r="L26" s="85">
        <v>21.266666666666669</v>
      </c>
      <c r="M26" s="61">
        <v>51.083333333333336</v>
      </c>
      <c r="N26" s="61">
        <v>563.28333333333342</v>
      </c>
      <c r="O26" s="61">
        <v>67.5</v>
      </c>
      <c r="P26" s="61">
        <v>2.416666666666667</v>
      </c>
      <c r="Q26" s="61">
        <v>368.3</v>
      </c>
      <c r="R26" s="61"/>
      <c r="S26" s="86">
        <v>0</v>
      </c>
      <c r="T26" s="85">
        <f t="shared" si="0"/>
        <v>0.42500000000000071</v>
      </c>
      <c r="U26" s="61">
        <f t="shared" si="0"/>
        <v>1.538333333333334</v>
      </c>
      <c r="V26" s="61">
        <f t="shared" si="0"/>
        <v>0.51833333333331666</v>
      </c>
      <c r="W26" s="61">
        <f t="shared" si="0"/>
        <v>0</v>
      </c>
      <c r="X26" s="61">
        <f t="shared" si="0"/>
        <v>0.80166666666666631</v>
      </c>
      <c r="Y26" s="61">
        <f t="shared" si="0"/>
        <v>46.493333333333339</v>
      </c>
      <c r="Z26" s="61">
        <f t="shared" si="0"/>
        <v>0</v>
      </c>
      <c r="AA26" s="84">
        <f t="shared" si="1"/>
        <v>0</v>
      </c>
      <c r="AB26" s="27" t="str">
        <f t="shared" si="2"/>
        <v>Cumple</v>
      </c>
    </row>
    <row r="27" spans="2:28" ht="15" customHeight="1" thickBot="1">
      <c r="B27" s="79">
        <v>45324</v>
      </c>
      <c r="C27" s="80">
        <v>45690.625</v>
      </c>
      <c r="D27" s="85">
        <v>19.720000000000002</v>
      </c>
      <c r="E27" s="61">
        <v>64.658333333333346</v>
      </c>
      <c r="F27" s="61">
        <v>563.62</v>
      </c>
      <c r="G27" s="61">
        <v>247.5</v>
      </c>
      <c r="H27" s="61">
        <v>4.8899999999999997</v>
      </c>
      <c r="I27" s="61">
        <v>380.94166666666666</v>
      </c>
      <c r="J27" s="61"/>
      <c r="K27" s="86">
        <v>0</v>
      </c>
      <c r="L27" s="85">
        <v>20.133333333333333</v>
      </c>
      <c r="M27" s="61">
        <v>62.766666666666673</v>
      </c>
      <c r="N27" s="61">
        <v>562.9666666666667</v>
      </c>
      <c r="O27" s="61">
        <v>247.5</v>
      </c>
      <c r="P27" s="61">
        <v>4.3666666666666663</v>
      </c>
      <c r="Q27" s="61">
        <v>323.43333333333328</v>
      </c>
      <c r="R27" s="61"/>
      <c r="S27" s="86">
        <v>0</v>
      </c>
      <c r="T27" s="85">
        <f t="shared" si="0"/>
        <v>0.41333333333333044</v>
      </c>
      <c r="U27" s="61">
        <f t="shared" si="0"/>
        <v>1.8916666666666728</v>
      </c>
      <c r="V27" s="61">
        <f t="shared" si="0"/>
        <v>0.65333333333330756</v>
      </c>
      <c r="W27" s="61">
        <f t="shared" si="0"/>
        <v>0</v>
      </c>
      <c r="X27" s="61">
        <f t="shared" si="0"/>
        <v>0.52333333333333343</v>
      </c>
      <c r="Y27" s="61">
        <f t="shared" si="0"/>
        <v>57.508333333333383</v>
      </c>
      <c r="Z27" s="61">
        <f t="shared" si="0"/>
        <v>0</v>
      </c>
      <c r="AA27" s="84">
        <f t="shared" si="1"/>
        <v>0</v>
      </c>
      <c r="AB27" s="27" t="str">
        <f t="shared" si="2"/>
        <v>Cumple</v>
      </c>
    </row>
    <row r="28" spans="2:28" ht="15" customHeight="1" thickBot="1">
      <c r="B28" s="79">
        <v>45324</v>
      </c>
      <c r="C28" s="80">
        <v>45690.666666666664</v>
      </c>
      <c r="D28" s="85">
        <v>17.474999999999998</v>
      </c>
      <c r="E28" s="61">
        <v>74.708333333333329</v>
      </c>
      <c r="F28" s="61">
        <v>563.1049999999999</v>
      </c>
      <c r="G28" s="61">
        <v>247.5</v>
      </c>
      <c r="H28" s="61">
        <v>4.4499999999999993</v>
      </c>
      <c r="I28" s="61">
        <v>104.73500000000001</v>
      </c>
      <c r="J28" s="61"/>
      <c r="K28" s="86">
        <v>0</v>
      </c>
      <c r="L28" s="85">
        <v>17.833333333333336</v>
      </c>
      <c r="M28" s="61">
        <v>72.533333333333331</v>
      </c>
      <c r="N28" s="61">
        <v>562.93333333333328</v>
      </c>
      <c r="O28" s="61">
        <v>247.5</v>
      </c>
      <c r="P28" s="61">
        <v>3.9666666666666663</v>
      </c>
      <c r="Q28" s="61">
        <v>46.900000000000006</v>
      </c>
      <c r="R28" s="61"/>
      <c r="S28" s="86">
        <v>0</v>
      </c>
      <c r="T28" s="85">
        <f t="shared" si="0"/>
        <v>0.35833333333333783</v>
      </c>
      <c r="U28" s="61">
        <f t="shared" si="0"/>
        <v>2.1749999999999972</v>
      </c>
      <c r="V28" s="61">
        <f t="shared" si="0"/>
        <v>0.17166666666662422</v>
      </c>
      <c r="W28" s="61">
        <f t="shared" si="0"/>
        <v>0</v>
      </c>
      <c r="X28" s="61">
        <f t="shared" si="0"/>
        <v>0.48333333333333295</v>
      </c>
      <c r="Y28" s="61">
        <f t="shared" si="0"/>
        <v>57.835000000000008</v>
      </c>
      <c r="Z28" s="61">
        <f t="shared" si="0"/>
        <v>0</v>
      </c>
      <c r="AA28" s="84">
        <f t="shared" si="1"/>
        <v>0</v>
      </c>
      <c r="AB28" s="27" t="str">
        <f t="shared" si="2"/>
        <v>Cumple</v>
      </c>
    </row>
    <row r="29" spans="2:28" ht="15" customHeight="1" thickBot="1">
      <c r="B29" s="79">
        <v>45324</v>
      </c>
      <c r="C29" s="80">
        <v>45690.708333333336</v>
      </c>
      <c r="D29" s="85">
        <v>16.123333333333335</v>
      </c>
      <c r="E29" s="61">
        <v>84.304999999999993</v>
      </c>
      <c r="F29" s="61">
        <v>563.66166666666663</v>
      </c>
      <c r="G29" s="61">
        <v>247.5</v>
      </c>
      <c r="H29" s="61">
        <v>3.4833333333333329</v>
      </c>
      <c r="I29" s="61">
        <v>116.68166666666666</v>
      </c>
      <c r="J29" s="61"/>
      <c r="K29" s="86">
        <v>0.60000000000000009</v>
      </c>
      <c r="L29" s="85">
        <v>16.466666666666665</v>
      </c>
      <c r="M29" s="61">
        <v>81.850000000000009</v>
      </c>
      <c r="N29" s="61">
        <v>563.33333333333337</v>
      </c>
      <c r="O29" s="61">
        <v>247.5</v>
      </c>
      <c r="P29" s="61">
        <v>2.6666666666666665</v>
      </c>
      <c r="Q29" s="61">
        <v>63.516666666666659</v>
      </c>
      <c r="R29" s="61"/>
      <c r="S29" s="86">
        <v>0.60000000000000009</v>
      </c>
      <c r="T29" s="85">
        <f t="shared" si="0"/>
        <v>0.34333333333333016</v>
      </c>
      <c r="U29" s="61">
        <f t="shared" si="0"/>
        <v>2.4549999999999841</v>
      </c>
      <c r="V29" s="61">
        <f t="shared" si="0"/>
        <v>0.32833333333326209</v>
      </c>
      <c r="W29" s="61">
        <f t="shared" si="0"/>
        <v>0</v>
      </c>
      <c r="X29" s="61">
        <f t="shared" si="0"/>
        <v>0.81666666666666643</v>
      </c>
      <c r="Y29" s="61">
        <f t="shared" si="0"/>
        <v>53.164999999999999</v>
      </c>
      <c r="Z29" s="61">
        <f t="shared" si="0"/>
        <v>0</v>
      </c>
      <c r="AA29" s="84">
        <f t="shared" si="1"/>
        <v>0</v>
      </c>
      <c r="AB29" s="27" t="str">
        <f t="shared" si="2"/>
        <v>Cumple</v>
      </c>
    </row>
    <row r="30" spans="2:28" ht="15" customHeight="1" thickBot="1">
      <c r="B30" s="79">
        <v>45324</v>
      </c>
      <c r="C30" s="80">
        <v>45690.75</v>
      </c>
      <c r="D30" s="85">
        <v>15.520000000000001</v>
      </c>
      <c r="E30" s="61">
        <v>86.611666666666665</v>
      </c>
      <c r="F30" s="61">
        <v>564.08333333333337</v>
      </c>
      <c r="G30" s="61">
        <v>292.5</v>
      </c>
      <c r="H30" s="61">
        <v>2.1150000000000002</v>
      </c>
      <c r="I30" s="61">
        <v>24.925000000000001</v>
      </c>
      <c r="J30" s="61"/>
      <c r="K30" s="86">
        <v>0</v>
      </c>
      <c r="L30" s="85">
        <v>15.849999999999996</v>
      </c>
      <c r="M30" s="61">
        <v>84.083333333333329</v>
      </c>
      <c r="N30" s="61">
        <v>563.91666666666663</v>
      </c>
      <c r="O30" s="61">
        <v>270</v>
      </c>
      <c r="P30" s="61">
        <v>1.7833333333333332</v>
      </c>
      <c r="Q30" s="61">
        <v>2.5833333333333335</v>
      </c>
      <c r="R30" s="61"/>
      <c r="S30" s="86">
        <v>0</v>
      </c>
      <c r="T30" s="85">
        <f t="shared" si="0"/>
        <v>0.32999999999999474</v>
      </c>
      <c r="U30" s="61">
        <f t="shared" si="0"/>
        <v>2.528333333333336</v>
      </c>
      <c r="V30" s="61">
        <f t="shared" si="0"/>
        <v>0.16666666666674246</v>
      </c>
      <c r="W30" s="61">
        <f t="shared" si="0"/>
        <v>22.5</v>
      </c>
      <c r="X30" s="61">
        <f t="shared" si="0"/>
        <v>0.331666666666667</v>
      </c>
      <c r="Y30" s="61">
        <f t="shared" si="0"/>
        <v>22.341666666666669</v>
      </c>
      <c r="Z30" s="61">
        <f t="shared" si="0"/>
        <v>0</v>
      </c>
      <c r="AA30" s="84">
        <f t="shared" si="1"/>
        <v>0</v>
      </c>
      <c r="AB30" s="27" t="str">
        <f t="shared" si="2"/>
        <v>Cumple</v>
      </c>
    </row>
    <row r="31" spans="2:28" ht="15" customHeight="1" thickBot="1">
      <c r="B31" s="79">
        <v>45324</v>
      </c>
      <c r="C31" s="80">
        <v>45690.791666666664</v>
      </c>
      <c r="D31" s="85">
        <v>15.28</v>
      </c>
      <c r="E31" s="61">
        <v>87.204999999999998</v>
      </c>
      <c r="F31" s="61">
        <v>564.99333333333334</v>
      </c>
      <c r="G31" s="61">
        <v>270</v>
      </c>
      <c r="H31" s="61">
        <v>2.1733333333333333</v>
      </c>
      <c r="I31" s="61">
        <v>0</v>
      </c>
      <c r="J31" s="61"/>
      <c r="K31" s="86">
        <v>0</v>
      </c>
      <c r="L31" s="85">
        <v>15.6</v>
      </c>
      <c r="M31" s="61">
        <v>84.666666666666671</v>
      </c>
      <c r="N31" s="61">
        <v>564.51666666666654</v>
      </c>
      <c r="O31" s="61">
        <v>270</v>
      </c>
      <c r="P31" s="61">
        <v>1.5</v>
      </c>
      <c r="Q31" s="61">
        <v>0</v>
      </c>
      <c r="R31" s="61"/>
      <c r="S31" s="86">
        <v>0</v>
      </c>
      <c r="T31" s="85">
        <f t="shared" si="0"/>
        <v>0.32000000000000028</v>
      </c>
      <c r="U31" s="61">
        <f t="shared" si="0"/>
        <v>2.5383333333333269</v>
      </c>
      <c r="V31" s="61">
        <f t="shared" si="0"/>
        <v>0.47666666666680158</v>
      </c>
      <c r="W31" s="61">
        <f t="shared" si="0"/>
        <v>0</v>
      </c>
      <c r="X31" s="61">
        <f t="shared" si="0"/>
        <v>0.67333333333333334</v>
      </c>
      <c r="Y31" s="61">
        <f t="shared" si="0"/>
        <v>0</v>
      </c>
      <c r="Z31" s="61">
        <f t="shared" si="0"/>
        <v>0</v>
      </c>
      <c r="AA31" s="84">
        <f t="shared" si="1"/>
        <v>0</v>
      </c>
      <c r="AB31" s="27" t="str">
        <f t="shared" si="2"/>
        <v>Cumple</v>
      </c>
    </row>
    <row r="32" spans="2:28" ht="15" customHeight="1" thickBot="1">
      <c r="B32" s="79">
        <v>45324</v>
      </c>
      <c r="C32" s="80">
        <v>45690.833333333336</v>
      </c>
      <c r="D32" s="85">
        <v>15.173333333333334</v>
      </c>
      <c r="E32" s="61">
        <v>88.691666666666663</v>
      </c>
      <c r="F32" s="61">
        <v>565.37666666666667</v>
      </c>
      <c r="G32" s="61">
        <v>270</v>
      </c>
      <c r="H32" s="61">
        <v>1.5199999999999998</v>
      </c>
      <c r="I32" s="61">
        <v>0</v>
      </c>
      <c r="J32" s="61"/>
      <c r="K32" s="86">
        <v>0</v>
      </c>
      <c r="L32" s="85">
        <v>15.5</v>
      </c>
      <c r="M32" s="61">
        <v>86.100000000000009</v>
      </c>
      <c r="N32" s="61">
        <v>565.04999999999984</v>
      </c>
      <c r="O32" s="61">
        <v>270</v>
      </c>
      <c r="P32" s="61">
        <v>0.86666666666666659</v>
      </c>
      <c r="Q32" s="61">
        <v>0</v>
      </c>
      <c r="R32" s="61"/>
      <c r="S32" s="86">
        <v>0</v>
      </c>
      <c r="T32" s="85">
        <f t="shared" si="0"/>
        <v>0.32666666666666622</v>
      </c>
      <c r="U32" s="61">
        <f t="shared" si="0"/>
        <v>2.5916666666666544</v>
      </c>
      <c r="V32" s="61">
        <f t="shared" si="0"/>
        <v>0.32666666666682431</v>
      </c>
      <c r="W32" s="61">
        <f t="shared" si="0"/>
        <v>0</v>
      </c>
      <c r="X32" s="61">
        <f t="shared" si="0"/>
        <v>0.65333333333333321</v>
      </c>
      <c r="Y32" s="61">
        <f t="shared" si="0"/>
        <v>0</v>
      </c>
      <c r="Z32" s="61">
        <f t="shared" si="0"/>
        <v>0</v>
      </c>
      <c r="AA32" s="84">
        <f t="shared" si="1"/>
        <v>0</v>
      </c>
      <c r="AB32" s="27" t="str">
        <f t="shared" si="2"/>
        <v>Cumple</v>
      </c>
    </row>
    <row r="33" spans="2:28" ht="15" customHeight="1" thickBot="1">
      <c r="B33" s="79">
        <v>45324</v>
      </c>
      <c r="C33" s="80">
        <v>45690.875</v>
      </c>
      <c r="D33" s="85">
        <v>14.918333333333335</v>
      </c>
      <c r="E33" s="61">
        <v>89.093333333333348</v>
      </c>
      <c r="F33" s="61">
        <v>565.72166666666669</v>
      </c>
      <c r="G33" s="61">
        <v>270</v>
      </c>
      <c r="H33" s="61">
        <v>1.3833333333333331</v>
      </c>
      <c r="I33" s="61">
        <v>0</v>
      </c>
      <c r="J33" s="61"/>
      <c r="K33" s="86">
        <v>0</v>
      </c>
      <c r="L33" s="85">
        <v>15.249999999999998</v>
      </c>
      <c r="M33" s="61">
        <v>86.5</v>
      </c>
      <c r="N33" s="61">
        <v>565.06666666666672</v>
      </c>
      <c r="O33" s="61">
        <v>270</v>
      </c>
      <c r="P33" s="61">
        <v>1.2333333333333334</v>
      </c>
      <c r="Q33" s="61">
        <v>0</v>
      </c>
      <c r="R33" s="61"/>
      <c r="S33" s="86">
        <v>0</v>
      </c>
      <c r="T33" s="85">
        <f t="shared" si="0"/>
        <v>0.33166666666666345</v>
      </c>
      <c r="U33" s="61">
        <f t="shared" si="0"/>
        <v>2.5933333333333479</v>
      </c>
      <c r="V33" s="61">
        <f t="shared" si="0"/>
        <v>0.65499999999997272</v>
      </c>
      <c r="W33" s="61">
        <f t="shared" si="0"/>
        <v>0</v>
      </c>
      <c r="X33" s="61">
        <f t="shared" si="0"/>
        <v>0.14999999999999969</v>
      </c>
      <c r="Y33" s="61">
        <f t="shared" si="0"/>
        <v>0</v>
      </c>
      <c r="Z33" s="61">
        <f t="shared" si="0"/>
        <v>0</v>
      </c>
      <c r="AA33" s="84">
        <f t="shared" si="1"/>
        <v>0</v>
      </c>
      <c r="AB33" s="27" t="str">
        <f>+IF(AND(T33&lt;=0.5,U33&lt;=5,V33&lt;=1,W33&lt;=22.5,X33&lt;=1,Y33&lt;=90,Z33&lt;=0.8,AA33&lt;=5%),"Cumple","No cumple")</f>
        <v>Cumple</v>
      </c>
    </row>
    <row r="34" spans="2:28" ht="15" customHeight="1" thickBot="1">
      <c r="B34" s="79">
        <v>45324</v>
      </c>
      <c r="C34" s="80">
        <v>45690.916666666664</v>
      </c>
      <c r="D34" s="85">
        <v>14.798333333333334</v>
      </c>
      <c r="E34" s="61">
        <v>89.435000000000002</v>
      </c>
      <c r="F34" s="61">
        <v>565.96500000000003</v>
      </c>
      <c r="G34" s="61">
        <v>270</v>
      </c>
      <c r="H34" s="61">
        <v>1.9033333333333333</v>
      </c>
      <c r="I34" s="61">
        <v>0</v>
      </c>
      <c r="J34" s="61"/>
      <c r="K34" s="86">
        <v>0</v>
      </c>
      <c r="L34" s="85">
        <v>15.1</v>
      </c>
      <c r="M34" s="61">
        <v>86.833333333333329</v>
      </c>
      <c r="N34" s="61">
        <v>565.30000000000007</v>
      </c>
      <c r="O34" s="61">
        <v>247.5</v>
      </c>
      <c r="P34" s="61">
        <v>1.0833333333333333</v>
      </c>
      <c r="Q34" s="61">
        <v>0</v>
      </c>
      <c r="R34" s="61"/>
      <c r="S34" s="86">
        <v>0</v>
      </c>
      <c r="T34" s="85">
        <f t="shared" si="0"/>
        <v>0.30166666666666586</v>
      </c>
      <c r="U34" s="61">
        <f t="shared" si="0"/>
        <v>2.6016666666666737</v>
      </c>
      <c r="V34" s="61">
        <f t="shared" si="0"/>
        <v>0.66499999999996362</v>
      </c>
      <c r="W34" s="61">
        <f t="shared" si="0"/>
        <v>22.5</v>
      </c>
      <c r="X34" s="61">
        <f t="shared" si="0"/>
        <v>0.82000000000000006</v>
      </c>
      <c r="Y34" s="61">
        <f t="shared" si="0"/>
        <v>0</v>
      </c>
      <c r="Z34" s="61">
        <f t="shared" si="0"/>
        <v>0</v>
      </c>
      <c r="AA34" s="84">
        <f t="shared" si="1"/>
        <v>0</v>
      </c>
      <c r="AB34" s="27" t="str">
        <f t="shared" si="2"/>
        <v>Cumple</v>
      </c>
    </row>
    <row r="35" spans="2:28" ht="15" customHeight="1" thickBot="1">
      <c r="B35" s="79">
        <v>45324</v>
      </c>
      <c r="C35" s="80">
        <v>45690.958333333336</v>
      </c>
      <c r="D35" s="87">
        <v>14.661666666666667</v>
      </c>
      <c r="E35" s="88">
        <v>88.883333333333326</v>
      </c>
      <c r="F35" s="88">
        <v>565.83333333333337</v>
      </c>
      <c r="G35" s="88">
        <v>247.5</v>
      </c>
      <c r="H35" s="88">
        <v>1.2583333333333335</v>
      </c>
      <c r="I35" s="88">
        <v>0</v>
      </c>
      <c r="J35" s="88"/>
      <c r="K35" s="89">
        <v>0</v>
      </c>
      <c r="L35" s="87">
        <v>14.966666666666669</v>
      </c>
      <c r="M35" s="88">
        <v>86.3</v>
      </c>
      <c r="N35" s="88">
        <v>565.16666666666663</v>
      </c>
      <c r="O35" s="88">
        <v>247.5</v>
      </c>
      <c r="P35" s="88">
        <v>0.78333333333333333</v>
      </c>
      <c r="Q35" s="88">
        <v>0</v>
      </c>
      <c r="R35" s="88"/>
      <c r="S35" s="89">
        <v>0</v>
      </c>
      <c r="T35" s="87">
        <f t="shared" si="0"/>
        <v>0.30500000000000149</v>
      </c>
      <c r="U35" s="88">
        <f t="shared" si="0"/>
        <v>2.5833333333333286</v>
      </c>
      <c r="V35" s="88">
        <f t="shared" si="0"/>
        <v>0.66666666666674246</v>
      </c>
      <c r="W35" s="88">
        <f t="shared" si="0"/>
        <v>0</v>
      </c>
      <c r="X35" s="88">
        <f t="shared" si="0"/>
        <v>0.4750000000000002</v>
      </c>
      <c r="Y35" s="88">
        <f t="shared" si="0"/>
        <v>0</v>
      </c>
      <c r="Z35" s="88">
        <f t="shared" si="0"/>
        <v>0</v>
      </c>
      <c r="AA35" s="84">
        <f t="shared" si="1"/>
        <v>0</v>
      </c>
      <c r="AB35" s="27" t="str">
        <f t="shared" si="2"/>
        <v>Cumple</v>
      </c>
    </row>
    <row r="36" spans="2:28" ht="33" customHeight="1">
      <c r="B36" s="220" t="s">
        <v>42</v>
      </c>
      <c r="C36" s="221"/>
      <c r="D36" s="158">
        <v>45329</v>
      </c>
      <c r="E36" s="159"/>
      <c r="F36" s="159"/>
      <c r="G36" s="159"/>
      <c r="H36" s="159"/>
      <c r="I36" s="160"/>
      <c r="J36" s="225" t="s">
        <v>43</v>
      </c>
      <c r="K36" s="225"/>
      <c r="L36" s="225"/>
      <c r="M36" s="225"/>
      <c r="N36" s="225"/>
      <c r="O36" s="225"/>
      <c r="P36" s="225"/>
      <c r="Q36" s="164" t="s">
        <v>44</v>
      </c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5"/>
    </row>
    <row r="37" spans="2:28" ht="33" customHeight="1">
      <c r="B37" s="226" t="s">
        <v>45</v>
      </c>
      <c r="C37" s="227"/>
      <c r="D37" s="169" t="s">
        <v>46</v>
      </c>
      <c r="E37" s="170"/>
      <c r="F37" s="170"/>
      <c r="G37" s="170"/>
      <c r="H37" s="170"/>
      <c r="I37" s="171"/>
      <c r="J37" s="228" t="s">
        <v>47</v>
      </c>
      <c r="K37" s="229"/>
      <c r="L37" s="229"/>
      <c r="M37" s="229"/>
      <c r="N37" s="229"/>
      <c r="O37" s="229"/>
      <c r="P37" s="230"/>
      <c r="Q37" s="234" t="s">
        <v>48</v>
      </c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</row>
    <row r="38" spans="2:28" ht="33" customHeight="1" thickBot="1">
      <c r="B38" s="236" t="s">
        <v>49</v>
      </c>
      <c r="C38" s="237"/>
      <c r="D38" s="238" t="s">
        <v>50</v>
      </c>
      <c r="E38" s="185"/>
      <c r="F38" s="185"/>
      <c r="G38" s="185"/>
      <c r="H38" s="185"/>
      <c r="I38" s="186"/>
      <c r="J38" s="231"/>
      <c r="K38" s="232"/>
      <c r="L38" s="232"/>
      <c r="M38" s="232"/>
      <c r="N38" s="232"/>
      <c r="O38" s="232"/>
      <c r="P38" s="233"/>
      <c r="Q38" s="235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</row>
    <row r="39" spans="2:28" ht="15" customHeight="1"/>
    <row r="40" spans="2:28" ht="15" customHeight="1"/>
    <row r="41" spans="2:28" ht="15" customHeight="1"/>
    <row r="42" spans="2:28" ht="15" customHeight="1"/>
    <row r="43" spans="2:28" ht="15" customHeight="1"/>
    <row r="44" spans="2:28" ht="15" customHeight="1"/>
    <row r="45" spans="2:28" ht="15" customHeight="1"/>
    <row r="46" spans="2:28" ht="15" customHeight="1"/>
    <row r="47" spans="2:28" ht="15" customHeight="1"/>
    <row r="48" spans="2:28" ht="15" customHeight="1"/>
    <row r="49" customFormat="1" ht="15" customHeight="1"/>
    <row r="50" customFormat="1" ht="15" customHeight="1"/>
    <row r="51" customFormat="1" ht="15" customHeight="1"/>
    <row r="52" customFormat="1" ht="15" customHeight="1"/>
    <row r="53" customFormat="1" ht="15" customHeight="1"/>
    <row r="54" customFormat="1" ht="15" customHeight="1"/>
    <row r="55" customFormat="1" ht="15" customHeight="1"/>
    <row r="56" customFormat="1" ht="15" customHeight="1"/>
    <row r="57" customFormat="1" ht="15" customHeight="1"/>
    <row r="58" customFormat="1" ht="15" customHeight="1"/>
    <row r="59" customFormat="1" ht="15" customHeight="1"/>
    <row r="60" customFormat="1" ht="15" customHeight="1"/>
    <row r="61" customFormat="1" ht="15" customHeight="1"/>
    <row r="62" customFormat="1" ht="15" customHeight="1"/>
    <row r="63" customFormat="1" ht="15" customHeight="1"/>
    <row r="64" customFormat="1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mergeCells count="38">
    <mergeCell ref="AA7:AB7"/>
    <mergeCell ref="L8:S8"/>
    <mergeCell ref="AA8:AB8"/>
    <mergeCell ref="B37:C37"/>
    <mergeCell ref="D37:I37"/>
    <mergeCell ref="J37:P38"/>
    <mergeCell ref="Q37:AB38"/>
    <mergeCell ref="B38:C38"/>
    <mergeCell ref="D38:I38"/>
    <mergeCell ref="B36:C36"/>
    <mergeCell ref="D36:I36"/>
    <mergeCell ref="J36:P36"/>
    <mergeCell ref="Q36:AB36"/>
    <mergeCell ref="AB10:AB11"/>
    <mergeCell ref="B10:B11"/>
    <mergeCell ref="C10:C11"/>
    <mergeCell ref="D10:K10"/>
    <mergeCell ref="L10:S10"/>
    <mergeCell ref="T10:AA10"/>
    <mergeCell ref="B7:C7"/>
    <mergeCell ref="T7:X7"/>
    <mergeCell ref="Y7:Z7"/>
    <mergeCell ref="B8:C8"/>
    <mergeCell ref="T8:X8"/>
    <mergeCell ref="Y8:Z8"/>
    <mergeCell ref="D7:K7"/>
    <mergeCell ref="D8:K8"/>
    <mergeCell ref="L7:S7"/>
    <mergeCell ref="B1:C4"/>
    <mergeCell ref="D1:Z2"/>
    <mergeCell ref="AB1:AB4"/>
    <mergeCell ref="D3:Z4"/>
    <mergeCell ref="B6:C6"/>
    <mergeCell ref="T6:X6"/>
    <mergeCell ref="Y6:Z6"/>
    <mergeCell ref="D6:K6"/>
    <mergeCell ref="L6:S6"/>
    <mergeCell ref="AA6:AB6"/>
  </mergeCells>
  <conditionalFormatting sqref="T12:T35">
    <cfRule type="cellIs" dxfId="76" priority="17" operator="greaterThan">
      <formula>0.51</formula>
    </cfRule>
    <cfRule type="cellIs" dxfId="75" priority="18" operator="lessThan">
      <formula>0.5</formula>
    </cfRule>
  </conditionalFormatting>
  <conditionalFormatting sqref="U12:U35">
    <cfRule type="cellIs" dxfId="74" priority="15" operator="greaterThan">
      <formula>5.1</formula>
    </cfRule>
    <cfRule type="cellIs" dxfId="73" priority="16" operator="lessThan">
      <formula>5</formula>
    </cfRule>
  </conditionalFormatting>
  <conditionalFormatting sqref="V12:V35">
    <cfRule type="cellIs" dxfId="72" priority="13" operator="greaterThan">
      <formula>1.1</formula>
    </cfRule>
    <cfRule type="cellIs" dxfId="71" priority="14" operator="lessThan">
      <formula>1</formula>
    </cfRule>
  </conditionalFormatting>
  <conditionalFormatting sqref="W12:W35">
    <cfRule type="cellIs" dxfId="70" priority="11" operator="greaterThan">
      <formula>22.6</formula>
    </cfRule>
    <cfRule type="cellIs" dxfId="69" priority="12" operator="lessThanOrEqual">
      <formula>22.5</formula>
    </cfRule>
  </conditionalFormatting>
  <conditionalFormatting sqref="X12:X35">
    <cfRule type="cellIs" dxfId="68" priority="9" operator="greaterThan">
      <formula>1.1</formula>
    </cfRule>
    <cfRule type="cellIs" dxfId="67" priority="10" operator="lessThan">
      <formula>1</formula>
    </cfRule>
  </conditionalFormatting>
  <conditionalFormatting sqref="Y12:Y35">
    <cfRule type="cellIs" dxfId="66" priority="7" operator="greaterThan">
      <formula>90.1</formula>
    </cfRule>
    <cfRule type="cellIs" dxfId="65" priority="8" operator="lessThan">
      <formula>90</formula>
    </cfRule>
  </conditionalFormatting>
  <conditionalFormatting sqref="Z12:Z35">
    <cfRule type="cellIs" dxfId="64" priority="5" operator="greaterThan">
      <formula>0.9</formula>
    </cfRule>
    <cfRule type="cellIs" dxfId="63" priority="6" operator="lessThan">
      <formula>0.8</formula>
    </cfRule>
  </conditionalFormatting>
  <conditionalFormatting sqref="AA12:AA35">
    <cfRule type="cellIs" dxfId="62" priority="2" operator="equal">
      <formula>0</formula>
    </cfRule>
    <cfRule type="expression" dxfId="61" priority="3">
      <formula>OR(AND(K12=0, S12=0), AND(K12&lt;&gt;0, ABS(S12-K12)/K12 &lt;= 0.05))</formula>
    </cfRule>
    <cfRule type="expression" dxfId="60" priority="4">
      <formula>AND(K12&lt;&gt;0, ABS(S12-K12)/K12 &gt; 0.05)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ABC6-8C4E-4495-B3BA-044A3449BE8D}">
  <dimension ref="B1:AM68"/>
  <sheetViews>
    <sheetView topLeftCell="P1" zoomScale="86" zoomScaleNormal="86" workbookViewId="0">
      <selection activeCell="Y7" sqref="Y7:Z7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18" width="8.7109375" customWidth="1"/>
    <col min="19" max="19" width="8.5703125" customWidth="1"/>
    <col min="20" max="24" width="8.7109375" customWidth="1"/>
    <col min="25" max="25" width="9.85546875" customWidth="1"/>
    <col min="26" max="27" width="8.7109375" customWidth="1"/>
    <col min="28" max="28" width="20.85546875" bestFit="1" customWidth="1"/>
    <col min="29" max="29" width="5" customWidth="1"/>
    <col min="38" max="38" width="11.7109375" bestFit="1" customWidth="1"/>
  </cols>
  <sheetData>
    <row r="1" spans="2:39" ht="18" customHeight="1">
      <c r="B1" s="105"/>
      <c r="C1" s="106"/>
      <c r="D1" s="111" t="s">
        <v>6</v>
      </c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7" t="s">
        <v>51</v>
      </c>
      <c r="AB1" s="118"/>
    </row>
    <row r="2" spans="2:39" ht="18" customHeight="1">
      <c r="B2" s="107"/>
      <c r="C2" s="108"/>
      <c r="D2" s="114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6"/>
      <c r="AA2" s="119"/>
      <c r="AB2" s="120"/>
    </row>
    <row r="3" spans="2:39" ht="18" customHeight="1">
      <c r="B3" s="107"/>
      <c r="C3" s="108"/>
      <c r="D3" s="123" t="s">
        <v>8</v>
      </c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5"/>
      <c r="AA3" s="119"/>
      <c r="AB3" s="120"/>
    </row>
    <row r="4" spans="2:39" ht="18" customHeight="1" thickBot="1">
      <c r="B4" s="109"/>
      <c r="C4" s="110"/>
      <c r="D4" s="126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8"/>
      <c r="AA4" s="121"/>
      <c r="AB4" s="122"/>
    </row>
    <row r="5" spans="2:39" ht="6.6" customHeight="1"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1"/>
    </row>
    <row r="6" spans="2:39" ht="33.75" customHeight="1">
      <c r="B6" s="129" t="s">
        <v>9</v>
      </c>
      <c r="C6" s="129"/>
      <c r="D6" s="130" t="s">
        <v>73</v>
      </c>
      <c r="E6" s="131"/>
      <c r="F6" s="131"/>
      <c r="G6" s="131"/>
      <c r="H6" s="131"/>
      <c r="I6" s="131"/>
      <c r="J6" s="131"/>
      <c r="K6" s="132"/>
      <c r="L6" s="133" t="s">
        <v>10</v>
      </c>
      <c r="M6" s="134"/>
      <c r="N6" s="134"/>
      <c r="O6" s="134"/>
      <c r="P6" s="134"/>
      <c r="Q6" s="134"/>
      <c r="R6" s="134"/>
      <c r="S6" s="135"/>
      <c r="T6" s="136" t="s">
        <v>11</v>
      </c>
      <c r="U6" s="136"/>
      <c r="V6" s="136"/>
      <c r="W6" s="136"/>
      <c r="X6" s="136"/>
      <c r="Y6" s="136" t="s">
        <v>12</v>
      </c>
      <c r="Z6" s="136"/>
      <c r="AA6" s="137" t="s">
        <v>52</v>
      </c>
      <c r="AB6" s="138"/>
    </row>
    <row r="7" spans="2:39" ht="33.75" customHeight="1">
      <c r="B7" s="129" t="s">
        <v>14</v>
      </c>
      <c r="C7" s="129"/>
      <c r="D7" s="130" t="s">
        <v>74</v>
      </c>
      <c r="E7" s="131"/>
      <c r="F7" s="131"/>
      <c r="G7" s="131"/>
      <c r="H7" s="131"/>
      <c r="I7" s="131"/>
      <c r="J7" s="131"/>
      <c r="K7" s="132"/>
      <c r="L7" s="139" t="s">
        <v>15</v>
      </c>
      <c r="M7" s="140"/>
      <c r="N7" s="140"/>
      <c r="O7" s="140"/>
      <c r="P7" s="140"/>
      <c r="Q7" s="140"/>
      <c r="R7" s="140"/>
      <c r="S7" s="141"/>
      <c r="T7" s="139" t="s">
        <v>76</v>
      </c>
      <c r="U7" s="140"/>
      <c r="V7" s="140"/>
      <c r="W7" s="140"/>
      <c r="X7" s="141"/>
      <c r="Y7" s="142">
        <v>6262</v>
      </c>
      <c r="Z7" s="143"/>
      <c r="AA7" s="103" t="s">
        <v>79</v>
      </c>
      <c r="AB7" s="104"/>
    </row>
    <row r="8" spans="2:39" ht="33.75" customHeight="1">
      <c r="B8" s="129" t="s">
        <v>16</v>
      </c>
      <c r="C8" s="129"/>
      <c r="D8" s="130" t="s">
        <v>75</v>
      </c>
      <c r="E8" s="131"/>
      <c r="F8" s="131"/>
      <c r="G8" s="131"/>
      <c r="H8" s="131"/>
      <c r="I8" s="131"/>
      <c r="J8" s="131"/>
      <c r="K8" s="132"/>
      <c r="L8" s="139" t="s">
        <v>77</v>
      </c>
      <c r="M8" s="140"/>
      <c r="N8" s="140"/>
      <c r="O8" s="140"/>
      <c r="P8" s="140"/>
      <c r="Q8" s="140"/>
      <c r="R8" s="140"/>
      <c r="S8" s="141"/>
      <c r="T8" s="139" t="s">
        <v>76</v>
      </c>
      <c r="U8" s="140"/>
      <c r="V8" s="140"/>
      <c r="W8" s="140"/>
      <c r="X8" s="141"/>
      <c r="Y8" s="142">
        <v>6327</v>
      </c>
      <c r="Z8" s="143"/>
      <c r="AA8" s="103" t="s">
        <v>5</v>
      </c>
      <c r="AB8" s="104"/>
    </row>
    <row r="9" spans="2:39" ht="9" customHeight="1" thickBot="1">
      <c r="B9" s="42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4"/>
    </row>
    <row r="10" spans="2:39" ht="22.5" customHeight="1">
      <c r="B10" s="146" t="s">
        <v>18</v>
      </c>
      <c r="C10" s="148" t="s">
        <v>19</v>
      </c>
      <c r="D10" s="150" t="s">
        <v>20</v>
      </c>
      <c r="E10" s="151"/>
      <c r="F10" s="151"/>
      <c r="G10" s="151"/>
      <c r="H10" s="151"/>
      <c r="I10" s="151"/>
      <c r="J10" s="151"/>
      <c r="K10" s="152"/>
      <c r="L10" s="150" t="s">
        <v>21</v>
      </c>
      <c r="M10" s="151"/>
      <c r="N10" s="151"/>
      <c r="O10" s="151"/>
      <c r="P10" s="151"/>
      <c r="Q10" s="151"/>
      <c r="R10" s="151"/>
      <c r="S10" s="153"/>
      <c r="T10" s="154" t="s">
        <v>53</v>
      </c>
      <c r="U10" s="155"/>
      <c r="V10" s="155"/>
      <c r="W10" s="155"/>
      <c r="X10" s="155"/>
      <c r="Y10" s="155"/>
      <c r="Z10" s="155"/>
      <c r="AA10" s="155"/>
      <c r="AB10" s="144" t="s">
        <v>23</v>
      </c>
      <c r="AD10" s="45" t="s">
        <v>34</v>
      </c>
      <c r="AE10" s="45" t="s">
        <v>35</v>
      </c>
      <c r="AF10" s="45" t="s">
        <v>36</v>
      </c>
      <c r="AG10" s="45" t="s">
        <v>37</v>
      </c>
      <c r="AH10" s="45" t="s">
        <v>38</v>
      </c>
      <c r="AI10" s="45" t="s">
        <v>39</v>
      </c>
      <c r="AJ10" s="45" t="s">
        <v>40</v>
      </c>
      <c r="AK10" s="45" t="s">
        <v>41</v>
      </c>
    </row>
    <row r="11" spans="2:39" ht="48.75" customHeight="1" thickBot="1">
      <c r="B11" s="147"/>
      <c r="C11" s="149"/>
      <c r="D11" s="46" t="s">
        <v>24</v>
      </c>
      <c r="E11" s="47" t="s">
        <v>25</v>
      </c>
      <c r="F11" s="47" t="s">
        <v>26</v>
      </c>
      <c r="G11" s="47" t="s">
        <v>27</v>
      </c>
      <c r="H11" s="47" t="s">
        <v>28</v>
      </c>
      <c r="I11" s="47" t="s">
        <v>29</v>
      </c>
      <c r="J11" s="47" t="s">
        <v>30</v>
      </c>
      <c r="K11" s="48" t="s">
        <v>31</v>
      </c>
      <c r="L11" s="49" t="s">
        <v>32</v>
      </c>
      <c r="M11" s="50" t="s">
        <v>25</v>
      </c>
      <c r="N11" s="50" t="s">
        <v>26</v>
      </c>
      <c r="O11" s="50" t="s">
        <v>27</v>
      </c>
      <c r="P11" s="50" t="s">
        <v>28</v>
      </c>
      <c r="Q11" s="50" t="s">
        <v>29</v>
      </c>
      <c r="R11" s="50" t="s">
        <v>33</v>
      </c>
      <c r="S11" s="51" t="s">
        <v>31</v>
      </c>
      <c r="T11" s="52" t="s">
        <v>34</v>
      </c>
      <c r="U11" s="53" t="s">
        <v>35</v>
      </c>
      <c r="V11" s="53" t="s">
        <v>36</v>
      </c>
      <c r="W11" s="53" t="s">
        <v>37</v>
      </c>
      <c r="X11" s="53" t="s">
        <v>38</v>
      </c>
      <c r="Y11" s="53" t="s">
        <v>39</v>
      </c>
      <c r="Z11" s="53" t="s">
        <v>40</v>
      </c>
      <c r="AA11" s="54" t="s">
        <v>41</v>
      </c>
      <c r="AB11" s="145"/>
      <c r="AD11" s="1">
        <v>0.5</v>
      </c>
      <c r="AE11" s="55">
        <v>5</v>
      </c>
      <c r="AF11" s="1">
        <v>1</v>
      </c>
      <c r="AG11" s="1">
        <v>22.5</v>
      </c>
      <c r="AH11" s="1">
        <v>1</v>
      </c>
      <c r="AI11" s="1">
        <v>90</v>
      </c>
      <c r="AJ11" s="1">
        <v>0.8</v>
      </c>
      <c r="AK11" s="56">
        <v>0.05</v>
      </c>
      <c r="AL11" s="13" t="s">
        <v>27</v>
      </c>
      <c r="AM11" s="13" t="s">
        <v>37</v>
      </c>
    </row>
    <row r="12" spans="2:39" ht="15" customHeight="1">
      <c r="B12" s="81">
        <v>45506</v>
      </c>
      <c r="C12" s="57">
        <v>0</v>
      </c>
      <c r="D12" s="82">
        <v>12.964999999999998</v>
      </c>
      <c r="E12" s="58">
        <v>76.528333333333336</v>
      </c>
      <c r="F12" s="58">
        <v>569.53000000000009</v>
      </c>
      <c r="G12" s="58">
        <v>292.5</v>
      </c>
      <c r="H12" s="58">
        <v>2</v>
      </c>
      <c r="I12" s="58">
        <v>0</v>
      </c>
      <c r="J12" s="58"/>
      <c r="K12" s="83">
        <v>0</v>
      </c>
      <c r="L12" s="82">
        <v>13.216666666666667</v>
      </c>
      <c r="M12" s="58">
        <v>74.3</v>
      </c>
      <c r="N12" s="58">
        <v>568.86666666666667</v>
      </c>
      <c r="O12" s="58">
        <v>292.5</v>
      </c>
      <c r="P12" s="58">
        <v>1.6833333333333336</v>
      </c>
      <c r="Q12" s="58">
        <v>0</v>
      </c>
      <c r="R12" s="58"/>
      <c r="S12" s="84">
        <v>0</v>
      </c>
      <c r="T12" s="82">
        <f>+ABS(L12-D12)</f>
        <v>0.2516666666666687</v>
      </c>
      <c r="U12" s="58">
        <f t="shared" ref="T12:Z35" si="0">+ABS(M12-E12)</f>
        <v>2.2283333333333388</v>
      </c>
      <c r="V12" s="58">
        <f t="shared" si="0"/>
        <v>0.66333333333341216</v>
      </c>
      <c r="W12" s="58">
        <f t="shared" si="0"/>
        <v>0</v>
      </c>
      <c r="X12" s="58">
        <f t="shared" si="0"/>
        <v>0.31666666666666643</v>
      </c>
      <c r="Y12" s="90">
        <f t="shared" si="0"/>
        <v>0</v>
      </c>
      <c r="Z12" s="58">
        <f t="shared" si="0"/>
        <v>0</v>
      </c>
      <c r="AA12" s="86">
        <f>IF(AND(K12=0, S12=0), 0, IF(K12=0, 1, ABS((S12-K12)/K12)))</f>
        <v>0</v>
      </c>
      <c r="AB12" s="59" t="str">
        <f>+IF(AND(T12&lt;=$AD$11,U12&lt;=$AE$11,V12&lt;=$AF$11,W12&lt;=$AG$11,X12&lt;=$AH$11,Y12&lt;=$AI$11,Z12&lt;=$AJ$11,AA12&lt;=$AK$11),"Cumple","No cumple")</f>
        <v>Cumple</v>
      </c>
      <c r="AL12" t="s">
        <v>54</v>
      </c>
      <c r="AM12" t="s">
        <v>54</v>
      </c>
    </row>
    <row r="13" spans="2:39" ht="15" customHeight="1">
      <c r="B13" s="81">
        <v>45506</v>
      </c>
      <c r="C13" s="60">
        <v>4.1666666666666664E-2</v>
      </c>
      <c r="D13" s="85">
        <v>12.825000000000001</v>
      </c>
      <c r="E13" s="61">
        <v>76.444999999999993</v>
      </c>
      <c r="F13" s="61">
        <v>569.00833333333333</v>
      </c>
      <c r="G13" s="61">
        <v>0</v>
      </c>
      <c r="H13" s="61">
        <v>1.9516666666666664</v>
      </c>
      <c r="I13" s="61">
        <v>0</v>
      </c>
      <c r="J13" s="61"/>
      <c r="K13" s="86">
        <v>0</v>
      </c>
      <c r="L13" s="85">
        <v>13.066666666666668</v>
      </c>
      <c r="M13" s="61">
        <v>74.233333333333334</v>
      </c>
      <c r="N13" s="61">
        <v>568.16666666666663</v>
      </c>
      <c r="O13" s="61">
        <v>0</v>
      </c>
      <c r="P13" s="61">
        <v>1.45</v>
      </c>
      <c r="Q13" s="61">
        <v>0</v>
      </c>
      <c r="R13" s="61"/>
      <c r="S13" s="91">
        <v>0</v>
      </c>
      <c r="T13" s="85">
        <f t="shared" si="0"/>
        <v>0.24166666666666714</v>
      </c>
      <c r="U13" s="61">
        <f t="shared" si="0"/>
        <v>2.2116666666666589</v>
      </c>
      <c r="V13" s="61">
        <f t="shared" si="0"/>
        <v>0.84166666666669698</v>
      </c>
      <c r="W13" s="61">
        <f t="shared" si="0"/>
        <v>0</v>
      </c>
      <c r="X13" s="61">
        <f t="shared" si="0"/>
        <v>0.50166666666666648</v>
      </c>
      <c r="Y13" s="61">
        <f t="shared" si="0"/>
        <v>0</v>
      </c>
      <c r="Z13" s="61">
        <f t="shared" si="0"/>
        <v>0</v>
      </c>
      <c r="AA13" s="86">
        <f t="shared" ref="AA13:AA35" si="1">IF(AND(K13=0, S13=0), 0, IF(K13=0, 1, ABS((S13-K13)/K13)))</f>
        <v>0</v>
      </c>
      <c r="AB13" s="59" t="str">
        <f>+IF(AND(T13&lt;=$AD$11,U13&lt;=$AE$11,V13&lt;=$AF$11,W13&lt;=$AG$11,X13&lt;=$AH$11,Y13&lt;=$AI$11,Z13&lt;=$AJ$11,AA13&lt;=$AK$11),"Cumple","No cumple")</f>
        <v>Cumple</v>
      </c>
      <c r="AL13" t="s">
        <v>55</v>
      </c>
      <c r="AM13" t="s">
        <v>54</v>
      </c>
    </row>
    <row r="14" spans="2:39" ht="15" customHeight="1">
      <c r="B14" s="81">
        <v>45506</v>
      </c>
      <c r="C14" s="60">
        <v>8.3333333333333301E-2</v>
      </c>
      <c r="D14" s="85">
        <v>12.660000000000002</v>
      </c>
      <c r="E14" s="61">
        <v>76.048333333333332</v>
      </c>
      <c r="F14" s="61">
        <v>568.09</v>
      </c>
      <c r="G14" s="61">
        <v>337.5</v>
      </c>
      <c r="H14" s="61">
        <v>1.3766666666666667</v>
      </c>
      <c r="I14" s="61">
        <v>0</v>
      </c>
      <c r="J14" s="61"/>
      <c r="K14" s="86">
        <v>0</v>
      </c>
      <c r="L14" s="85">
        <v>12.916666666666666</v>
      </c>
      <c r="M14" s="61">
        <v>73.833333333333329</v>
      </c>
      <c r="N14" s="61">
        <v>567.74999999999989</v>
      </c>
      <c r="O14" s="61">
        <v>337.5</v>
      </c>
      <c r="P14" s="61">
        <v>1.05</v>
      </c>
      <c r="Q14" s="61">
        <v>0</v>
      </c>
      <c r="R14" s="61"/>
      <c r="S14" s="91">
        <v>0</v>
      </c>
      <c r="T14" s="85">
        <f t="shared" si="0"/>
        <v>0.25666666666666416</v>
      </c>
      <c r="U14" s="61">
        <f t="shared" si="0"/>
        <v>2.2150000000000034</v>
      </c>
      <c r="V14" s="61">
        <f>+ABS(N14-F14)</f>
        <v>0.34000000000014552</v>
      </c>
      <c r="W14" s="61">
        <f t="shared" si="0"/>
        <v>0</v>
      </c>
      <c r="X14" s="61">
        <f t="shared" si="0"/>
        <v>0.32666666666666666</v>
      </c>
      <c r="Y14" s="61">
        <f t="shared" si="0"/>
        <v>0</v>
      </c>
      <c r="Z14" s="61">
        <f t="shared" si="0"/>
        <v>0</v>
      </c>
      <c r="AA14" s="86">
        <f t="shared" si="1"/>
        <v>0</v>
      </c>
      <c r="AB14" s="59" t="str">
        <f>+IF(AND(T14&lt;=$AD$11,U14&lt;=$AE$11,V14&lt;=$AF$11,W14&lt;=$AG$11,X14&lt;=$AH$11,Y14&lt;=$AI$11,Z14&lt;=$AJ$11,AA14&lt;=$AK$11),"Cumple","No cumple")</f>
        <v>Cumple</v>
      </c>
      <c r="AL14" t="s">
        <v>55</v>
      </c>
      <c r="AM14" t="s">
        <v>55</v>
      </c>
    </row>
    <row r="15" spans="2:39" ht="15" customHeight="1">
      <c r="B15" s="81">
        <v>45506</v>
      </c>
      <c r="C15" s="60">
        <v>0.125</v>
      </c>
      <c r="D15" s="85">
        <v>12.555</v>
      </c>
      <c r="E15" s="61">
        <v>76.106666666666669</v>
      </c>
      <c r="F15" s="61">
        <v>568.28333333333342</v>
      </c>
      <c r="G15" s="61">
        <v>337.5</v>
      </c>
      <c r="H15" s="61">
        <v>2.1466666666666669</v>
      </c>
      <c r="I15" s="61">
        <v>0</v>
      </c>
      <c r="J15" s="61"/>
      <c r="K15" s="86">
        <v>0</v>
      </c>
      <c r="L15" s="85">
        <v>12.816666666666668</v>
      </c>
      <c r="M15" s="61">
        <v>73.866666666666674</v>
      </c>
      <c r="N15" s="61">
        <v>567.48333333333335</v>
      </c>
      <c r="O15" s="61">
        <v>337.5</v>
      </c>
      <c r="P15" s="61">
        <v>1.4666666666666668</v>
      </c>
      <c r="Q15" s="61">
        <v>0</v>
      </c>
      <c r="R15" s="61"/>
      <c r="S15" s="91">
        <v>0</v>
      </c>
      <c r="T15" s="85">
        <f t="shared" si="0"/>
        <v>0.26166666666666849</v>
      </c>
      <c r="U15" s="61">
        <f t="shared" si="0"/>
        <v>2.2399999999999949</v>
      </c>
      <c r="V15" s="61">
        <f t="shared" si="0"/>
        <v>0.80000000000006821</v>
      </c>
      <c r="W15" s="61">
        <f t="shared" si="0"/>
        <v>0</v>
      </c>
      <c r="X15" s="61">
        <f t="shared" si="0"/>
        <v>0.68000000000000016</v>
      </c>
      <c r="Y15" s="61">
        <f t="shared" si="0"/>
        <v>0</v>
      </c>
      <c r="Z15" s="61">
        <f t="shared" si="0"/>
        <v>0</v>
      </c>
      <c r="AA15" s="86">
        <f t="shared" si="1"/>
        <v>0</v>
      </c>
      <c r="AB15" s="59" t="str">
        <f t="shared" ref="AB15:AB35" si="2">+IF(AND(T15&lt;=$AD$11,U15&lt;=$AE$11,V15&lt;=$AF$11,W15&lt;=$AG$11,X15&lt;=$AH$11,Y15&lt;=$AI$11,Z15&lt;=$AJ$11,AA15&lt;=$AK$11),"Cumple","No cumple")</f>
        <v>Cumple</v>
      </c>
      <c r="AL15" t="s">
        <v>55</v>
      </c>
      <c r="AM15" t="s">
        <v>55</v>
      </c>
    </row>
    <row r="16" spans="2:39" ht="15" customHeight="1">
      <c r="B16" s="81">
        <v>45506</v>
      </c>
      <c r="C16" s="60">
        <v>0.16666666666666699</v>
      </c>
      <c r="D16" s="85">
        <v>12.244999999999999</v>
      </c>
      <c r="E16" s="61">
        <v>77.598333333333315</v>
      </c>
      <c r="F16" s="61">
        <v>568.12666666666667</v>
      </c>
      <c r="G16" s="61">
        <v>0</v>
      </c>
      <c r="H16" s="61">
        <v>1.58</v>
      </c>
      <c r="I16" s="61">
        <v>0</v>
      </c>
      <c r="J16" s="61"/>
      <c r="K16" s="86">
        <v>0</v>
      </c>
      <c r="L16" s="85">
        <v>12.5</v>
      </c>
      <c r="M16" s="61">
        <v>75.333333333333329</v>
      </c>
      <c r="N16" s="61">
        <v>567.44999999999993</v>
      </c>
      <c r="O16" s="61">
        <v>0</v>
      </c>
      <c r="P16" s="61">
        <v>1.0833333333333333</v>
      </c>
      <c r="Q16" s="61">
        <v>0</v>
      </c>
      <c r="R16" s="61"/>
      <c r="S16" s="91">
        <v>0</v>
      </c>
      <c r="T16" s="85">
        <f t="shared" si="0"/>
        <v>0.25500000000000078</v>
      </c>
      <c r="U16" s="61">
        <f t="shared" si="0"/>
        <v>2.2649999999999864</v>
      </c>
      <c r="V16" s="61">
        <f t="shared" si="0"/>
        <v>0.67666666666673336</v>
      </c>
      <c r="W16" s="61">
        <f t="shared" si="0"/>
        <v>0</v>
      </c>
      <c r="X16" s="61">
        <f t="shared" si="0"/>
        <v>0.49666666666666681</v>
      </c>
      <c r="Y16" s="61">
        <f t="shared" si="0"/>
        <v>0</v>
      </c>
      <c r="Z16" s="61">
        <f t="shared" si="0"/>
        <v>0</v>
      </c>
      <c r="AA16" s="86">
        <f t="shared" si="1"/>
        <v>0</v>
      </c>
      <c r="AB16" s="59" t="str">
        <f t="shared" si="2"/>
        <v>Cumple</v>
      </c>
      <c r="AL16" t="s">
        <v>56</v>
      </c>
      <c r="AM16" t="s">
        <v>57</v>
      </c>
    </row>
    <row r="17" spans="2:39" ht="15" customHeight="1">
      <c r="B17" s="81">
        <v>45506</v>
      </c>
      <c r="C17" s="60">
        <v>0.20833333333333301</v>
      </c>
      <c r="D17" s="85">
        <v>12.204999999999998</v>
      </c>
      <c r="E17" s="61">
        <v>76.986666666666665</v>
      </c>
      <c r="F17" s="61">
        <v>568.48833333333346</v>
      </c>
      <c r="G17" s="61">
        <v>0</v>
      </c>
      <c r="H17" s="61">
        <v>1.9516666666666669</v>
      </c>
      <c r="I17" s="61">
        <v>0</v>
      </c>
      <c r="J17" s="61"/>
      <c r="K17" s="86">
        <v>0</v>
      </c>
      <c r="L17" s="85">
        <v>12.466666666666667</v>
      </c>
      <c r="M17" s="61">
        <v>74.733333333333334</v>
      </c>
      <c r="N17" s="61">
        <v>568.15000000000009</v>
      </c>
      <c r="O17" s="61">
        <v>0</v>
      </c>
      <c r="P17" s="61">
        <v>1.2833333333333334</v>
      </c>
      <c r="Q17" s="61">
        <v>0</v>
      </c>
      <c r="R17" s="61"/>
      <c r="S17" s="91">
        <v>0</v>
      </c>
      <c r="T17" s="85">
        <f t="shared" si="0"/>
        <v>0.26166666666666849</v>
      </c>
      <c r="U17" s="61">
        <f t="shared" si="0"/>
        <v>2.2533333333333303</v>
      </c>
      <c r="V17" s="61">
        <f t="shared" si="0"/>
        <v>0.33833333333336668</v>
      </c>
      <c r="W17" s="61">
        <f t="shared" si="0"/>
        <v>0</v>
      </c>
      <c r="X17" s="61">
        <f t="shared" si="0"/>
        <v>0.66833333333333345</v>
      </c>
      <c r="Y17" s="61">
        <f t="shared" si="0"/>
        <v>0</v>
      </c>
      <c r="Z17" s="61">
        <f t="shared" si="0"/>
        <v>0</v>
      </c>
      <c r="AA17" s="86">
        <f t="shared" si="1"/>
        <v>0</v>
      </c>
      <c r="AB17" s="59" t="str">
        <f t="shared" si="2"/>
        <v>Cumple</v>
      </c>
      <c r="AL17" t="s">
        <v>58</v>
      </c>
      <c r="AM17" t="s">
        <v>58</v>
      </c>
    </row>
    <row r="18" spans="2:39" ht="15" customHeight="1">
      <c r="B18" s="81">
        <v>45506</v>
      </c>
      <c r="C18" s="60">
        <v>0.25</v>
      </c>
      <c r="D18" s="85">
        <v>12.08333333333333</v>
      </c>
      <c r="E18" s="61">
        <v>77.150000000000006</v>
      </c>
      <c r="F18" s="61">
        <v>568.70833333333337</v>
      </c>
      <c r="G18" s="61">
        <v>315</v>
      </c>
      <c r="H18" s="61">
        <v>1.0683333333333334</v>
      </c>
      <c r="I18" s="61">
        <v>66.533333333333331</v>
      </c>
      <c r="J18" s="61"/>
      <c r="K18" s="86">
        <v>0</v>
      </c>
      <c r="L18" s="85">
        <v>12.316666666666665</v>
      </c>
      <c r="M18" s="61">
        <v>74.900000000000006</v>
      </c>
      <c r="N18" s="61">
        <v>568.4</v>
      </c>
      <c r="O18" s="61">
        <v>315</v>
      </c>
      <c r="P18" s="61">
        <v>0.73333333333333328</v>
      </c>
      <c r="Q18" s="61">
        <v>30.016666666666666</v>
      </c>
      <c r="R18" s="61"/>
      <c r="S18" s="91">
        <v>0</v>
      </c>
      <c r="T18" s="85">
        <f t="shared" si="0"/>
        <v>0.23333333333333428</v>
      </c>
      <c r="U18" s="61">
        <f t="shared" si="0"/>
        <v>2.25</v>
      </c>
      <c r="V18" s="61">
        <f t="shared" si="0"/>
        <v>0.30833333333339397</v>
      </c>
      <c r="W18" s="61">
        <f t="shared" si="0"/>
        <v>0</v>
      </c>
      <c r="X18" s="61">
        <f t="shared" si="0"/>
        <v>0.33500000000000008</v>
      </c>
      <c r="Y18" s="61">
        <f t="shared" si="0"/>
        <v>36.516666666666666</v>
      </c>
      <c r="Z18" s="61">
        <f t="shared" si="0"/>
        <v>0</v>
      </c>
      <c r="AA18" s="86">
        <f t="shared" si="1"/>
        <v>0</v>
      </c>
      <c r="AB18" s="59" t="str">
        <f t="shared" si="2"/>
        <v>Cumple</v>
      </c>
      <c r="AL18" t="s">
        <v>55</v>
      </c>
      <c r="AM18" t="s">
        <v>55</v>
      </c>
    </row>
    <row r="19" spans="2:39" ht="15" customHeight="1">
      <c r="B19" s="81">
        <v>45506</v>
      </c>
      <c r="C19" s="60">
        <v>0.29166666666666702</v>
      </c>
      <c r="D19" s="85">
        <v>13.881666666666666</v>
      </c>
      <c r="E19" s="61">
        <v>68.265000000000001</v>
      </c>
      <c r="F19" s="61">
        <v>568.86500000000012</v>
      </c>
      <c r="G19" s="61">
        <v>67.5</v>
      </c>
      <c r="H19" s="61">
        <v>1.4716666666666667</v>
      </c>
      <c r="I19" s="61">
        <v>236.79166666666666</v>
      </c>
      <c r="J19" s="61"/>
      <c r="K19" s="86">
        <v>0</v>
      </c>
      <c r="L19" s="85">
        <v>14.166666666666666</v>
      </c>
      <c r="M19" s="61">
        <v>66.283333333333331</v>
      </c>
      <c r="N19" s="61">
        <v>568.36666666666656</v>
      </c>
      <c r="O19" s="61">
        <v>67.5</v>
      </c>
      <c r="P19" s="61">
        <v>0.81666666666666676</v>
      </c>
      <c r="Q19" s="61">
        <v>179.13333333333333</v>
      </c>
      <c r="R19" s="61"/>
      <c r="S19" s="91">
        <v>0</v>
      </c>
      <c r="T19" s="85">
        <f t="shared" si="0"/>
        <v>0.28500000000000014</v>
      </c>
      <c r="U19" s="61">
        <f t="shared" si="0"/>
        <v>1.9816666666666691</v>
      </c>
      <c r="V19" s="61">
        <f t="shared" si="0"/>
        <v>0.49833333333356222</v>
      </c>
      <c r="W19" s="61">
        <f t="shared" si="0"/>
        <v>0</v>
      </c>
      <c r="X19" s="61">
        <f t="shared" si="0"/>
        <v>0.65499999999999992</v>
      </c>
      <c r="Y19" s="61">
        <f t="shared" si="0"/>
        <v>57.658333333333331</v>
      </c>
      <c r="Z19" s="61">
        <f t="shared" si="0"/>
        <v>0</v>
      </c>
      <c r="AA19" s="86">
        <f t="shared" si="1"/>
        <v>0</v>
      </c>
      <c r="AB19" s="59" t="str">
        <f t="shared" si="2"/>
        <v>Cumple</v>
      </c>
      <c r="AL19" t="s">
        <v>55</v>
      </c>
      <c r="AM19" t="s">
        <v>55</v>
      </c>
    </row>
    <row r="20" spans="2:39" ht="15" customHeight="1">
      <c r="B20" s="81">
        <v>45506</v>
      </c>
      <c r="C20" s="60">
        <v>0.33333333333333298</v>
      </c>
      <c r="D20" s="85">
        <v>15.391666666666666</v>
      </c>
      <c r="E20" s="61">
        <v>59.125</v>
      </c>
      <c r="F20" s="61">
        <v>568.70500000000004</v>
      </c>
      <c r="G20" s="61">
        <v>90</v>
      </c>
      <c r="H20" s="61">
        <v>1.37</v>
      </c>
      <c r="I20" s="61">
        <v>381.79166666666669</v>
      </c>
      <c r="J20" s="61"/>
      <c r="K20" s="86">
        <v>0</v>
      </c>
      <c r="L20" s="85">
        <v>15.716666666666667</v>
      </c>
      <c r="M20" s="61">
        <v>57.416666666666664</v>
      </c>
      <c r="N20" s="61">
        <v>568.0333333333333</v>
      </c>
      <c r="O20" s="61">
        <v>90</v>
      </c>
      <c r="P20" s="61">
        <v>1.0333333333333334</v>
      </c>
      <c r="Q20" s="61">
        <v>327.4666666666667</v>
      </c>
      <c r="R20" s="61"/>
      <c r="S20" s="91">
        <v>0</v>
      </c>
      <c r="T20" s="85">
        <f t="shared" si="0"/>
        <v>0.32500000000000107</v>
      </c>
      <c r="U20" s="61">
        <f t="shared" si="0"/>
        <v>1.7083333333333357</v>
      </c>
      <c r="V20" s="61">
        <f t="shared" si="0"/>
        <v>0.67166666666673791</v>
      </c>
      <c r="W20" s="61">
        <f t="shared" si="0"/>
        <v>0</v>
      </c>
      <c r="X20" s="61">
        <f t="shared" si="0"/>
        <v>0.33666666666666667</v>
      </c>
      <c r="Y20" s="61">
        <f t="shared" si="0"/>
        <v>54.324999999999989</v>
      </c>
      <c r="Z20" s="61">
        <f t="shared" si="0"/>
        <v>0</v>
      </c>
      <c r="AA20" s="86">
        <f t="shared" si="1"/>
        <v>0</v>
      </c>
      <c r="AB20" s="59" t="str">
        <f t="shared" si="2"/>
        <v>Cumple</v>
      </c>
      <c r="AL20" t="s">
        <v>55</v>
      </c>
      <c r="AM20" t="s">
        <v>55</v>
      </c>
    </row>
    <row r="21" spans="2:39" ht="15" customHeight="1">
      <c r="B21" s="81">
        <v>45506</v>
      </c>
      <c r="C21" s="60">
        <v>0.375</v>
      </c>
      <c r="D21" s="85">
        <v>16.658333333333335</v>
      </c>
      <c r="E21" s="61">
        <v>50.271666666666668</v>
      </c>
      <c r="F21" s="61">
        <v>568.57666666666671</v>
      </c>
      <c r="G21" s="61">
        <v>22.5</v>
      </c>
      <c r="H21" s="61">
        <v>2.2216666666666667</v>
      </c>
      <c r="I21" s="61">
        <v>501.49499999999989</v>
      </c>
      <c r="J21" s="61"/>
      <c r="K21" s="86">
        <v>0</v>
      </c>
      <c r="L21" s="85">
        <v>17.016666666666669</v>
      </c>
      <c r="M21" s="61">
        <v>48.81666666666667</v>
      </c>
      <c r="N21" s="61">
        <v>568.1</v>
      </c>
      <c r="O21" s="61">
        <v>22.5</v>
      </c>
      <c r="P21" s="61">
        <v>1.5666666666666667</v>
      </c>
      <c r="Q21" s="61">
        <v>474.35000000000008</v>
      </c>
      <c r="R21" s="61"/>
      <c r="S21" s="91">
        <v>0</v>
      </c>
      <c r="T21" s="85">
        <f t="shared" si="0"/>
        <v>0.35833333333333428</v>
      </c>
      <c r="U21" s="61">
        <f t="shared" si="0"/>
        <v>1.4549999999999983</v>
      </c>
      <c r="V21" s="61">
        <f t="shared" si="0"/>
        <v>0.47666666666668789</v>
      </c>
      <c r="W21" s="61">
        <f t="shared" si="0"/>
        <v>0</v>
      </c>
      <c r="X21" s="61">
        <f t="shared" si="0"/>
        <v>0.65500000000000003</v>
      </c>
      <c r="Y21" s="61">
        <f t="shared" si="0"/>
        <v>27.144999999999811</v>
      </c>
      <c r="Z21" s="61">
        <f t="shared" si="0"/>
        <v>0</v>
      </c>
      <c r="AA21" s="86">
        <f t="shared" si="1"/>
        <v>0</v>
      </c>
      <c r="AB21" s="59" t="str">
        <f t="shared" si="2"/>
        <v>Cumple</v>
      </c>
      <c r="AL21" t="s">
        <v>58</v>
      </c>
      <c r="AM21" t="s">
        <v>58</v>
      </c>
    </row>
    <row r="22" spans="2:39" ht="15" customHeight="1">
      <c r="B22" s="81">
        <v>45506</v>
      </c>
      <c r="C22" s="60">
        <v>0.41666666666666702</v>
      </c>
      <c r="D22" s="85">
        <v>17.736666666666665</v>
      </c>
      <c r="E22" s="61">
        <v>41.096666666666664</v>
      </c>
      <c r="F22" s="61">
        <v>568.1450000000001</v>
      </c>
      <c r="G22" s="61">
        <v>112.5</v>
      </c>
      <c r="H22" s="61">
        <v>3.4333333333333331</v>
      </c>
      <c r="I22" s="61">
        <v>596.16333333333341</v>
      </c>
      <c r="J22" s="61"/>
      <c r="K22" s="86">
        <v>0</v>
      </c>
      <c r="L22" s="85">
        <v>18.099999999999998</v>
      </c>
      <c r="M22" s="61">
        <v>39.916666666666664</v>
      </c>
      <c r="N22" s="61">
        <v>567.83333333333326</v>
      </c>
      <c r="O22" s="61">
        <v>112.5</v>
      </c>
      <c r="P22" s="61">
        <v>2.7833333333333332</v>
      </c>
      <c r="Q22" s="61">
        <v>545.80000000000007</v>
      </c>
      <c r="R22" s="61"/>
      <c r="S22" s="91">
        <v>0</v>
      </c>
      <c r="T22" s="85">
        <f t="shared" si="0"/>
        <v>0.36333333333333329</v>
      </c>
      <c r="U22" s="61">
        <f t="shared" si="0"/>
        <v>1.1799999999999997</v>
      </c>
      <c r="V22" s="61">
        <f t="shared" si="0"/>
        <v>0.31166666666683795</v>
      </c>
      <c r="W22" s="61">
        <f t="shared" si="0"/>
        <v>0</v>
      </c>
      <c r="X22" s="61">
        <f t="shared" si="0"/>
        <v>0.64999999999999991</v>
      </c>
      <c r="Y22" s="61">
        <f t="shared" si="0"/>
        <v>50.363333333333344</v>
      </c>
      <c r="Z22" s="61">
        <f t="shared" si="0"/>
        <v>0</v>
      </c>
      <c r="AA22" s="86">
        <f t="shared" si="1"/>
        <v>0</v>
      </c>
      <c r="AB22" s="59" t="str">
        <f t="shared" si="2"/>
        <v>Cumple</v>
      </c>
      <c r="AL22" t="s">
        <v>58</v>
      </c>
      <c r="AM22" t="s">
        <v>59</v>
      </c>
    </row>
    <row r="23" spans="2:39" ht="15" customHeight="1">
      <c r="B23" s="81">
        <v>45506</v>
      </c>
      <c r="C23" s="60">
        <v>0.45833333333333298</v>
      </c>
      <c r="D23" s="85">
        <v>18.239999999999998</v>
      </c>
      <c r="E23" s="61">
        <v>41.5</v>
      </c>
      <c r="F23" s="61">
        <v>567.75166666666667</v>
      </c>
      <c r="G23" s="61">
        <v>135</v>
      </c>
      <c r="H23" s="61">
        <v>3.5916666666666668</v>
      </c>
      <c r="I23" s="61">
        <v>605.75500000000011</v>
      </c>
      <c r="J23" s="61"/>
      <c r="K23" s="86">
        <v>0</v>
      </c>
      <c r="L23" s="85">
        <v>18.616666666666667</v>
      </c>
      <c r="M23" s="61">
        <v>40.299999999999997</v>
      </c>
      <c r="N23" s="61">
        <v>567.25</v>
      </c>
      <c r="O23" s="61">
        <v>112.5</v>
      </c>
      <c r="P23" s="61">
        <v>3.2666666666666671</v>
      </c>
      <c r="Q23" s="61">
        <v>569.93333333333328</v>
      </c>
      <c r="R23" s="61"/>
      <c r="S23" s="91">
        <v>0</v>
      </c>
      <c r="T23" s="85">
        <f t="shared" si="0"/>
        <v>0.3766666666666687</v>
      </c>
      <c r="U23" s="61">
        <f t="shared" si="0"/>
        <v>1.2000000000000028</v>
      </c>
      <c r="V23" s="61">
        <f t="shared" si="0"/>
        <v>0.50166666666666515</v>
      </c>
      <c r="W23" s="61">
        <f t="shared" si="0"/>
        <v>22.5</v>
      </c>
      <c r="X23" s="61">
        <f t="shared" si="0"/>
        <v>0.32499999999999973</v>
      </c>
      <c r="Y23" s="61">
        <f>+ABS(Q23-I23)</f>
        <v>35.821666666666829</v>
      </c>
      <c r="Z23" s="61">
        <f t="shared" si="0"/>
        <v>0</v>
      </c>
      <c r="AA23" s="86">
        <f t="shared" si="1"/>
        <v>0</v>
      </c>
      <c r="AB23" s="59" t="str">
        <f t="shared" si="2"/>
        <v>Cumple</v>
      </c>
      <c r="AL23" t="s">
        <v>58</v>
      </c>
      <c r="AM23" t="s">
        <v>58</v>
      </c>
    </row>
    <row r="24" spans="2:39" ht="15" customHeight="1">
      <c r="B24" s="81">
        <v>45506</v>
      </c>
      <c r="C24" s="60">
        <v>0.5</v>
      </c>
      <c r="D24" s="85">
        <v>18.751666666666669</v>
      </c>
      <c r="E24" s="61">
        <v>41.751666666666672</v>
      </c>
      <c r="F24" s="61">
        <v>567.49666666666667</v>
      </c>
      <c r="G24" s="61">
        <v>67.5</v>
      </c>
      <c r="H24" s="61">
        <v>4.2366666666666672</v>
      </c>
      <c r="I24" s="61">
        <v>778.86666666666667</v>
      </c>
      <c r="J24" s="61"/>
      <c r="K24" s="86">
        <v>0</v>
      </c>
      <c r="L24" s="85">
        <v>19.133333333333336</v>
      </c>
      <c r="M24" s="61">
        <v>40.516666666666673</v>
      </c>
      <c r="N24" s="61">
        <v>566.83333333333326</v>
      </c>
      <c r="O24" s="61">
        <v>67.5</v>
      </c>
      <c r="P24" s="61">
        <v>3.5833333333333339</v>
      </c>
      <c r="Q24" s="61">
        <v>738.18333333333339</v>
      </c>
      <c r="R24" s="61"/>
      <c r="S24" s="91">
        <v>0</v>
      </c>
      <c r="T24" s="85">
        <f t="shared" si="0"/>
        <v>0.38166666666666771</v>
      </c>
      <c r="U24" s="61">
        <f t="shared" si="0"/>
        <v>1.2349999999999994</v>
      </c>
      <c r="V24" s="61">
        <f t="shared" si="0"/>
        <v>0.66333333333341216</v>
      </c>
      <c r="W24" s="61">
        <f t="shared" si="0"/>
        <v>0</v>
      </c>
      <c r="X24" s="61">
        <f t="shared" si="0"/>
        <v>0.65333333333333332</v>
      </c>
      <c r="Y24" s="61">
        <f t="shared" si="0"/>
        <v>40.68333333333328</v>
      </c>
      <c r="Z24" s="61">
        <f t="shared" si="0"/>
        <v>0</v>
      </c>
      <c r="AA24" s="86">
        <f t="shared" si="1"/>
        <v>0</v>
      </c>
      <c r="AB24" s="59" t="str">
        <f t="shared" si="2"/>
        <v>Cumple</v>
      </c>
      <c r="AL24" t="s">
        <v>58</v>
      </c>
      <c r="AM24" t="s">
        <v>58</v>
      </c>
    </row>
    <row r="25" spans="2:39" ht="15" customHeight="1">
      <c r="B25" s="81">
        <v>45506</v>
      </c>
      <c r="C25" s="60">
        <v>0.54166666666666696</v>
      </c>
      <c r="D25" s="85">
        <v>18.798333333333336</v>
      </c>
      <c r="E25" s="61">
        <v>42.873333333333335</v>
      </c>
      <c r="F25" s="61">
        <v>566.89</v>
      </c>
      <c r="G25" s="61">
        <v>45</v>
      </c>
      <c r="H25" s="61">
        <v>4.0916666666666677</v>
      </c>
      <c r="I25" s="92">
        <v>344.81166666666667</v>
      </c>
      <c r="J25" s="61"/>
      <c r="K25" s="91">
        <v>0</v>
      </c>
      <c r="L25" s="93">
        <v>19.2</v>
      </c>
      <c r="M25" s="61">
        <v>41.616666666666667</v>
      </c>
      <c r="N25" s="61">
        <v>566.2166666666667</v>
      </c>
      <c r="O25" s="61">
        <v>45</v>
      </c>
      <c r="P25" s="61">
        <v>3.2666666666666662</v>
      </c>
      <c r="Q25" s="92">
        <v>301.48333333333335</v>
      </c>
      <c r="R25" s="61"/>
      <c r="S25" s="91">
        <v>0</v>
      </c>
      <c r="T25" s="85">
        <f t="shared" si="0"/>
        <v>0.40166666666666373</v>
      </c>
      <c r="U25" s="61">
        <f t="shared" si="0"/>
        <v>1.2566666666666677</v>
      </c>
      <c r="V25" s="61">
        <f t="shared" si="0"/>
        <v>0.67333333333328937</v>
      </c>
      <c r="W25" s="61">
        <f t="shared" si="0"/>
        <v>0</v>
      </c>
      <c r="X25" s="61">
        <f t="shared" si="0"/>
        <v>0.82500000000000151</v>
      </c>
      <c r="Y25" s="61">
        <f t="shared" si="0"/>
        <v>43.328333333333319</v>
      </c>
      <c r="Z25" s="61">
        <f t="shared" si="0"/>
        <v>0</v>
      </c>
      <c r="AA25" s="86">
        <f t="shared" si="1"/>
        <v>0</v>
      </c>
      <c r="AB25" s="59" t="str">
        <f t="shared" si="2"/>
        <v>Cumple</v>
      </c>
      <c r="AL25" t="s">
        <v>60</v>
      </c>
      <c r="AM25" t="s">
        <v>60</v>
      </c>
    </row>
    <row r="26" spans="2:39" ht="15" customHeight="1">
      <c r="B26" s="81">
        <v>45506</v>
      </c>
      <c r="C26" s="60">
        <v>0.58333333333333304</v>
      </c>
      <c r="D26" s="85">
        <v>18.268333333333334</v>
      </c>
      <c r="E26" s="61">
        <v>45.854999999999997</v>
      </c>
      <c r="F26" s="61">
        <v>566.45666666666659</v>
      </c>
      <c r="G26" s="61">
        <v>67.5</v>
      </c>
      <c r="H26" s="61">
        <v>4.2633333333333328</v>
      </c>
      <c r="I26" s="92">
        <v>278.08833333333331</v>
      </c>
      <c r="J26" s="61"/>
      <c r="K26" s="91">
        <v>0</v>
      </c>
      <c r="L26" s="93">
        <v>18.650000000000002</v>
      </c>
      <c r="M26" s="61">
        <v>44.516666666666673</v>
      </c>
      <c r="N26" s="61">
        <v>565.61666666666667</v>
      </c>
      <c r="O26" s="61">
        <v>67.5</v>
      </c>
      <c r="P26" s="61">
        <v>3.5833333333333335</v>
      </c>
      <c r="Q26" s="92">
        <v>238.26666666666665</v>
      </c>
      <c r="R26" s="61"/>
      <c r="S26" s="91">
        <v>0</v>
      </c>
      <c r="T26" s="85">
        <f t="shared" si="0"/>
        <v>0.38166666666666771</v>
      </c>
      <c r="U26" s="61">
        <f t="shared" si="0"/>
        <v>1.338333333333324</v>
      </c>
      <c r="V26" s="61">
        <f t="shared" si="0"/>
        <v>0.83999999999991815</v>
      </c>
      <c r="W26" s="61">
        <f t="shared" si="0"/>
        <v>0</v>
      </c>
      <c r="X26" s="61">
        <f t="shared" si="0"/>
        <v>0.67999999999999927</v>
      </c>
      <c r="Y26" s="61">
        <f t="shared" si="0"/>
        <v>39.821666666666658</v>
      </c>
      <c r="Z26" s="61">
        <f t="shared" si="0"/>
        <v>0</v>
      </c>
      <c r="AA26" s="86">
        <f t="shared" si="1"/>
        <v>0</v>
      </c>
      <c r="AB26" s="59" t="str">
        <f t="shared" si="2"/>
        <v>Cumple</v>
      </c>
      <c r="AL26" t="s">
        <v>61</v>
      </c>
      <c r="AM26" t="s">
        <v>61</v>
      </c>
    </row>
    <row r="27" spans="2:39" ht="15" customHeight="1">
      <c r="B27" s="81">
        <v>45506</v>
      </c>
      <c r="C27" s="60">
        <v>0.625</v>
      </c>
      <c r="D27" s="85">
        <v>18.108333333333331</v>
      </c>
      <c r="E27" s="61">
        <v>46.861666666666672</v>
      </c>
      <c r="F27" s="61">
        <v>565.58333333333337</v>
      </c>
      <c r="G27" s="61">
        <v>90</v>
      </c>
      <c r="H27" s="61">
        <v>4.4566666666666661</v>
      </c>
      <c r="I27" s="92">
        <v>464.95833333333331</v>
      </c>
      <c r="J27" s="61"/>
      <c r="K27" s="91">
        <v>0</v>
      </c>
      <c r="L27" s="93">
        <v>18.5</v>
      </c>
      <c r="M27" s="61">
        <v>45.483333333333327</v>
      </c>
      <c r="N27" s="61">
        <v>565.26666666666677</v>
      </c>
      <c r="O27" s="61">
        <v>90</v>
      </c>
      <c r="P27" s="61">
        <v>3.6333333333333333</v>
      </c>
      <c r="Q27" s="92">
        <v>435.61666666666662</v>
      </c>
      <c r="R27" s="61"/>
      <c r="S27" s="91">
        <v>0</v>
      </c>
      <c r="T27" s="85">
        <f t="shared" si="0"/>
        <v>0.39166666666666927</v>
      </c>
      <c r="U27" s="61">
        <f t="shared" si="0"/>
        <v>1.3783333333333445</v>
      </c>
      <c r="V27" s="61">
        <f t="shared" si="0"/>
        <v>0.31666666666660603</v>
      </c>
      <c r="W27" s="61">
        <f t="shared" si="0"/>
        <v>0</v>
      </c>
      <c r="X27" s="61">
        <f t="shared" si="0"/>
        <v>0.82333333333333281</v>
      </c>
      <c r="Y27" s="61">
        <f t="shared" si="0"/>
        <v>29.341666666666697</v>
      </c>
      <c r="Z27" s="61">
        <f t="shared" si="0"/>
        <v>0</v>
      </c>
      <c r="AA27" s="86">
        <f t="shared" si="1"/>
        <v>0</v>
      </c>
      <c r="AB27" s="59" t="str">
        <f t="shared" si="2"/>
        <v>Cumple</v>
      </c>
      <c r="AL27" t="s">
        <v>60</v>
      </c>
      <c r="AM27" t="s">
        <v>60</v>
      </c>
    </row>
    <row r="28" spans="2:39" ht="15" customHeight="1">
      <c r="B28" s="81">
        <v>45506</v>
      </c>
      <c r="C28" s="60">
        <v>0.66666666666666696</v>
      </c>
      <c r="D28" s="85">
        <v>17.875</v>
      </c>
      <c r="E28" s="61">
        <v>47.544999999999995</v>
      </c>
      <c r="F28" s="61">
        <v>565.5200000000001</v>
      </c>
      <c r="G28" s="61">
        <v>135</v>
      </c>
      <c r="H28" s="61">
        <v>3.3383333333333329</v>
      </c>
      <c r="I28" s="92">
        <v>90.605000000000004</v>
      </c>
      <c r="J28" s="61"/>
      <c r="K28" s="91">
        <v>0</v>
      </c>
      <c r="L28" s="93">
        <v>18.266666666666666</v>
      </c>
      <c r="M28" s="61">
        <v>46.166666666666664</v>
      </c>
      <c r="N28" s="61">
        <v>564.85</v>
      </c>
      <c r="O28" s="61">
        <v>135</v>
      </c>
      <c r="P28" s="61">
        <v>3.0166666666666671</v>
      </c>
      <c r="Q28" s="92">
        <v>48.283333333333339</v>
      </c>
      <c r="R28" s="61"/>
      <c r="S28" s="91">
        <v>0</v>
      </c>
      <c r="T28" s="85">
        <f t="shared" si="0"/>
        <v>0.39166666666666572</v>
      </c>
      <c r="U28" s="61">
        <f t="shared" si="0"/>
        <v>1.3783333333333303</v>
      </c>
      <c r="V28" s="61">
        <f t="shared" si="0"/>
        <v>0.67000000000007276</v>
      </c>
      <c r="W28" s="61">
        <f t="shared" si="0"/>
        <v>0</v>
      </c>
      <c r="X28" s="61">
        <f t="shared" si="0"/>
        <v>0.32166666666666588</v>
      </c>
      <c r="Y28" s="61">
        <f t="shared" si="0"/>
        <v>42.321666666666665</v>
      </c>
      <c r="Z28" s="61">
        <f t="shared" si="0"/>
        <v>0</v>
      </c>
      <c r="AA28" s="86">
        <f t="shared" si="1"/>
        <v>0</v>
      </c>
      <c r="AB28" s="59" t="str">
        <f t="shared" si="2"/>
        <v>Cumple</v>
      </c>
      <c r="AL28" t="s">
        <v>62</v>
      </c>
      <c r="AM28" t="s">
        <v>63</v>
      </c>
    </row>
    <row r="29" spans="2:39" ht="15" customHeight="1">
      <c r="B29" s="81">
        <v>45506</v>
      </c>
      <c r="C29" s="60">
        <v>0.70833333333333304</v>
      </c>
      <c r="D29" s="85">
        <v>17.716666666666669</v>
      </c>
      <c r="E29" s="61">
        <v>46.063333333333333</v>
      </c>
      <c r="F29" s="61">
        <v>565.17000000000007</v>
      </c>
      <c r="G29" s="61">
        <v>157.5</v>
      </c>
      <c r="H29" s="61">
        <v>3.1066666666666669</v>
      </c>
      <c r="I29" s="92">
        <v>94.44</v>
      </c>
      <c r="J29" s="61"/>
      <c r="K29" s="91">
        <v>0</v>
      </c>
      <c r="L29" s="93">
        <v>18.083333333333332</v>
      </c>
      <c r="M29" s="61">
        <v>44.716666666666669</v>
      </c>
      <c r="N29" s="61">
        <v>565.01666666666665</v>
      </c>
      <c r="O29" s="61">
        <v>157.5</v>
      </c>
      <c r="P29" s="61">
        <v>2.4333333333333331</v>
      </c>
      <c r="Q29" s="92">
        <v>57.766666666666659</v>
      </c>
      <c r="R29" s="61"/>
      <c r="S29" s="91">
        <v>0</v>
      </c>
      <c r="T29" s="85">
        <f t="shared" si="0"/>
        <v>0.36666666666666359</v>
      </c>
      <c r="U29" s="61">
        <f t="shared" si="0"/>
        <v>1.346666666666664</v>
      </c>
      <c r="V29" s="61">
        <f t="shared" si="0"/>
        <v>0.15333333333342125</v>
      </c>
      <c r="W29" s="61">
        <f t="shared" si="0"/>
        <v>0</v>
      </c>
      <c r="X29" s="61">
        <f t="shared" si="0"/>
        <v>0.67333333333333378</v>
      </c>
      <c r="Y29" s="61">
        <f t="shared" si="0"/>
        <v>36.673333333333339</v>
      </c>
      <c r="Z29" s="61">
        <f t="shared" si="0"/>
        <v>0</v>
      </c>
      <c r="AA29" s="86">
        <f t="shared" si="1"/>
        <v>0</v>
      </c>
      <c r="AB29" s="59" t="str">
        <f t="shared" si="2"/>
        <v>Cumple</v>
      </c>
      <c r="AL29" t="s">
        <v>64</v>
      </c>
      <c r="AM29" t="s">
        <v>64</v>
      </c>
    </row>
    <row r="30" spans="2:39" ht="15" customHeight="1">
      <c r="B30" s="81">
        <v>45506</v>
      </c>
      <c r="C30" s="60">
        <v>0.75</v>
      </c>
      <c r="D30" s="85">
        <v>16.495000000000001</v>
      </c>
      <c r="E30" s="61">
        <v>63.301666666666669</v>
      </c>
      <c r="F30" s="61">
        <v>566.32999999999993</v>
      </c>
      <c r="G30" s="61">
        <v>225</v>
      </c>
      <c r="H30" s="61">
        <v>2.3233333333333333</v>
      </c>
      <c r="I30" s="92">
        <v>15.535000000000002</v>
      </c>
      <c r="J30" s="61"/>
      <c r="K30" s="91">
        <v>0</v>
      </c>
      <c r="L30" s="93">
        <v>16.816666666666666</v>
      </c>
      <c r="M30" s="61">
        <v>61.449999999999996</v>
      </c>
      <c r="N30" s="61">
        <v>565.68333333333339</v>
      </c>
      <c r="O30" s="61">
        <v>225</v>
      </c>
      <c r="P30" s="61">
        <v>1.8500000000000003</v>
      </c>
      <c r="Q30" s="92">
        <v>3.1999999999999997</v>
      </c>
      <c r="R30" s="61"/>
      <c r="S30" s="91">
        <v>0</v>
      </c>
      <c r="T30" s="85">
        <f t="shared" si="0"/>
        <v>0.32166666666666544</v>
      </c>
      <c r="U30" s="61">
        <f t="shared" si="0"/>
        <v>1.8516666666666737</v>
      </c>
      <c r="V30" s="61">
        <f t="shared" si="0"/>
        <v>0.64666666666653327</v>
      </c>
      <c r="W30" s="61">
        <f t="shared" si="0"/>
        <v>0</v>
      </c>
      <c r="X30" s="61">
        <f t="shared" si="0"/>
        <v>0.47333333333333294</v>
      </c>
      <c r="Y30" s="61">
        <f t="shared" si="0"/>
        <v>12.335000000000003</v>
      </c>
      <c r="Z30" s="61">
        <f t="shared" si="0"/>
        <v>0</v>
      </c>
      <c r="AA30" s="86">
        <f t="shared" si="1"/>
        <v>0</v>
      </c>
      <c r="AB30" s="59" t="str">
        <f t="shared" si="2"/>
        <v>Cumple</v>
      </c>
      <c r="AL30" t="s">
        <v>54</v>
      </c>
      <c r="AM30" t="s">
        <v>54</v>
      </c>
    </row>
    <row r="31" spans="2:39" ht="15" customHeight="1">
      <c r="B31" s="81">
        <v>45506</v>
      </c>
      <c r="C31" s="60">
        <v>0.79166666666666696</v>
      </c>
      <c r="D31" s="85">
        <v>15.595000000000001</v>
      </c>
      <c r="E31" s="61">
        <v>65.341666666666654</v>
      </c>
      <c r="F31" s="61">
        <v>566.57833333333338</v>
      </c>
      <c r="G31" s="61">
        <v>270</v>
      </c>
      <c r="H31" s="61">
        <v>2.7166666666666668</v>
      </c>
      <c r="I31" s="92">
        <v>0</v>
      </c>
      <c r="J31" s="61"/>
      <c r="K31" s="91">
        <v>0</v>
      </c>
      <c r="L31" s="93">
        <v>15.916666666666666</v>
      </c>
      <c r="M31" s="61">
        <v>63.449999999999996</v>
      </c>
      <c r="N31" s="61">
        <v>566.25000000000011</v>
      </c>
      <c r="O31" s="61">
        <v>270</v>
      </c>
      <c r="P31" s="61">
        <v>2.4</v>
      </c>
      <c r="Q31" s="92">
        <v>0</v>
      </c>
      <c r="R31" s="61"/>
      <c r="S31" s="91">
        <v>0</v>
      </c>
      <c r="T31" s="85">
        <f t="shared" si="0"/>
        <v>0.32166666666666544</v>
      </c>
      <c r="U31" s="61">
        <f t="shared" si="0"/>
        <v>1.8916666666666586</v>
      </c>
      <c r="V31" s="61">
        <f t="shared" si="0"/>
        <v>0.32833333333326209</v>
      </c>
      <c r="W31" s="61">
        <f t="shared" si="0"/>
        <v>0</v>
      </c>
      <c r="X31" s="61">
        <f t="shared" si="0"/>
        <v>0.31666666666666687</v>
      </c>
      <c r="Y31" s="61">
        <f t="shared" si="0"/>
        <v>0</v>
      </c>
      <c r="Z31" s="61">
        <f t="shared" si="0"/>
        <v>0</v>
      </c>
      <c r="AA31" s="86">
        <f t="shared" si="1"/>
        <v>0</v>
      </c>
      <c r="AB31" s="59" t="str">
        <f t="shared" si="2"/>
        <v>Cumple</v>
      </c>
      <c r="AL31" t="s">
        <v>65</v>
      </c>
      <c r="AM31" t="s">
        <v>65</v>
      </c>
    </row>
    <row r="32" spans="2:39" ht="15" customHeight="1">
      <c r="B32" s="81">
        <v>45506</v>
      </c>
      <c r="C32" s="60">
        <v>0.83333333333333304</v>
      </c>
      <c r="D32" s="85">
        <v>14.956666666666669</v>
      </c>
      <c r="E32" s="61">
        <v>64.293333333333322</v>
      </c>
      <c r="F32" s="61">
        <v>567.2299999999999</v>
      </c>
      <c r="G32" s="61">
        <v>315</v>
      </c>
      <c r="H32" s="61">
        <v>2.4300000000000002</v>
      </c>
      <c r="I32" s="92">
        <v>0</v>
      </c>
      <c r="J32" s="61"/>
      <c r="K32" s="91">
        <v>0</v>
      </c>
      <c r="L32" s="93">
        <v>15.266666666666667</v>
      </c>
      <c r="M32" s="61">
        <v>62.433333333333337</v>
      </c>
      <c r="N32" s="61">
        <v>566.75000000000011</v>
      </c>
      <c r="O32" s="61">
        <v>292.5</v>
      </c>
      <c r="P32" s="61">
        <v>1.9333333333333333</v>
      </c>
      <c r="Q32" s="92">
        <v>0</v>
      </c>
      <c r="R32" s="61"/>
      <c r="S32" s="91">
        <v>0</v>
      </c>
      <c r="T32" s="85">
        <f t="shared" si="0"/>
        <v>0.30999999999999872</v>
      </c>
      <c r="U32" s="61">
        <f t="shared" si="0"/>
        <v>1.8599999999999852</v>
      </c>
      <c r="V32" s="61">
        <f t="shared" si="0"/>
        <v>0.47999999999979082</v>
      </c>
      <c r="W32" s="61">
        <f t="shared" si="0"/>
        <v>22.5</v>
      </c>
      <c r="X32" s="61">
        <f t="shared" si="0"/>
        <v>0.49666666666666681</v>
      </c>
      <c r="Y32" s="61">
        <f t="shared" si="0"/>
        <v>0</v>
      </c>
      <c r="Z32" s="61">
        <f t="shared" si="0"/>
        <v>0</v>
      </c>
      <c r="AA32" s="86">
        <f t="shared" si="1"/>
        <v>0</v>
      </c>
      <c r="AB32" s="59" t="str">
        <f t="shared" si="2"/>
        <v>Cumple</v>
      </c>
      <c r="AL32" t="s">
        <v>55</v>
      </c>
      <c r="AM32" t="s">
        <v>54</v>
      </c>
    </row>
    <row r="33" spans="2:39" ht="15" customHeight="1">
      <c r="B33" s="81">
        <v>45506</v>
      </c>
      <c r="C33" s="60">
        <v>0.875</v>
      </c>
      <c r="D33" s="85">
        <v>15.340000000000002</v>
      </c>
      <c r="E33" s="61">
        <v>62.234999999999992</v>
      </c>
      <c r="F33" s="61">
        <v>567.24</v>
      </c>
      <c r="G33" s="61">
        <v>315</v>
      </c>
      <c r="H33" s="61">
        <v>1.72</v>
      </c>
      <c r="I33" s="92">
        <v>0</v>
      </c>
      <c r="J33" s="61"/>
      <c r="K33" s="91">
        <v>0</v>
      </c>
      <c r="L33" s="93">
        <v>15.65</v>
      </c>
      <c r="M33" s="61">
        <v>60.416666666666664</v>
      </c>
      <c r="N33" s="61">
        <v>567.08333333333337</v>
      </c>
      <c r="O33" s="61">
        <v>315</v>
      </c>
      <c r="P33" s="61">
        <v>0.76666666666666672</v>
      </c>
      <c r="Q33" s="92">
        <v>0</v>
      </c>
      <c r="R33" s="61"/>
      <c r="S33" s="91">
        <v>0</v>
      </c>
      <c r="T33" s="85">
        <f t="shared" si="0"/>
        <v>0.30999999999999872</v>
      </c>
      <c r="U33" s="61">
        <f t="shared" si="0"/>
        <v>1.818333333333328</v>
      </c>
      <c r="V33" s="61">
        <f t="shared" si="0"/>
        <v>0.15666666666663787</v>
      </c>
      <c r="W33" s="61">
        <f t="shared" si="0"/>
        <v>0</v>
      </c>
      <c r="X33" s="61">
        <f t="shared" si="0"/>
        <v>0.95333333333333325</v>
      </c>
      <c r="Y33" s="61">
        <f t="shared" si="0"/>
        <v>0</v>
      </c>
      <c r="Z33" s="61">
        <f t="shared" si="0"/>
        <v>0</v>
      </c>
      <c r="AA33" s="86">
        <f t="shared" si="1"/>
        <v>0</v>
      </c>
      <c r="AB33" s="59" t="str">
        <f t="shared" si="2"/>
        <v>Cumple</v>
      </c>
      <c r="AL33" t="s">
        <v>55</v>
      </c>
      <c r="AM33" t="s">
        <v>55</v>
      </c>
    </row>
    <row r="34" spans="2:39" ht="15" customHeight="1">
      <c r="B34" s="81">
        <v>45506</v>
      </c>
      <c r="C34" s="60">
        <v>0.91666666666666696</v>
      </c>
      <c r="D34" s="85">
        <v>14.959999999999999</v>
      </c>
      <c r="E34" s="61">
        <v>64.964999999999989</v>
      </c>
      <c r="F34" s="61">
        <v>567.93333333333339</v>
      </c>
      <c r="G34" s="61">
        <v>67.5</v>
      </c>
      <c r="H34" s="61">
        <v>0.75499999999999989</v>
      </c>
      <c r="I34" s="92">
        <v>0</v>
      </c>
      <c r="J34" s="61"/>
      <c r="K34" s="91">
        <v>0</v>
      </c>
      <c r="L34" s="93">
        <v>15.266666666666666</v>
      </c>
      <c r="M34" s="61">
        <v>63.066666666666663</v>
      </c>
      <c r="N34" s="61">
        <v>567.46666666666658</v>
      </c>
      <c r="O34" s="61">
        <v>45</v>
      </c>
      <c r="P34" s="61">
        <v>0.58333333333333337</v>
      </c>
      <c r="Q34" s="92">
        <v>0</v>
      </c>
      <c r="R34" s="61"/>
      <c r="S34" s="91">
        <v>0</v>
      </c>
      <c r="T34" s="85">
        <f t="shared" si="0"/>
        <v>0.30666666666666664</v>
      </c>
      <c r="U34" s="61">
        <f t="shared" si="0"/>
        <v>1.8983333333333263</v>
      </c>
      <c r="V34" s="61">
        <f t="shared" si="0"/>
        <v>0.46666666666681067</v>
      </c>
      <c r="W34" s="61">
        <f t="shared" si="0"/>
        <v>22.5</v>
      </c>
      <c r="X34" s="61">
        <f t="shared" si="0"/>
        <v>0.17166666666666652</v>
      </c>
      <c r="Y34" s="61">
        <f t="shared" si="0"/>
        <v>0</v>
      </c>
      <c r="Z34" s="61">
        <f t="shared" si="0"/>
        <v>0</v>
      </c>
      <c r="AA34" s="86">
        <f t="shared" si="1"/>
        <v>0</v>
      </c>
      <c r="AB34" s="59" t="str">
        <f t="shared" si="2"/>
        <v>Cumple</v>
      </c>
      <c r="AL34" t="s">
        <v>55</v>
      </c>
      <c r="AM34" t="s">
        <v>54</v>
      </c>
    </row>
    <row r="35" spans="2:39" ht="15" customHeight="1" thickBot="1">
      <c r="B35" s="81">
        <v>45506</v>
      </c>
      <c r="C35" s="60">
        <v>0.95833333333333304</v>
      </c>
      <c r="D35" s="87">
        <v>14.12</v>
      </c>
      <c r="E35" s="88">
        <v>69.2</v>
      </c>
      <c r="F35" s="88">
        <v>567.63</v>
      </c>
      <c r="G35" s="88">
        <v>292.5</v>
      </c>
      <c r="H35" s="88">
        <v>0.93666666666666665</v>
      </c>
      <c r="I35" s="94">
        <v>0</v>
      </c>
      <c r="J35" s="88"/>
      <c r="K35" s="95">
        <v>0</v>
      </c>
      <c r="L35" s="96">
        <v>14.433333333333335</v>
      </c>
      <c r="M35" s="88">
        <v>67.2</v>
      </c>
      <c r="N35" s="88">
        <v>567.30000000000007</v>
      </c>
      <c r="O35" s="88">
        <v>292.5</v>
      </c>
      <c r="P35" s="88">
        <v>0.6</v>
      </c>
      <c r="Q35" s="94">
        <v>0</v>
      </c>
      <c r="R35" s="88"/>
      <c r="S35" s="95">
        <v>0</v>
      </c>
      <c r="T35" s="87">
        <f t="shared" si="0"/>
        <v>0.31333333333333613</v>
      </c>
      <c r="U35" s="88">
        <f t="shared" si="0"/>
        <v>2</v>
      </c>
      <c r="V35" s="88">
        <f t="shared" si="0"/>
        <v>0.32999999999992724</v>
      </c>
      <c r="W35" s="88">
        <f t="shared" si="0"/>
        <v>0</v>
      </c>
      <c r="X35" s="88">
        <f t="shared" si="0"/>
        <v>0.33666666666666667</v>
      </c>
      <c r="Y35" s="88">
        <f t="shared" si="0"/>
        <v>0</v>
      </c>
      <c r="Z35" s="88">
        <f t="shared" si="0"/>
        <v>0</v>
      </c>
      <c r="AA35" s="86">
        <f t="shared" si="1"/>
        <v>0</v>
      </c>
      <c r="AB35" s="62" t="str">
        <f t="shared" si="2"/>
        <v>Cumple</v>
      </c>
      <c r="AL35" t="s">
        <v>55</v>
      </c>
      <c r="AM35" t="s">
        <v>55</v>
      </c>
    </row>
    <row r="36" spans="2:39" ht="33" customHeight="1">
      <c r="B36" s="156" t="s">
        <v>42</v>
      </c>
      <c r="C36" s="157"/>
      <c r="D36" s="158">
        <v>45511</v>
      </c>
      <c r="E36" s="159"/>
      <c r="F36" s="159"/>
      <c r="G36" s="159"/>
      <c r="H36" s="159"/>
      <c r="I36" s="160"/>
      <c r="J36" s="161" t="s">
        <v>43</v>
      </c>
      <c r="K36" s="161"/>
      <c r="L36" s="161"/>
      <c r="M36" s="161"/>
      <c r="N36" s="161"/>
      <c r="O36" s="161"/>
      <c r="P36" s="162"/>
      <c r="Q36" s="163" t="s">
        <v>80</v>
      </c>
      <c r="R36" s="164"/>
      <c r="S36" s="164"/>
      <c r="T36" s="165"/>
      <c r="U36" s="165"/>
      <c r="V36" s="165"/>
      <c r="W36" s="165"/>
      <c r="X36" s="165"/>
      <c r="Y36" s="165"/>
      <c r="Z36" s="165"/>
      <c r="AA36" s="165"/>
      <c r="AB36" s="166"/>
    </row>
    <row r="37" spans="2:39" ht="33" customHeight="1">
      <c r="B37" s="167" t="s">
        <v>45</v>
      </c>
      <c r="C37" s="168"/>
      <c r="D37" s="169" t="s">
        <v>46</v>
      </c>
      <c r="E37" s="170"/>
      <c r="F37" s="170"/>
      <c r="G37" s="170"/>
      <c r="H37" s="170"/>
      <c r="I37" s="171"/>
      <c r="J37" s="172" t="s">
        <v>47</v>
      </c>
      <c r="K37" s="173"/>
      <c r="L37" s="173"/>
      <c r="M37" s="173"/>
      <c r="N37" s="173"/>
      <c r="O37" s="173"/>
      <c r="P37" s="173"/>
      <c r="Q37" s="176" t="s">
        <v>48</v>
      </c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8"/>
    </row>
    <row r="38" spans="2:39" ht="33" customHeight="1" thickBot="1">
      <c r="B38" s="182" t="s">
        <v>49</v>
      </c>
      <c r="C38" s="183"/>
      <c r="D38" s="184" t="s">
        <v>50</v>
      </c>
      <c r="E38" s="185"/>
      <c r="F38" s="185"/>
      <c r="G38" s="185"/>
      <c r="H38" s="185"/>
      <c r="I38" s="186"/>
      <c r="J38" s="174"/>
      <c r="K38" s="175"/>
      <c r="L38" s="175"/>
      <c r="M38" s="175"/>
      <c r="N38" s="175"/>
      <c r="O38" s="175"/>
      <c r="P38" s="175"/>
      <c r="Q38" s="179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1"/>
    </row>
    <row r="39" spans="2:39" ht="15" customHeight="1"/>
    <row r="40" spans="2:39" ht="15" customHeight="1"/>
    <row r="41" spans="2:39" ht="15" customHeight="1"/>
    <row r="42" spans="2:39" ht="15" customHeight="1"/>
    <row r="43" spans="2:39" ht="15" customHeight="1"/>
    <row r="44" spans="2:39" ht="15" customHeight="1"/>
    <row r="45" spans="2:39" ht="15" customHeight="1"/>
    <row r="46" spans="2:39" ht="15" customHeight="1"/>
    <row r="47" spans="2:39" ht="15" customHeight="1"/>
    <row r="48" spans="2:39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protectedRanges>
    <protectedRange sqref="AL12:AM35" name="Rango1"/>
    <protectedRange sqref="D12:F24 H12:N24 P12:S24" name="Rango1_1"/>
  </protectedRanges>
  <mergeCells count="38">
    <mergeCell ref="B36:C36"/>
    <mergeCell ref="D36:I36"/>
    <mergeCell ref="J36:P36"/>
    <mergeCell ref="Q36:AB36"/>
    <mergeCell ref="B37:C37"/>
    <mergeCell ref="D37:I37"/>
    <mergeCell ref="J37:P38"/>
    <mergeCell ref="Q37:AB38"/>
    <mergeCell ref="B38:C38"/>
    <mergeCell ref="D38:I38"/>
    <mergeCell ref="AB10:AB11"/>
    <mergeCell ref="B8:C8"/>
    <mergeCell ref="D8:K8"/>
    <mergeCell ref="L8:S8"/>
    <mergeCell ref="T8:X8"/>
    <mergeCell ref="Y8:Z8"/>
    <mergeCell ref="AA8:AB8"/>
    <mergeCell ref="B10:B11"/>
    <mergeCell ref="C10:C11"/>
    <mergeCell ref="D10:K10"/>
    <mergeCell ref="L10:S10"/>
    <mergeCell ref="T10:AA10"/>
    <mergeCell ref="AA7:AB7"/>
    <mergeCell ref="B1:C4"/>
    <mergeCell ref="D1:Z2"/>
    <mergeCell ref="AA1:AB4"/>
    <mergeCell ref="D3:Z4"/>
    <mergeCell ref="B6:C6"/>
    <mergeCell ref="D6:K6"/>
    <mergeCell ref="L6:S6"/>
    <mergeCell ref="T6:X6"/>
    <mergeCell ref="Y6:Z6"/>
    <mergeCell ref="AA6:AB6"/>
    <mergeCell ref="B7:C7"/>
    <mergeCell ref="D7:K7"/>
    <mergeCell ref="L7:S7"/>
    <mergeCell ref="T7:X7"/>
    <mergeCell ref="Y7:Z7"/>
  </mergeCells>
  <conditionalFormatting sqref="G12:G24">
    <cfRule type="cellIs" dxfId="59" priority="2" operator="equal">
      <formula>FALSE</formula>
    </cfRule>
  </conditionalFormatting>
  <conditionalFormatting sqref="T12:T35">
    <cfRule type="cellIs" dxfId="58" priority="19" operator="greaterThan">
      <formula>0.5</formula>
    </cfRule>
    <cfRule type="cellIs" dxfId="57" priority="20" operator="lessThanOrEqual">
      <formula>0.5</formula>
    </cfRule>
  </conditionalFormatting>
  <conditionalFormatting sqref="U12:U35">
    <cfRule type="cellIs" dxfId="56" priority="17" operator="greaterThan">
      <formula>5</formula>
    </cfRule>
    <cfRule type="cellIs" dxfId="55" priority="18" operator="lessThanOrEqual">
      <formula>5</formula>
    </cfRule>
  </conditionalFormatting>
  <conditionalFormatting sqref="V12:V35">
    <cfRule type="cellIs" dxfId="54" priority="15" operator="greaterThan">
      <formula>1</formula>
    </cfRule>
    <cfRule type="cellIs" dxfId="53" priority="16" operator="lessThanOrEqual">
      <formula>1</formula>
    </cfRule>
  </conditionalFormatting>
  <conditionalFormatting sqref="W12:W35">
    <cfRule type="cellIs" dxfId="52" priority="13" operator="greaterThan">
      <formula>22.5</formula>
    </cfRule>
    <cfRule type="cellIs" dxfId="51" priority="14" operator="lessThanOrEqual">
      <formula>22.5</formula>
    </cfRule>
  </conditionalFormatting>
  <conditionalFormatting sqref="X12:X35">
    <cfRule type="cellIs" dxfId="50" priority="7" operator="lessThanOrEqual">
      <formula>1</formula>
    </cfRule>
    <cfRule type="cellIs" dxfId="49" priority="8" operator="greaterThan">
      <formula>1</formula>
    </cfRule>
  </conditionalFormatting>
  <conditionalFormatting sqref="Y12:Y35">
    <cfRule type="cellIs" dxfId="48" priority="5" operator="lessThanOrEqual">
      <formula>90</formula>
    </cfRule>
    <cfRule type="cellIs" dxfId="47" priority="6" operator="greaterThan">
      <formula>90</formula>
    </cfRule>
  </conditionalFormatting>
  <conditionalFormatting sqref="Z12:Z35">
    <cfRule type="cellIs" dxfId="46" priority="11" operator="greaterThan">
      <formula>0.8</formula>
    </cfRule>
    <cfRule type="cellIs" dxfId="45" priority="12" operator="lessThanOrEqual">
      <formula>0.8</formula>
    </cfRule>
  </conditionalFormatting>
  <conditionalFormatting sqref="AA12:AA35">
    <cfRule type="expression" dxfId="44" priority="1">
      <formula>OR(AND(K12=0, S12=0), AND(K12&lt;&gt;0, ABS(S12-K12)/K12 &lt;= 0.05))</formula>
    </cfRule>
    <cfRule type="cellIs" dxfId="43" priority="9" operator="equal">
      <formula>0</formula>
    </cfRule>
    <cfRule type="expression" dxfId="42" priority="10">
      <formula>AND(K12&lt;&gt;0, S, ABS(S12-K12)/K12 &gt; 0.05)</formula>
    </cfRule>
  </conditionalFormatting>
  <conditionalFormatting sqref="AK11">
    <cfRule type="cellIs" dxfId="41" priority="3" operator="lessThan">
      <formula>0.05</formula>
    </cfRule>
    <cfRule type="cellIs" dxfId="40" priority="4" operator="greaterThan">
      <formula>0.05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7B75-60BC-4BF4-B619-EAA6497A1466}">
  <dimension ref="B1:AM68"/>
  <sheetViews>
    <sheetView tabSelected="1" topLeftCell="N1" workbookViewId="0">
      <selection activeCell="Y8" sqref="Y8:Z8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18" width="8.7109375" customWidth="1"/>
    <col min="19" max="19" width="8.5703125" customWidth="1"/>
    <col min="20" max="24" width="8.7109375" customWidth="1"/>
    <col min="25" max="25" width="9.85546875" customWidth="1"/>
    <col min="26" max="27" width="8.7109375" customWidth="1"/>
    <col min="28" max="28" width="20.85546875" bestFit="1" customWidth="1"/>
    <col min="29" max="29" width="5" customWidth="1"/>
  </cols>
  <sheetData>
    <row r="1" spans="2:39" ht="18" customHeight="1">
      <c r="B1" s="105"/>
      <c r="C1" s="106"/>
      <c r="D1" s="111" t="s">
        <v>6</v>
      </c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7" t="s">
        <v>51</v>
      </c>
      <c r="AB1" s="118"/>
    </row>
    <row r="2" spans="2:39" ht="18" customHeight="1">
      <c r="B2" s="107"/>
      <c r="C2" s="108"/>
      <c r="D2" s="114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6"/>
      <c r="AA2" s="119"/>
      <c r="AB2" s="120"/>
    </row>
    <row r="3" spans="2:39" ht="18" customHeight="1">
      <c r="B3" s="107"/>
      <c r="C3" s="108"/>
      <c r="D3" s="123" t="s">
        <v>8</v>
      </c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5"/>
      <c r="AA3" s="119"/>
      <c r="AB3" s="120"/>
    </row>
    <row r="4" spans="2:39" ht="18" customHeight="1" thickBot="1">
      <c r="B4" s="109"/>
      <c r="C4" s="110"/>
      <c r="D4" s="126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8"/>
      <c r="AA4" s="121"/>
      <c r="AB4" s="122"/>
    </row>
    <row r="5" spans="2:39" ht="6.6" customHeight="1"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1"/>
    </row>
    <row r="6" spans="2:39" ht="33.75" customHeight="1">
      <c r="B6" s="129" t="s">
        <v>9</v>
      </c>
      <c r="C6" s="129"/>
      <c r="D6" s="130" t="s">
        <v>73</v>
      </c>
      <c r="E6" s="131"/>
      <c r="F6" s="131"/>
      <c r="G6" s="131"/>
      <c r="H6" s="131"/>
      <c r="I6" s="131"/>
      <c r="J6" s="131"/>
      <c r="K6" s="132"/>
      <c r="L6" s="133" t="s">
        <v>10</v>
      </c>
      <c r="M6" s="134"/>
      <c r="N6" s="134"/>
      <c r="O6" s="134"/>
      <c r="P6" s="134"/>
      <c r="Q6" s="134"/>
      <c r="R6" s="134"/>
      <c r="S6" s="135"/>
      <c r="T6" s="136" t="s">
        <v>11</v>
      </c>
      <c r="U6" s="136"/>
      <c r="V6" s="136"/>
      <c r="W6" s="136"/>
      <c r="X6" s="136"/>
      <c r="Y6" s="136" t="s">
        <v>12</v>
      </c>
      <c r="Z6" s="136"/>
      <c r="AA6" s="137" t="s">
        <v>52</v>
      </c>
      <c r="AB6" s="138"/>
    </row>
    <row r="7" spans="2:39" ht="33.75" customHeight="1">
      <c r="B7" s="129" t="s">
        <v>14</v>
      </c>
      <c r="C7" s="129"/>
      <c r="D7" s="130" t="s">
        <v>74</v>
      </c>
      <c r="E7" s="131"/>
      <c r="F7" s="131"/>
      <c r="G7" s="131"/>
      <c r="H7" s="131"/>
      <c r="I7" s="131"/>
      <c r="J7" s="131"/>
      <c r="K7" s="132"/>
      <c r="L7" s="139" t="s">
        <v>15</v>
      </c>
      <c r="M7" s="140"/>
      <c r="N7" s="140"/>
      <c r="O7" s="140"/>
      <c r="P7" s="140"/>
      <c r="Q7" s="140"/>
      <c r="R7" s="140"/>
      <c r="S7" s="141"/>
      <c r="T7" s="139" t="s">
        <v>76</v>
      </c>
      <c r="U7" s="140"/>
      <c r="V7" s="140"/>
      <c r="W7" s="140"/>
      <c r="X7" s="141"/>
      <c r="Y7" s="142">
        <v>6327</v>
      </c>
      <c r="Z7" s="143"/>
      <c r="AA7" s="103" t="s">
        <v>78</v>
      </c>
      <c r="AB7" s="104"/>
    </row>
    <row r="8" spans="2:39" ht="33.75" customHeight="1">
      <c r="B8" s="129" t="s">
        <v>16</v>
      </c>
      <c r="C8" s="129"/>
      <c r="D8" s="130" t="s">
        <v>75</v>
      </c>
      <c r="E8" s="131"/>
      <c r="F8" s="131"/>
      <c r="G8" s="131"/>
      <c r="H8" s="131"/>
      <c r="I8" s="131"/>
      <c r="J8" s="131"/>
      <c r="K8" s="132"/>
      <c r="L8" s="139" t="s">
        <v>77</v>
      </c>
      <c r="M8" s="140"/>
      <c r="N8" s="140"/>
      <c r="O8" s="140"/>
      <c r="P8" s="140"/>
      <c r="Q8" s="140"/>
      <c r="R8" s="140"/>
      <c r="S8" s="141"/>
      <c r="T8" s="139" t="s">
        <v>76</v>
      </c>
      <c r="U8" s="140"/>
      <c r="V8" s="140"/>
      <c r="W8" s="140"/>
      <c r="X8" s="141"/>
      <c r="Y8" s="142">
        <v>6327</v>
      </c>
      <c r="Z8" s="143"/>
      <c r="AA8" s="103" t="s">
        <v>5</v>
      </c>
      <c r="AB8" s="104"/>
    </row>
    <row r="9" spans="2:39" ht="9" customHeight="1" thickBot="1">
      <c r="B9" s="42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4"/>
    </row>
    <row r="10" spans="2:39" ht="22.5" customHeight="1">
      <c r="B10" s="146" t="s">
        <v>18</v>
      </c>
      <c r="C10" s="148" t="s">
        <v>19</v>
      </c>
      <c r="D10" s="150" t="s">
        <v>20</v>
      </c>
      <c r="E10" s="151"/>
      <c r="F10" s="151"/>
      <c r="G10" s="151"/>
      <c r="H10" s="151"/>
      <c r="I10" s="151"/>
      <c r="J10" s="151"/>
      <c r="K10" s="152"/>
      <c r="L10" s="150" t="s">
        <v>21</v>
      </c>
      <c r="M10" s="151"/>
      <c r="N10" s="151"/>
      <c r="O10" s="151"/>
      <c r="P10" s="151"/>
      <c r="Q10" s="151"/>
      <c r="R10" s="151"/>
      <c r="S10" s="153"/>
      <c r="T10" s="154" t="s">
        <v>53</v>
      </c>
      <c r="U10" s="155"/>
      <c r="V10" s="155"/>
      <c r="W10" s="155"/>
      <c r="X10" s="155"/>
      <c r="Y10" s="155"/>
      <c r="Z10" s="155"/>
      <c r="AA10" s="155"/>
      <c r="AB10" s="144" t="s">
        <v>23</v>
      </c>
      <c r="AD10" s="45" t="s">
        <v>34</v>
      </c>
      <c r="AE10" s="45" t="s">
        <v>35</v>
      </c>
      <c r="AF10" s="45" t="s">
        <v>36</v>
      </c>
      <c r="AG10" s="45" t="s">
        <v>37</v>
      </c>
      <c r="AH10" s="45" t="s">
        <v>38</v>
      </c>
      <c r="AI10" s="45" t="s">
        <v>39</v>
      </c>
      <c r="AJ10" s="45" t="s">
        <v>40</v>
      </c>
      <c r="AK10" s="45" t="s">
        <v>41</v>
      </c>
    </row>
    <row r="11" spans="2:39" ht="48.75" customHeight="1" thickBot="1">
      <c r="B11" s="147"/>
      <c r="C11" s="149"/>
      <c r="D11" s="46" t="s">
        <v>24</v>
      </c>
      <c r="E11" s="47" t="s">
        <v>25</v>
      </c>
      <c r="F11" s="47" t="s">
        <v>26</v>
      </c>
      <c r="G11" s="47" t="s">
        <v>27</v>
      </c>
      <c r="H11" s="47" t="s">
        <v>28</v>
      </c>
      <c r="I11" s="47" t="s">
        <v>29</v>
      </c>
      <c r="J11" s="47" t="s">
        <v>30</v>
      </c>
      <c r="K11" s="48" t="s">
        <v>31</v>
      </c>
      <c r="L11" s="49" t="s">
        <v>32</v>
      </c>
      <c r="M11" s="50" t="s">
        <v>25</v>
      </c>
      <c r="N11" s="50" t="s">
        <v>26</v>
      </c>
      <c r="O11" s="50" t="s">
        <v>27</v>
      </c>
      <c r="P11" s="50" t="s">
        <v>28</v>
      </c>
      <c r="Q11" s="50" t="s">
        <v>29</v>
      </c>
      <c r="R11" s="50" t="s">
        <v>33</v>
      </c>
      <c r="S11" s="51" t="s">
        <v>31</v>
      </c>
      <c r="T11" s="52" t="s">
        <v>34</v>
      </c>
      <c r="U11" s="53" t="s">
        <v>35</v>
      </c>
      <c r="V11" s="53" t="s">
        <v>36</v>
      </c>
      <c r="W11" s="53" t="s">
        <v>37</v>
      </c>
      <c r="X11" s="53" t="s">
        <v>38</v>
      </c>
      <c r="Y11" s="53" t="s">
        <v>39</v>
      </c>
      <c r="Z11" s="53" t="s">
        <v>40</v>
      </c>
      <c r="AA11" s="54" t="s">
        <v>41</v>
      </c>
      <c r="AB11" s="145"/>
      <c r="AD11" s="1">
        <v>0.5</v>
      </c>
      <c r="AE11" s="55">
        <v>5</v>
      </c>
      <c r="AF11" s="1">
        <v>1</v>
      </c>
      <c r="AG11" s="1">
        <v>22.5</v>
      </c>
      <c r="AH11" s="1">
        <v>1</v>
      </c>
      <c r="AI11" s="1">
        <v>90</v>
      </c>
      <c r="AJ11" s="1">
        <v>0.8</v>
      </c>
      <c r="AK11" s="56">
        <v>0.05</v>
      </c>
      <c r="AL11" s="13" t="s">
        <v>27</v>
      </c>
      <c r="AM11" s="13" t="s">
        <v>37</v>
      </c>
    </row>
    <row r="12" spans="2:39" ht="15" customHeight="1">
      <c r="B12" s="81">
        <v>45676</v>
      </c>
      <c r="C12" s="57">
        <v>0</v>
      </c>
      <c r="D12" s="82">
        <v>12.893333333333333</v>
      </c>
      <c r="E12" s="58">
        <v>76.848333333333343</v>
      </c>
      <c r="F12" s="58">
        <v>567.15333333333331</v>
      </c>
      <c r="G12" s="58">
        <v>22.5</v>
      </c>
      <c r="H12" s="58">
        <v>1.5233333333333334</v>
      </c>
      <c r="I12" s="58">
        <v>0</v>
      </c>
      <c r="J12" s="58"/>
      <c r="K12" s="83">
        <v>0</v>
      </c>
      <c r="L12" s="82">
        <v>13.166666666666666</v>
      </c>
      <c r="M12" s="58">
        <v>74.61666666666666</v>
      </c>
      <c r="N12" s="58">
        <v>566.81666666666661</v>
      </c>
      <c r="O12" s="58">
        <v>22.5</v>
      </c>
      <c r="P12" s="58">
        <v>1.3833333333333335</v>
      </c>
      <c r="Q12" s="58">
        <v>0</v>
      </c>
      <c r="R12" s="58"/>
      <c r="S12" s="84">
        <v>0</v>
      </c>
      <c r="T12" s="82">
        <f>+ABS(L12-D12)</f>
        <v>0.27333333333333343</v>
      </c>
      <c r="U12" s="58">
        <f t="shared" ref="T12:Z35" si="0">+ABS(M12-E12)</f>
        <v>2.2316666666666833</v>
      </c>
      <c r="V12" s="58">
        <f t="shared" si="0"/>
        <v>0.33666666666670153</v>
      </c>
      <c r="W12" s="58">
        <f t="shared" si="0"/>
        <v>0</v>
      </c>
      <c r="X12" s="58">
        <f t="shared" si="0"/>
        <v>0.1399999999999999</v>
      </c>
      <c r="Y12" s="90">
        <f t="shared" si="0"/>
        <v>0</v>
      </c>
      <c r="Z12" s="58">
        <f t="shared" si="0"/>
        <v>0</v>
      </c>
      <c r="AA12" s="86">
        <f>IF(AND(K12=0, S12=0), 0, IF(K12=0, 1, ABS((S12-K12)/K12)))</f>
        <v>0</v>
      </c>
      <c r="AB12" s="59" t="str">
        <f>+IF(AND(T12&lt;=$AD$11,U12&lt;=$AE$11,V12&lt;=$AF$11,W12&lt;=$AG$11,X12&lt;=$AH$11,Y12&lt;=$AI$11,Z12&lt;=$AJ$11,AA12&lt;=$AK$11),"Cumple","No cumple")</f>
        <v>Cumple</v>
      </c>
      <c r="AL12" t="s">
        <v>54</v>
      </c>
      <c r="AM12" t="s">
        <v>54</v>
      </c>
    </row>
    <row r="13" spans="2:39" ht="15" customHeight="1">
      <c r="B13" s="81">
        <v>45676</v>
      </c>
      <c r="C13" s="60">
        <v>4.1666666666666664E-2</v>
      </c>
      <c r="D13" s="85">
        <v>12.395000000000001</v>
      </c>
      <c r="E13" s="61">
        <v>78.563333333333333</v>
      </c>
      <c r="F13" s="61">
        <v>567.15333333333331</v>
      </c>
      <c r="G13" s="61">
        <v>45</v>
      </c>
      <c r="H13" s="61">
        <v>1.9516666666666669</v>
      </c>
      <c r="I13" s="61">
        <v>0</v>
      </c>
      <c r="J13" s="61"/>
      <c r="K13" s="86">
        <v>0</v>
      </c>
      <c r="L13" s="85">
        <v>12.65</v>
      </c>
      <c r="M13" s="61">
        <v>76.283333333333331</v>
      </c>
      <c r="N13" s="61">
        <v>566.48333333333323</v>
      </c>
      <c r="O13" s="61">
        <v>22.5</v>
      </c>
      <c r="P13" s="61">
        <v>1.1333333333333335</v>
      </c>
      <c r="Q13" s="61">
        <v>0</v>
      </c>
      <c r="R13" s="61"/>
      <c r="S13" s="91">
        <v>0</v>
      </c>
      <c r="T13" s="85">
        <f t="shared" si="0"/>
        <v>0.25499999999999901</v>
      </c>
      <c r="U13" s="61">
        <f t="shared" si="0"/>
        <v>2.2800000000000011</v>
      </c>
      <c r="V13" s="61">
        <f t="shared" si="0"/>
        <v>0.67000000000007276</v>
      </c>
      <c r="W13" s="61">
        <f t="shared" si="0"/>
        <v>22.5</v>
      </c>
      <c r="X13" s="61">
        <f t="shared" si="0"/>
        <v>0.81833333333333336</v>
      </c>
      <c r="Y13" s="61">
        <f t="shared" si="0"/>
        <v>0</v>
      </c>
      <c r="Z13" s="61">
        <f t="shared" si="0"/>
        <v>0</v>
      </c>
      <c r="AA13" s="86">
        <f t="shared" ref="AA13:AA35" si="1">IF(AND(K13=0, S13=0), 0, IF(K13=0, 1, ABS((S13-K13)/K13)))</f>
        <v>0</v>
      </c>
      <c r="AB13" s="59" t="str">
        <f>+IF(AND(T13&lt;=$AD$11,U13&lt;=$AE$11,V13&lt;=$AF$11,W13&lt;=$AG$11,X13&lt;=$AH$11,Y13&lt;=$AI$11,Z13&lt;=$AJ$11,AA13&lt;=$AK$11),"Cumple","No cumple")</f>
        <v>Cumple</v>
      </c>
      <c r="AL13" t="s">
        <v>55</v>
      </c>
      <c r="AM13" t="s">
        <v>54</v>
      </c>
    </row>
    <row r="14" spans="2:39" ht="15" customHeight="1">
      <c r="B14" s="81">
        <v>45676</v>
      </c>
      <c r="C14" s="60">
        <v>8.3333333333333301E-2</v>
      </c>
      <c r="D14" s="85">
        <v>11.463333333333333</v>
      </c>
      <c r="E14" s="61">
        <v>82.091666666666654</v>
      </c>
      <c r="F14" s="61">
        <v>566.97833333333335</v>
      </c>
      <c r="G14" s="61">
        <v>22.5</v>
      </c>
      <c r="H14" s="61">
        <v>1.1883333333333332</v>
      </c>
      <c r="I14" s="61">
        <v>0</v>
      </c>
      <c r="J14" s="61"/>
      <c r="K14" s="86">
        <v>0</v>
      </c>
      <c r="L14" s="85">
        <v>11.699999999999998</v>
      </c>
      <c r="M14" s="61">
        <v>79.7</v>
      </c>
      <c r="N14" s="61">
        <v>566.16666666666663</v>
      </c>
      <c r="O14" s="61">
        <v>22.5</v>
      </c>
      <c r="P14" s="61">
        <v>0.68333333333333324</v>
      </c>
      <c r="Q14" s="61">
        <v>0</v>
      </c>
      <c r="R14" s="61"/>
      <c r="S14" s="91">
        <v>0</v>
      </c>
      <c r="T14" s="85">
        <f t="shared" si="0"/>
        <v>0.23666666666666458</v>
      </c>
      <c r="U14" s="61">
        <f t="shared" si="0"/>
        <v>2.3916666666666515</v>
      </c>
      <c r="V14" s="61">
        <f>+ABS(N14-F14)</f>
        <v>0.81166666666672427</v>
      </c>
      <c r="W14" s="61">
        <f t="shared" si="0"/>
        <v>0</v>
      </c>
      <c r="X14" s="61">
        <f t="shared" si="0"/>
        <v>0.505</v>
      </c>
      <c r="Y14" s="61">
        <f t="shared" si="0"/>
        <v>0</v>
      </c>
      <c r="Z14" s="61">
        <f t="shared" si="0"/>
        <v>0</v>
      </c>
      <c r="AA14" s="86">
        <f t="shared" si="1"/>
        <v>0</v>
      </c>
      <c r="AB14" s="59" t="str">
        <f>+IF(AND(T14&lt;=$AD$11,U14&lt;=$AE$11,V14&lt;=$AF$11,W14&lt;=$AG$11,X14&lt;=$AH$11,Y14&lt;=$AI$11,Z14&lt;=$AJ$11,AA14&lt;=$AK$11),"Cumple","No cumple")</f>
        <v>Cumple</v>
      </c>
      <c r="AL14" t="s">
        <v>55</v>
      </c>
      <c r="AM14" t="s">
        <v>55</v>
      </c>
    </row>
    <row r="15" spans="2:39" ht="15" customHeight="1">
      <c r="B15" s="81">
        <v>45676</v>
      </c>
      <c r="C15" s="60">
        <v>0.125</v>
      </c>
      <c r="D15" s="85">
        <v>11.503333333333332</v>
      </c>
      <c r="E15" s="61">
        <v>83.083333333333329</v>
      </c>
      <c r="F15" s="61">
        <v>566.85666666666668</v>
      </c>
      <c r="G15" s="61">
        <v>45</v>
      </c>
      <c r="H15" s="61">
        <v>1.51</v>
      </c>
      <c r="I15" s="61">
        <v>0</v>
      </c>
      <c r="J15" s="61"/>
      <c r="K15" s="86">
        <v>0</v>
      </c>
      <c r="L15" s="85">
        <v>11.75</v>
      </c>
      <c r="M15" s="61">
        <v>80.666666666666671</v>
      </c>
      <c r="N15" s="61">
        <v>566.0333333333333</v>
      </c>
      <c r="O15" s="61">
        <v>22.5</v>
      </c>
      <c r="P15" s="61">
        <v>0.51666666666666661</v>
      </c>
      <c r="Q15" s="61">
        <v>0</v>
      </c>
      <c r="R15" s="61"/>
      <c r="S15" s="91">
        <v>0</v>
      </c>
      <c r="T15" s="85">
        <f t="shared" si="0"/>
        <v>0.24666666666666792</v>
      </c>
      <c r="U15" s="61">
        <f t="shared" si="0"/>
        <v>2.4166666666666572</v>
      </c>
      <c r="V15" s="61">
        <f t="shared" si="0"/>
        <v>0.82333333333338032</v>
      </c>
      <c r="W15" s="61">
        <f t="shared" si="0"/>
        <v>22.5</v>
      </c>
      <c r="X15" s="61">
        <f t="shared" si="0"/>
        <v>0.9933333333333334</v>
      </c>
      <c r="Y15" s="61">
        <f t="shared" si="0"/>
        <v>0</v>
      </c>
      <c r="Z15" s="61">
        <f t="shared" si="0"/>
        <v>0</v>
      </c>
      <c r="AA15" s="86">
        <f t="shared" si="1"/>
        <v>0</v>
      </c>
      <c r="AB15" s="59" t="str">
        <f t="shared" ref="AB15:AB35" si="2">+IF(AND(T15&lt;=$AD$11,U15&lt;=$AE$11,V15&lt;=$AF$11,W15&lt;=$AG$11,X15&lt;=$AH$11,Y15&lt;=$AI$11,Z15&lt;=$AJ$11,AA15&lt;=$AK$11),"Cumple","No cumple")</f>
        <v>Cumple</v>
      </c>
      <c r="AL15" t="s">
        <v>55</v>
      </c>
      <c r="AM15" t="s">
        <v>55</v>
      </c>
    </row>
    <row r="16" spans="2:39" ht="15" customHeight="1">
      <c r="B16" s="81">
        <v>45676</v>
      </c>
      <c r="C16" s="60">
        <v>0.16666666666666699</v>
      </c>
      <c r="D16" s="85">
        <v>11.229999999999999</v>
      </c>
      <c r="E16" s="61">
        <v>83.905000000000001</v>
      </c>
      <c r="F16" s="61">
        <v>566.41500000000008</v>
      </c>
      <c r="G16" s="61">
        <v>292.5</v>
      </c>
      <c r="H16" s="61">
        <v>0.61333333333333329</v>
      </c>
      <c r="I16" s="61">
        <v>0</v>
      </c>
      <c r="J16" s="61"/>
      <c r="K16" s="86">
        <v>0</v>
      </c>
      <c r="L16" s="85">
        <v>11.466666666666667</v>
      </c>
      <c r="M16" s="61">
        <v>81.466666666666669</v>
      </c>
      <c r="N16" s="61">
        <v>566.09999999999991</v>
      </c>
      <c r="O16" s="61">
        <v>292.5</v>
      </c>
      <c r="P16" s="61">
        <v>0.28333333333333338</v>
      </c>
      <c r="Q16" s="61">
        <v>0</v>
      </c>
      <c r="R16" s="61"/>
      <c r="S16" s="91">
        <v>0</v>
      </c>
      <c r="T16" s="85">
        <f t="shared" si="0"/>
        <v>0.23666666666666814</v>
      </c>
      <c r="U16" s="61">
        <f t="shared" si="0"/>
        <v>2.4383333333333326</v>
      </c>
      <c r="V16" s="61">
        <f t="shared" si="0"/>
        <v>0.31500000000016826</v>
      </c>
      <c r="W16" s="61">
        <f t="shared" si="0"/>
        <v>0</v>
      </c>
      <c r="X16" s="61">
        <f t="shared" si="0"/>
        <v>0.3299999999999999</v>
      </c>
      <c r="Y16" s="61">
        <f t="shared" si="0"/>
        <v>0</v>
      </c>
      <c r="Z16" s="61">
        <f t="shared" si="0"/>
        <v>0</v>
      </c>
      <c r="AA16" s="86">
        <f t="shared" si="1"/>
        <v>0</v>
      </c>
      <c r="AB16" s="59" t="str">
        <f t="shared" si="2"/>
        <v>Cumple</v>
      </c>
      <c r="AL16" t="s">
        <v>56</v>
      </c>
      <c r="AM16" t="s">
        <v>57</v>
      </c>
    </row>
    <row r="17" spans="2:39" ht="15" customHeight="1">
      <c r="B17" s="81">
        <v>45676</v>
      </c>
      <c r="C17" s="60">
        <v>0.20833333333333301</v>
      </c>
      <c r="D17" s="85">
        <v>11.028333333333334</v>
      </c>
      <c r="E17" s="61">
        <v>84.951666666666668</v>
      </c>
      <c r="F17" s="61">
        <v>566.73</v>
      </c>
      <c r="G17" s="61">
        <v>337.5</v>
      </c>
      <c r="H17" s="61">
        <v>1.3299999999999998</v>
      </c>
      <c r="I17" s="61">
        <v>0</v>
      </c>
      <c r="J17" s="61"/>
      <c r="K17" s="86">
        <v>0</v>
      </c>
      <c r="L17" s="85">
        <v>11.25</v>
      </c>
      <c r="M17" s="61">
        <v>82.483333333333334</v>
      </c>
      <c r="N17" s="61">
        <v>566.4</v>
      </c>
      <c r="O17" s="61">
        <v>337.5</v>
      </c>
      <c r="P17" s="61">
        <v>0.83333333333333337</v>
      </c>
      <c r="Q17" s="61">
        <v>0</v>
      </c>
      <c r="R17" s="61"/>
      <c r="S17" s="91">
        <v>0</v>
      </c>
      <c r="T17" s="85">
        <f t="shared" si="0"/>
        <v>0.22166666666666579</v>
      </c>
      <c r="U17" s="61">
        <f t="shared" si="0"/>
        <v>2.4683333333333337</v>
      </c>
      <c r="V17" s="61">
        <f t="shared" si="0"/>
        <v>0.33000000000004093</v>
      </c>
      <c r="W17" s="61">
        <f t="shared" si="0"/>
        <v>0</v>
      </c>
      <c r="X17" s="61">
        <f t="shared" si="0"/>
        <v>0.49666666666666648</v>
      </c>
      <c r="Y17" s="61">
        <f t="shared" si="0"/>
        <v>0</v>
      </c>
      <c r="Z17" s="61">
        <f t="shared" si="0"/>
        <v>0</v>
      </c>
      <c r="AA17" s="86">
        <f t="shared" si="1"/>
        <v>0</v>
      </c>
      <c r="AB17" s="59" t="str">
        <f t="shared" si="2"/>
        <v>Cumple</v>
      </c>
      <c r="AL17" t="s">
        <v>58</v>
      </c>
      <c r="AM17" t="s">
        <v>58</v>
      </c>
    </row>
    <row r="18" spans="2:39" ht="15" customHeight="1">
      <c r="B18" s="81">
        <v>45676</v>
      </c>
      <c r="C18" s="60">
        <v>0.25</v>
      </c>
      <c r="D18" s="85">
        <v>10.813333333333333</v>
      </c>
      <c r="E18" s="61">
        <v>86.15333333333335</v>
      </c>
      <c r="F18" s="61">
        <v>567.29</v>
      </c>
      <c r="G18" s="61">
        <v>315</v>
      </c>
      <c r="H18" s="61">
        <v>1.54</v>
      </c>
      <c r="I18" s="61">
        <v>44.533333333333331</v>
      </c>
      <c r="J18" s="61"/>
      <c r="K18" s="86">
        <v>0</v>
      </c>
      <c r="L18" s="85">
        <v>11.049999999999999</v>
      </c>
      <c r="M18" s="61">
        <v>83.649999999999991</v>
      </c>
      <c r="N18" s="61">
        <v>566.63333333333333</v>
      </c>
      <c r="O18" s="61">
        <v>315</v>
      </c>
      <c r="P18" s="61">
        <v>0.8666666666666667</v>
      </c>
      <c r="Q18" s="61">
        <v>10.049999999999999</v>
      </c>
      <c r="R18" s="61"/>
      <c r="S18" s="91">
        <v>0</v>
      </c>
      <c r="T18" s="85">
        <f t="shared" si="0"/>
        <v>0.23666666666666636</v>
      </c>
      <c r="U18" s="61">
        <f t="shared" si="0"/>
        <v>2.5033333333333587</v>
      </c>
      <c r="V18" s="61">
        <f t="shared" si="0"/>
        <v>0.65666666666663787</v>
      </c>
      <c r="W18" s="61">
        <f t="shared" si="0"/>
        <v>0</v>
      </c>
      <c r="X18" s="61">
        <f t="shared" si="0"/>
        <v>0.67333333333333334</v>
      </c>
      <c r="Y18" s="61">
        <f t="shared" si="0"/>
        <v>34.483333333333334</v>
      </c>
      <c r="Z18" s="61">
        <f t="shared" si="0"/>
        <v>0</v>
      </c>
      <c r="AA18" s="86">
        <f t="shared" si="1"/>
        <v>0</v>
      </c>
      <c r="AB18" s="59" t="str">
        <f t="shared" si="2"/>
        <v>Cumple</v>
      </c>
      <c r="AL18" t="s">
        <v>55</v>
      </c>
      <c r="AM18" t="s">
        <v>55</v>
      </c>
    </row>
    <row r="19" spans="2:39" ht="15" customHeight="1">
      <c r="B19" s="81">
        <v>45676</v>
      </c>
      <c r="C19" s="60">
        <v>0.29166666666666702</v>
      </c>
      <c r="D19" s="85">
        <v>11.805</v>
      </c>
      <c r="E19" s="61">
        <v>82.225000000000009</v>
      </c>
      <c r="F19" s="61">
        <v>567.54833333333329</v>
      </c>
      <c r="G19" s="61">
        <v>45</v>
      </c>
      <c r="H19" s="61">
        <v>2.2749999999999999</v>
      </c>
      <c r="I19" s="61">
        <v>138.34666666666666</v>
      </c>
      <c r="J19" s="61"/>
      <c r="K19" s="86">
        <v>0</v>
      </c>
      <c r="L19" s="85">
        <v>12.050000000000002</v>
      </c>
      <c r="M19" s="61">
        <v>79.850000000000009</v>
      </c>
      <c r="N19" s="61">
        <v>567.23333333333335</v>
      </c>
      <c r="O19" s="61">
        <v>45</v>
      </c>
      <c r="P19" s="61">
        <v>1.6166666666666665</v>
      </c>
      <c r="Q19" s="61">
        <v>120.2</v>
      </c>
      <c r="R19" s="61"/>
      <c r="S19" s="91">
        <v>0</v>
      </c>
      <c r="T19" s="85">
        <f t="shared" si="0"/>
        <v>0.24500000000000277</v>
      </c>
      <c r="U19" s="61">
        <f t="shared" si="0"/>
        <v>2.375</v>
      </c>
      <c r="V19" s="61">
        <f t="shared" si="0"/>
        <v>0.31499999999994088</v>
      </c>
      <c r="W19" s="61">
        <f t="shared" si="0"/>
        <v>0</v>
      </c>
      <c r="X19" s="61">
        <f t="shared" si="0"/>
        <v>0.65833333333333344</v>
      </c>
      <c r="Y19" s="61">
        <f t="shared" si="0"/>
        <v>18.146666666666661</v>
      </c>
      <c r="Z19" s="61">
        <f t="shared" si="0"/>
        <v>0</v>
      </c>
      <c r="AA19" s="86">
        <f t="shared" si="1"/>
        <v>0</v>
      </c>
      <c r="AB19" s="59" t="str">
        <f t="shared" si="2"/>
        <v>Cumple</v>
      </c>
      <c r="AL19" t="s">
        <v>55</v>
      </c>
      <c r="AM19" t="s">
        <v>55</v>
      </c>
    </row>
    <row r="20" spans="2:39" ht="15" customHeight="1">
      <c r="B20" s="81">
        <v>45676</v>
      </c>
      <c r="C20" s="60">
        <v>0.33333333333333298</v>
      </c>
      <c r="D20" s="85">
        <v>14.061666666666667</v>
      </c>
      <c r="E20" s="61">
        <v>73.795000000000002</v>
      </c>
      <c r="F20" s="61">
        <v>568.37</v>
      </c>
      <c r="G20" s="61">
        <v>22.5</v>
      </c>
      <c r="H20" s="61">
        <v>1.6583333333333334</v>
      </c>
      <c r="I20" s="61">
        <v>339.23500000000007</v>
      </c>
      <c r="J20" s="61"/>
      <c r="K20" s="86">
        <v>0</v>
      </c>
      <c r="L20" s="85">
        <v>14.35</v>
      </c>
      <c r="M20" s="61">
        <v>71.649999999999991</v>
      </c>
      <c r="N20" s="61">
        <v>567.69999999999993</v>
      </c>
      <c r="O20" s="61">
        <v>22.5</v>
      </c>
      <c r="P20" s="61">
        <v>1.1833333333333333</v>
      </c>
      <c r="Q20" s="61">
        <v>282.41666666666669</v>
      </c>
      <c r="R20" s="61"/>
      <c r="S20" s="91">
        <v>0</v>
      </c>
      <c r="T20" s="85">
        <f t="shared" si="0"/>
        <v>0.28833333333333222</v>
      </c>
      <c r="U20" s="61">
        <f t="shared" si="0"/>
        <v>2.1450000000000102</v>
      </c>
      <c r="V20" s="61">
        <f t="shared" si="0"/>
        <v>0.67000000000007276</v>
      </c>
      <c r="W20" s="61">
        <f t="shared" si="0"/>
        <v>0</v>
      </c>
      <c r="X20" s="61">
        <f t="shared" si="0"/>
        <v>0.47500000000000009</v>
      </c>
      <c r="Y20" s="61">
        <f t="shared" si="0"/>
        <v>56.818333333333385</v>
      </c>
      <c r="Z20" s="61">
        <f t="shared" si="0"/>
        <v>0</v>
      </c>
      <c r="AA20" s="86">
        <f t="shared" si="1"/>
        <v>0</v>
      </c>
      <c r="AB20" s="59" t="str">
        <f t="shared" si="2"/>
        <v>Cumple</v>
      </c>
      <c r="AL20" t="s">
        <v>55</v>
      </c>
      <c r="AM20" t="s">
        <v>55</v>
      </c>
    </row>
    <row r="21" spans="2:39" ht="15" customHeight="1">
      <c r="B21" s="81">
        <v>45676</v>
      </c>
      <c r="C21" s="60">
        <v>0.375</v>
      </c>
      <c r="D21" s="85">
        <v>16.181666666666668</v>
      </c>
      <c r="E21" s="61">
        <v>64.563333333333333</v>
      </c>
      <c r="F21" s="61">
        <v>568.42499999999995</v>
      </c>
      <c r="G21" s="61">
        <v>337.5</v>
      </c>
      <c r="H21" s="61">
        <v>1.6516666666666666</v>
      </c>
      <c r="I21" s="61">
        <v>432.125</v>
      </c>
      <c r="J21" s="61"/>
      <c r="K21" s="86">
        <v>0</v>
      </c>
      <c r="L21" s="85">
        <v>16.516666666666666</v>
      </c>
      <c r="M21" s="61">
        <v>62.683333333333337</v>
      </c>
      <c r="N21" s="61">
        <v>567.75</v>
      </c>
      <c r="O21" s="61">
        <v>337.5</v>
      </c>
      <c r="P21" s="61">
        <v>1.1666666666666665</v>
      </c>
      <c r="Q21" s="61">
        <v>387.45000000000005</v>
      </c>
      <c r="R21" s="61"/>
      <c r="S21" s="91">
        <v>0</v>
      </c>
      <c r="T21" s="85">
        <f t="shared" si="0"/>
        <v>0.3349999999999973</v>
      </c>
      <c r="U21" s="61">
        <f t="shared" si="0"/>
        <v>1.8799999999999955</v>
      </c>
      <c r="V21" s="61">
        <f t="shared" si="0"/>
        <v>0.67499999999995453</v>
      </c>
      <c r="W21" s="61">
        <f t="shared" si="0"/>
        <v>0</v>
      </c>
      <c r="X21" s="61">
        <f t="shared" si="0"/>
        <v>0.4850000000000001</v>
      </c>
      <c r="Y21" s="61">
        <f t="shared" si="0"/>
        <v>44.674999999999955</v>
      </c>
      <c r="Z21" s="61">
        <f t="shared" si="0"/>
        <v>0</v>
      </c>
      <c r="AA21" s="86">
        <f t="shared" si="1"/>
        <v>0</v>
      </c>
      <c r="AB21" s="59" t="str">
        <f t="shared" si="2"/>
        <v>Cumple</v>
      </c>
      <c r="AL21" t="s">
        <v>58</v>
      </c>
      <c r="AM21" t="s">
        <v>58</v>
      </c>
    </row>
    <row r="22" spans="2:39" ht="15" customHeight="1">
      <c r="B22" s="81">
        <v>45676</v>
      </c>
      <c r="C22" s="60">
        <v>0.41666666666666702</v>
      </c>
      <c r="D22" s="85">
        <v>17.458333333333332</v>
      </c>
      <c r="E22" s="61">
        <v>56.474999999999994</v>
      </c>
      <c r="F22" s="61">
        <v>567.87333333333333</v>
      </c>
      <c r="G22" s="61">
        <v>337.5</v>
      </c>
      <c r="H22" s="61">
        <v>2.3283333333333331</v>
      </c>
      <c r="I22" s="61">
        <v>515.18166666666662</v>
      </c>
      <c r="J22" s="61"/>
      <c r="K22" s="86">
        <v>0</v>
      </c>
      <c r="L22" s="85">
        <v>17.816666666666666</v>
      </c>
      <c r="M22" s="61">
        <v>54.849999999999994</v>
      </c>
      <c r="N22" s="61">
        <v>567.36666666666667</v>
      </c>
      <c r="O22" s="61">
        <v>337.5</v>
      </c>
      <c r="P22" s="61">
        <v>2.0166666666666671</v>
      </c>
      <c r="Q22" s="61">
        <v>478.68333333333334</v>
      </c>
      <c r="R22" s="61"/>
      <c r="S22" s="91">
        <v>0</v>
      </c>
      <c r="T22" s="85">
        <f t="shared" si="0"/>
        <v>0.35833333333333428</v>
      </c>
      <c r="U22" s="61">
        <f t="shared" si="0"/>
        <v>1.625</v>
      </c>
      <c r="V22" s="61">
        <f t="shared" si="0"/>
        <v>0.5066666666666606</v>
      </c>
      <c r="W22" s="61">
        <f t="shared" si="0"/>
        <v>0</v>
      </c>
      <c r="X22" s="61">
        <f t="shared" si="0"/>
        <v>0.31166666666666609</v>
      </c>
      <c r="Y22" s="61">
        <f t="shared" si="0"/>
        <v>36.498333333333278</v>
      </c>
      <c r="Z22" s="61">
        <f t="shared" si="0"/>
        <v>0</v>
      </c>
      <c r="AA22" s="86">
        <f t="shared" si="1"/>
        <v>0</v>
      </c>
      <c r="AB22" s="59" t="str">
        <f t="shared" si="2"/>
        <v>Cumple</v>
      </c>
      <c r="AL22" t="s">
        <v>58</v>
      </c>
      <c r="AM22" t="s">
        <v>59</v>
      </c>
    </row>
    <row r="23" spans="2:39" ht="15" customHeight="1">
      <c r="B23" s="81">
        <v>45676</v>
      </c>
      <c r="C23" s="60">
        <v>0.45833333333333298</v>
      </c>
      <c r="D23" s="85">
        <v>18.959999999999997</v>
      </c>
      <c r="E23" s="61">
        <v>49.646666666666668</v>
      </c>
      <c r="F23" s="61">
        <v>567.22833333333335</v>
      </c>
      <c r="G23" s="61">
        <v>67.5</v>
      </c>
      <c r="H23" s="61">
        <v>1.9866666666666666</v>
      </c>
      <c r="I23" s="61">
        <v>709.29166666666663</v>
      </c>
      <c r="J23" s="61"/>
      <c r="K23" s="86">
        <v>0</v>
      </c>
      <c r="L23" s="85">
        <v>19.333333333333332</v>
      </c>
      <c r="M23" s="61">
        <v>48.183333333333337</v>
      </c>
      <c r="N23" s="61">
        <v>566.75</v>
      </c>
      <c r="O23" s="61">
        <v>45</v>
      </c>
      <c r="P23" s="61">
        <v>1.8166666666666664</v>
      </c>
      <c r="Q23" s="61">
        <v>669.93333333333328</v>
      </c>
      <c r="R23" s="61"/>
      <c r="S23" s="91">
        <v>0</v>
      </c>
      <c r="T23" s="85">
        <f t="shared" si="0"/>
        <v>0.37333333333333485</v>
      </c>
      <c r="U23" s="61">
        <f t="shared" si="0"/>
        <v>1.4633333333333312</v>
      </c>
      <c r="V23" s="61">
        <f t="shared" si="0"/>
        <v>0.47833333333335304</v>
      </c>
      <c r="W23" s="61">
        <f t="shared" si="0"/>
        <v>22.5</v>
      </c>
      <c r="X23" s="61">
        <f t="shared" si="0"/>
        <v>0.17000000000000015</v>
      </c>
      <c r="Y23" s="61">
        <f>+ABS(Q23-I23)</f>
        <v>39.358333333333348</v>
      </c>
      <c r="Z23" s="61">
        <f t="shared" si="0"/>
        <v>0</v>
      </c>
      <c r="AA23" s="86">
        <f t="shared" si="1"/>
        <v>0</v>
      </c>
      <c r="AB23" s="59" t="str">
        <f t="shared" si="2"/>
        <v>Cumple</v>
      </c>
      <c r="AL23" t="s">
        <v>58</v>
      </c>
      <c r="AM23" t="s">
        <v>58</v>
      </c>
    </row>
    <row r="24" spans="2:39" ht="15" customHeight="1">
      <c r="B24" s="81">
        <v>45676</v>
      </c>
      <c r="C24" s="60">
        <v>0.5</v>
      </c>
      <c r="D24" s="85">
        <v>20.336666666666666</v>
      </c>
      <c r="E24" s="61">
        <v>43.504999999999995</v>
      </c>
      <c r="F24" s="61">
        <v>566.55000000000007</v>
      </c>
      <c r="G24" s="61">
        <v>90</v>
      </c>
      <c r="H24" s="61">
        <v>2.2583333333333333</v>
      </c>
      <c r="I24" s="61">
        <v>681.68166666666673</v>
      </c>
      <c r="J24" s="61"/>
      <c r="K24" s="86">
        <v>0</v>
      </c>
      <c r="L24" s="85">
        <v>20.75</v>
      </c>
      <c r="M24" s="61">
        <v>42.25</v>
      </c>
      <c r="N24" s="61">
        <v>565.86666666666667</v>
      </c>
      <c r="O24" s="61">
        <v>90</v>
      </c>
      <c r="P24" s="61">
        <v>1.9166666666666667</v>
      </c>
      <c r="Q24" s="61">
        <v>631.51666666666677</v>
      </c>
      <c r="R24" s="61"/>
      <c r="S24" s="91">
        <v>0</v>
      </c>
      <c r="T24" s="85">
        <f t="shared" si="0"/>
        <v>0.413333333333334</v>
      </c>
      <c r="U24" s="61">
        <f t="shared" si="0"/>
        <v>1.2549999999999955</v>
      </c>
      <c r="V24" s="61">
        <f t="shared" si="0"/>
        <v>0.68333333333339397</v>
      </c>
      <c r="W24" s="61">
        <f t="shared" si="0"/>
        <v>0</v>
      </c>
      <c r="X24" s="61">
        <f t="shared" si="0"/>
        <v>0.34166666666666656</v>
      </c>
      <c r="Y24" s="61">
        <f t="shared" si="0"/>
        <v>50.164999999999964</v>
      </c>
      <c r="Z24" s="61">
        <f t="shared" si="0"/>
        <v>0</v>
      </c>
      <c r="AA24" s="86">
        <f t="shared" si="1"/>
        <v>0</v>
      </c>
      <c r="AB24" s="59" t="str">
        <f t="shared" si="2"/>
        <v>Cumple</v>
      </c>
      <c r="AL24" t="s">
        <v>58</v>
      </c>
      <c r="AM24" t="s">
        <v>58</v>
      </c>
    </row>
    <row r="25" spans="2:39" ht="15" customHeight="1">
      <c r="B25" s="81">
        <v>45676</v>
      </c>
      <c r="C25" s="60">
        <v>0.54166666666666696</v>
      </c>
      <c r="D25" s="85">
        <v>21.373333333333335</v>
      </c>
      <c r="E25" s="61">
        <v>42.283333333333331</v>
      </c>
      <c r="F25" s="61">
        <v>565.37333333333333</v>
      </c>
      <c r="G25" s="61">
        <v>67.5</v>
      </c>
      <c r="H25" s="61">
        <v>2.7816666666666667</v>
      </c>
      <c r="I25" s="92">
        <v>574.56833333333327</v>
      </c>
      <c r="J25" s="61"/>
      <c r="K25" s="91">
        <v>0</v>
      </c>
      <c r="L25" s="93">
        <v>21.799999999999997</v>
      </c>
      <c r="M25" s="61">
        <v>41.04999999999999</v>
      </c>
      <c r="N25" s="61">
        <v>565.05000000000007</v>
      </c>
      <c r="O25" s="61">
        <v>67.5</v>
      </c>
      <c r="P25" s="61">
        <v>2.4499999999999997</v>
      </c>
      <c r="Q25" s="92">
        <v>533.06666666666672</v>
      </c>
      <c r="R25" s="61"/>
      <c r="S25" s="91">
        <v>0</v>
      </c>
      <c r="T25" s="85">
        <f t="shared" si="0"/>
        <v>0.42666666666666231</v>
      </c>
      <c r="U25" s="61">
        <f t="shared" si="0"/>
        <v>1.2333333333333414</v>
      </c>
      <c r="V25" s="61">
        <f t="shared" si="0"/>
        <v>0.32333333333326664</v>
      </c>
      <c r="W25" s="61">
        <f t="shared" si="0"/>
        <v>0</v>
      </c>
      <c r="X25" s="61">
        <f t="shared" si="0"/>
        <v>0.331666666666667</v>
      </c>
      <c r="Y25" s="61">
        <f t="shared" si="0"/>
        <v>41.501666666666551</v>
      </c>
      <c r="Z25" s="61">
        <f t="shared" si="0"/>
        <v>0</v>
      </c>
      <c r="AA25" s="86">
        <f t="shared" si="1"/>
        <v>0</v>
      </c>
      <c r="AB25" s="59" t="str">
        <f t="shared" si="2"/>
        <v>Cumple</v>
      </c>
      <c r="AL25" t="s">
        <v>60</v>
      </c>
      <c r="AM25" t="s">
        <v>60</v>
      </c>
    </row>
    <row r="26" spans="2:39" ht="15" customHeight="1">
      <c r="B26" s="81">
        <v>45676</v>
      </c>
      <c r="C26" s="60">
        <v>0.58333333333333304</v>
      </c>
      <c r="D26" s="85">
        <v>20.176666666666666</v>
      </c>
      <c r="E26" s="61">
        <v>62.48</v>
      </c>
      <c r="F26" s="61">
        <v>564.83166666666659</v>
      </c>
      <c r="G26" s="61">
        <v>247.5</v>
      </c>
      <c r="H26" s="61">
        <v>5.81</v>
      </c>
      <c r="I26" s="92">
        <v>539.38333333333333</v>
      </c>
      <c r="J26" s="61"/>
      <c r="K26" s="91">
        <v>0</v>
      </c>
      <c r="L26" s="93">
        <v>20.583333333333332</v>
      </c>
      <c r="M26" s="61">
        <v>60.666666666666664</v>
      </c>
      <c r="N26" s="61">
        <v>564.34999999999991</v>
      </c>
      <c r="O26" s="61">
        <v>225</v>
      </c>
      <c r="P26" s="61">
        <v>5.166666666666667</v>
      </c>
      <c r="Q26" s="92">
        <v>490.05</v>
      </c>
      <c r="R26" s="61"/>
      <c r="S26" s="91">
        <v>0</v>
      </c>
      <c r="T26" s="85">
        <f t="shared" si="0"/>
        <v>0.40666666666666629</v>
      </c>
      <c r="U26" s="61">
        <f t="shared" si="0"/>
        <v>1.8133333333333326</v>
      </c>
      <c r="V26" s="61">
        <f t="shared" si="0"/>
        <v>0.48166666666668334</v>
      </c>
      <c r="W26" s="61">
        <f t="shared" si="0"/>
        <v>22.5</v>
      </c>
      <c r="X26" s="61">
        <f t="shared" si="0"/>
        <v>0.64333333333333265</v>
      </c>
      <c r="Y26" s="61">
        <f t="shared" si="0"/>
        <v>49.333333333333314</v>
      </c>
      <c r="Z26" s="61">
        <f t="shared" si="0"/>
        <v>0</v>
      </c>
      <c r="AA26" s="86">
        <f t="shared" si="1"/>
        <v>0</v>
      </c>
      <c r="AB26" s="59" t="str">
        <f t="shared" si="2"/>
        <v>Cumple</v>
      </c>
      <c r="AL26" t="s">
        <v>61</v>
      </c>
      <c r="AM26" t="s">
        <v>61</v>
      </c>
    </row>
    <row r="27" spans="2:39" ht="15" customHeight="1">
      <c r="B27" s="81">
        <v>45676</v>
      </c>
      <c r="C27" s="60">
        <v>0.625</v>
      </c>
      <c r="D27" s="85">
        <v>19.874999999999996</v>
      </c>
      <c r="E27" s="61">
        <v>64.581666666666663</v>
      </c>
      <c r="F27" s="61">
        <v>564.57499999999993</v>
      </c>
      <c r="G27" s="61">
        <v>247.5</v>
      </c>
      <c r="H27" s="61">
        <v>4.7366666666666664</v>
      </c>
      <c r="I27" s="92">
        <v>447.58666666666664</v>
      </c>
      <c r="J27" s="61"/>
      <c r="K27" s="91">
        <v>0</v>
      </c>
      <c r="L27" s="93">
        <v>20.283333333333335</v>
      </c>
      <c r="M27" s="61">
        <v>62.716666666666669</v>
      </c>
      <c r="N27" s="61">
        <v>563.93333333333339</v>
      </c>
      <c r="O27" s="61">
        <v>247.5</v>
      </c>
      <c r="P27" s="61">
        <v>3.9000000000000004</v>
      </c>
      <c r="Q27" s="92">
        <v>403.95</v>
      </c>
      <c r="R27" s="61"/>
      <c r="S27" s="91">
        <v>0</v>
      </c>
      <c r="T27" s="85">
        <f t="shared" si="0"/>
        <v>0.40833333333333854</v>
      </c>
      <c r="U27" s="61">
        <f t="shared" si="0"/>
        <v>1.8649999999999949</v>
      </c>
      <c r="V27" s="61">
        <f t="shared" si="0"/>
        <v>0.64166666666653782</v>
      </c>
      <c r="W27" s="61">
        <f t="shared" si="0"/>
        <v>0</v>
      </c>
      <c r="X27" s="61">
        <f t="shared" si="0"/>
        <v>0.836666666666666</v>
      </c>
      <c r="Y27" s="61">
        <f t="shared" si="0"/>
        <v>43.636666666666656</v>
      </c>
      <c r="Z27" s="61">
        <f t="shared" si="0"/>
        <v>0</v>
      </c>
      <c r="AA27" s="86">
        <f t="shared" si="1"/>
        <v>0</v>
      </c>
      <c r="AB27" s="59" t="str">
        <f t="shared" si="2"/>
        <v>Cumple</v>
      </c>
      <c r="AL27" t="s">
        <v>60</v>
      </c>
      <c r="AM27" t="s">
        <v>60</v>
      </c>
    </row>
    <row r="28" spans="2:39" ht="15" customHeight="1">
      <c r="B28" s="81">
        <v>45676</v>
      </c>
      <c r="C28" s="60">
        <v>0.66666666666666696</v>
      </c>
      <c r="D28" s="85">
        <v>19.301666666666666</v>
      </c>
      <c r="E28" s="61">
        <v>65.400000000000006</v>
      </c>
      <c r="F28" s="61">
        <v>564.25</v>
      </c>
      <c r="G28" s="61">
        <v>270</v>
      </c>
      <c r="H28" s="61">
        <v>3.24</v>
      </c>
      <c r="I28" s="92">
        <v>286.60500000000002</v>
      </c>
      <c r="J28" s="61"/>
      <c r="K28" s="91">
        <v>0</v>
      </c>
      <c r="L28" s="93">
        <v>19.700000000000003</v>
      </c>
      <c r="M28" s="61">
        <v>63.483333333333327</v>
      </c>
      <c r="N28" s="61">
        <v>563.76666666666677</v>
      </c>
      <c r="O28" s="61">
        <v>270</v>
      </c>
      <c r="P28" s="61">
        <v>3.0500000000000003</v>
      </c>
      <c r="Q28" s="92">
        <v>240.61666666666667</v>
      </c>
      <c r="R28" s="61"/>
      <c r="S28" s="91">
        <v>0</v>
      </c>
      <c r="T28" s="85">
        <f t="shared" si="0"/>
        <v>0.39833333333333698</v>
      </c>
      <c r="U28" s="61">
        <f t="shared" si="0"/>
        <v>1.9166666666666785</v>
      </c>
      <c r="V28" s="61">
        <f t="shared" si="0"/>
        <v>0.4833333333332348</v>
      </c>
      <c r="W28" s="61">
        <f t="shared" si="0"/>
        <v>0</v>
      </c>
      <c r="X28" s="61">
        <f t="shared" si="0"/>
        <v>0.18999999999999995</v>
      </c>
      <c r="Y28" s="61">
        <f t="shared" si="0"/>
        <v>45.988333333333344</v>
      </c>
      <c r="Z28" s="61">
        <f t="shared" si="0"/>
        <v>0</v>
      </c>
      <c r="AA28" s="86">
        <f t="shared" si="1"/>
        <v>0</v>
      </c>
      <c r="AB28" s="59" t="str">
        <f t="shared" si="2"/>
        <v>Cumple</v>
      </c>
      <c r="AL28" t="s">
        <v>62</v>
      </c>
      <c r="AM28" t="s">
        <v>63</v>
      </c>
    </row>
    <row r="29" spans="2:39" ht="15" customHeight="1">
      <c r="B29" s="81">
        <v>45676</v>
      </c>
      <c r="C29" s="60">
        <v>0.70833333333333304</v>
      </c>
      <c r="D29" s="85">
        <v>18.188333333333333</v>
      </c>
      <c r="E29" s="61">
        <v>70.663333333333341</v>
      </c>
      <c r="F29" s="61">
        <v>564.94666666666672</v>
      </c>
      <c r="G29" s="61">
        <v>292.5</v>
      </c>
      <c r="H29" s="61">
        <v>3.2550000000000003</v>
      </c>
      <c r="I29" s="92">
        <v>173.43999999999997</v>
      </c>
      <c r="J29" s="61"/>
      <c r="K29" s="91">
        <v>0</v>
      </c>
      <c r="L29" s="93">
        <v>18.55</v>
      </c>
      <c r="M29" s="61">
        <v>68.61666666666666</v>
      </c>
      <c r="N29" s="61">
        <v>564.13333333333333</v>
      </c>
      <c r="O29" s="61">
        <v>292.5</v>
      </c>
      <c r="P29" s="61">
        <v>2.75</v>
      </c>
      <c r="Q29" s="92">
        <v>125.76666666666665</v>
      </c>
      <c r="R29" s="61"/>
      <c r="S29" s="91">
        <v>0</v>
      </c>
      <c r="T29" s="85">
        <f t="shared" si="0"/>
        <v>0.36166666666666814</v>
      </c>
      <c r="U29" s="61">
        <f t="shared" si="0"/>
        <v>2.0466666666666811</v>
      </c>
      <c r="V29" s="61">
        <f t="shared" si="0"/>
        <v>0.81333333333338942</v>
      </c>
      <c r="W29" s="61">
        <f t="shared" si="0"/>
        <v>0</v>
      </c>
      <c r="X29" s="61">
        <f t="shared" si="0"/>
        <v>0.50500000000000034</v>
      </c>
      <c r="Y29" s="61">
        <f t="shared" si="0"/>
        <v>47.673333333333318</v>
      </c>
      <c r="Z29" s="61">
        <f t="shared" si="0"/>
        <v>0</v>
      </c>
      <c r="AA29" s="86">
        <f t="shared" si="1"/>
        <v>0</v>
      </c>
      <c r="AB29" s="59" t="str">
        <f t="shared" si="2"/>
        <v>Cumple</v>
      </c>
      <c r="AL29" t="s">
        <v>64</v>
      </c>
      <c r="AM29" t="s">
        <v>64</v>
      </c>
    </row>
    <row r="30" spans="2:39" ht="15" customHeight="1">
      <c r="B30" s="81">
        <v>45676</v>
      </c>
      <c r="C30" s="60">
        <v>0.75</v>
      </c>
      <c r="D30" s="85">
        <v>16.931666666666668</v>
      </c>
      <c r="E30" s="61">
        <v>79.13333333333334</v>
      </c>
      <c r="F30" s="61">
        <v>565.30499999999995</v>
      </c>
      <c r="G30" s="61">
        <v>292.5</v>
      </c>
      <c r="H30" s="61">
        <v>2.3699999999999997</v>
      </c>
      <c r="I30" s="92">
        <v>36.24</v>
      </c>
      <c r="J30" s="61"/>
      <c r="K30" s="91">
        <v>0</v>
      </c>
      <c r="L30" s="93">
        <v>17.3</v>
      </c>
      <c r="M30" s="61">
        <v>76.833333333333329</v>
      </c>
      <c r="N30" s="61">
        <v>564.65</v>
      </c>
      <c r="O30" s="61">
        <v>270</v>
      </c>
      <c r="P30" s="61">
        <v>1.8833333333333331</v>
      </c>
      <c r="Q30" s="92">
        <v>13.9</v>
      </c>
      <c r="R30" s="61"/>
      <c r="S30" s="91">
        <v>0</v>
      </c>
      <c r="T30" s="85">
        <f t="shared" si="0"/>
        <v>0.36833333333333229</v>
      </c>
      <c r="U30" s="61">
        <f t="shared" si="0"/>
        <v>2.3000000000000114</v>
      </c>
      <c r="V30" s="61">
        <f t="shared" si="0"/>
        <v>0.65499999999997272</v>
      </c>
      <c r="W30" s="61">
        <f t="shared" si="0"/>
        <v>22.5</v>
      </c>
      <c r="X30" s="61">
        <f t="shared" si="0"/>
        <v>0.48666666666666658</v>
      </c>
      <c r="Y30" s="61">
        <f t="shared" si="0"/>
        <v>22.340000000000003</v>
      </c>
      <c r="Z30" s="61">
        <f t="shared" si="0"/>
        <v>0</v>
      </c>
      <c r="AA30" s="86">
        <f t="shared" si="1"/>
        <v>0</v>
      </c>
      <c r="AB30" s="59" t="str">
        <f t="shared" si="2"/>
        <v>Cumple</v>
      </c>
      <c r="AL30" t="s">
        <v>54</v>
      </c>
      <c r="AM30" t="s">
        <v>54</v>
      </c>
    </row>
    <row r="31" spans="2:39" ht="15" customHeight="1">
      <c r="B31" s="81">
        <v>45676</v>
      </c>
      <c r="C31" s="60">
        <v>0.79166666666666696</v>
      </c>
      <c r="D31" s="85">
        <v>16.048333333333332</v>
      </c>
      <c r="E31" s="61">
        <v>81.554999999999993</v>
      </c>
      <c r="F31" s="61">
        <v>565.60500000000002</v>
      </c>
      <c r="G31" s="61">
        <v>247.5</v>
      </c>
      <c r="H31" s="61">
        <v>3.2116666666666664</v>
      </c>
      <c r="I31" s="92">
        <v>0</v>
      </c>
      <c r="J31" s="61"/>
      <c r="K31" s="91">
        <v>0</v>
      </c>
      <c r="L31" s="93">
        <v>16.399999999999999</v>
      </c>
      <c r="M31" s="61">
        <v>79.166666666666671</v>
      </c>
      <c r="N31" s="61">
        <v>565.26666666666665</v>
      </c>
      <c r="O31" s="61">
        <v>225</v>
      </c>
      <c r="P31" s="61">
        <v>2.5333333333333332</v>
      </c>
      <c r="Q31" s="92">
        <v>0</v>
      </c>
      <c r="R31" s="61"/>
      <c r="S31" s="91">
        <v>0</v>
      </c>
      <c r="T31" s="85">
        <f t="shared" si="0"/>
        <v>0.35166666666666657</v>
      </c>
      <c r="U31" s="61">
        <f t="shared" si="0"/>
        <v>2.3883333333333212</v>
      </c>
      <c r="V31" s="61">
        <f t="shared" si="0"/>
        <v>0.33833333333336668</v>
      </c>
      <c r="W31" s="61">
        <f t="shared" si="0"/>
        <v>22.5</v>
      </c>
      <c r="X31" s="61">
        <f t="shared" si="0"/>
        <v>0.67833333333333323</v>
      </c>
      <c r="Y31" s="61">
        <f t="shared" si="0"/>
        <v>0</v>
      </c>
      <c r="Z31" s="61">
        <f t="shared" si="0"/>
        <v>0</v>
      </c>
      <c r="AA31" s="86">
        <f t="shared" si="1"/>
        <v>0</v>
      </c>
      <c r="AB31" s="59" t="str">
        <f t="shared" si="2"/>
        <v>Cumple</v>
      </c>
      <c r="AL31" t="s">
        <v>65</v>
      </c>
      <c r="AM31" t="s">
        <v>65</v>
      </c>
    </row>
    <row r="32" spans="2:39" ht="15" customHeight="1">
      <c r="B32" s="81">
        <v>45676</v>
      </c>
      <c r="C32" s="60">
        <v>0.83333333333333304</v>
      </c>
      <c r="D32" s="85">
        <v>15.905000000000001</v>
      </c>
      <c r="E32" s="61">
        <v>79.096666666666664</v>
      </c>
      <c r="F32" s="61">
        <v>566.5533333333334</v>
      </c>
      <c r="G32" s="61">
        <v>225</v>
      </c>
      <c r="H32" s="61">
        <v>2.8516666666666666</v>
      </c>
      <c r="I32" s="92">
        <v>0</v>
      </c>
      <c r="J32" s="61"/>
      <c r="K32" s="91">
        <v>0</v>
      </c>
      <c r="L32" s="93">
        <v>16.233333333333334</v>
      </c>
      <c r="M32" s="61">
        <v>76.783333333333346</v>
      </c>
      <c r="N32" s="61">
        <v>566.06666666666672</v>
      </c>
      <c r="O32" s="61">
        <v>225</v>
      </c>
      <c r="P32" s="61">
        <v>2.1833333333333336</v>
      </c>
      <c r="Q32" s="92">
        <v>0</v>
      </c>
      <c r="R32" s="61"/>
      <c r="S32" s="91">
        <v>0</v>
      </c>
      <c r="T32" s="85">
        <f t="shared" si="0"/>
        <v>0.32833333333333314</v>
      </c>
      <c r="U32" s="61">
        <f t="shared" si="0"/>
        <v>2.3133333333333184</v>
      </c>
      <c r="V32" s="61">
        <f t="shared" si="0"/>
        <v>0.48666666666667879</v>
      </c>
      <c r="W32" s="61">
        <f t="shared" si="0"/>
        <v>0</v>
      </c>
      <c r="X32" s="61">
        <f t="shared" si="0"/>
        <v>0.668333333333333</v>
      </c>
      <c r="Y32" s="61">
        <f t="shared" si="0"/>
        <v>0</v>
      </c>
      <c r="Z32" s="61">
        <f t="shared" si="0"/>
        <v>0</v>
      </c>
      <c r="AA32" s="86">
        <f t="shared" si="1"/>
        <v>0</v>
      </c>
      <c r="AB32" s="59" t="str">
        <f t="shared" si="2"/>
        <v>Cumple</v>
      </c>
      <c r="AL32" t="s">
        <v>55</v>
      </c>
      <c r="AM32" t="s">
        <v>54</v>
      </c>
    </row>
    <row r="33" spans="2:39" ht="15" customHeight="1">
      <c r="B33" s="81">
        <v>45676</v>
      </c>
      <c r="C33" s="60">
        <v>0.875</v>
      </c>
      <c r="D33" s="85">
        <v>15.595000000000001</v>
      </c>
      <c r="E33" s="61">
        <v>67.708333333333329</v>
      </c>
      <c r="F33" s="61">
        <v>567.60833333333346</v>
      </c>
      <c r="G33" s="61">
        <v>202.5</v>
      </c>
      <c r="H33" s="61">
        <v>1.4716666666666669</v>
      </c>
      <c r="I33" s="92">
        <v>0</v>
      </c>
      <c r="J33" s="61"/>
      <c r="K33" s="91">
        <v>0</v>
      </c>
      <c r="L33" s="93">
        <v>15.91666666666667</v>
      </c>
      <c r="M33" s="61">
        <v>65.766666666666666</v>
      </c>
      <c r="N33" s="61">
        <v>566.94999999999993</v>
      </c>
      <c r="O33" s="61">
        <v>202.5</v>
      </c>
      <c r="P33" s="61">
        <v>1.3166666666666667</v>
      </c>
      <c r="Q33" s="92">
        <v>0</v>
      </c>
      <c r="R33" s="61"/>
      <c r="S33" s="91">
        <v>0</v>
      </c>
      <c r="T33" s="85">
        <f t="shared" si="0"/>
        <v>0.32166666666666899</v>
      </c>
      <c r="U33" s="61">
        <f t="shared" si="0"/>
        <v>1.9416666666666629</v>
      </c>
      <c r="V33" s="61">
        <f t="shared" si="0"/>
        <v>0.65833333333353039</v>
      </c>
      <c r="W33" s="61">
        <f t="shared" si="0"/>
        <v>0</v>
      </c>
      <c r="X33" s="61">
        <f t="shared" si="0"/>
        <v>0.15500000000000025</v>
      </c>
      <c r="Y33" s="61">
        <f t="shared" si="0"/>
        <v>0</v>
      </c>
      <c r="Z33" s="61">
        <f t="shared" si="0"/>
        <v>0</v>
      </c>
      <c r="AA33" s="86">
        <f t="shared" si="1"/>
        <v>0</v>
      </c>
      <c r="AB33" s="59" t="str">
        <f t="shared" si="2"/>
        <v>Cumple</v>
      </c>
      <c r="AL33" t="s">
        <v>55</v>
      </c>
      <c r="AM33" t="s">
        <v>55</v>
      </c>
    </row>
    <row r="34" spans="2:39" ht="15" customHeight="1">
      <c r="B34" s="81">
        <v>45676</v>
      </c>
      <c r="C34" s="60">
        <v>0.91666666666666696</v>
      </c>
      <c r="D34" s="85">
        <v>14.293333333333331</v>
      </c>
      <c r="E34" s="61">
        <v>73.46833333333332</v>
      </c>
      <c r="F34" s="61">
        <v>567.73500000000001</v>
      </c>
      <c r="G34" s="61">
        <v>45</v>
      </c>
      <c r="H34" s="61">
        <v>2.61</v>
      </c>
      <c r="I34" s="92">
        <v>0</v>
      </c>
      <c r="J34" s="61"/>
      <c r="K34" s="91">
        <v>0</v>
      </c>
      <c r="L34" s="93">
        <v>14.583333333333334</v>
      </c>
      <c r="M34" s="61">
        <v>71.333333333333329</v>
      </c>
      <c r="N34" s="61">
        <v>567.25</v>
      </c>
      <c r="O34" s="61">
        <v>45</v>
      </c>
      <c r="P34" s="61">
        <v>1.95</v>
      </c>
      <c r="Q34" s="92">
        <v>0</v>
      </c>
      <c r="R34" s="61"/>
      <c r="S34" s="91">
        <v>0</v>
      </c>
      <c r="T34" s="85">
        <f t="shared" si="0"/>
        <v>0.2900000000000027</v>
      </c>
      <c r="U34" s="61">
        <f t="shared" si="0"/>
        <v>2.1349999999999909</v>
      </c>
      <c r="V34" s="61">
        <f t="shared" si="0"/>
        <v>0.48500000000001364</v>
      </c>
      <c r="W34" s="61">
        <f t="shared" si="0"/>
        <v>0</v>
      </c>
      <c r="X34" s="61">
        <f t="shared" si="0"/>
        <v>0.65999999999999992</v>
      </c>
      <c r="Y34" s="61">
        <f t="shared" si="0"/>
        <v>0</v>
      </c>
      <c r="Z34" s="61">
        <f t="shared" si="0"/>
        <v>0</v>
      </c>
      <c r="AA34" s="86">
        <f t="shared" si="1"/>
        <v>0</v>
      </c>
      <c r="AB34" s="59" t="str">
        <f t="shared" si="2"/>
        <v>Cumple</v>
      </c>
      <c r="AL34" t="s">
        <v>55</v>
      </c>
      <c r="AM34" t="s">
        <v>54</v>
      </c>
    </row>
    <row r="35" spans="2:39" ht="15" customHeight="1" thickBot="1">
      <c r="B35" s="81">
        <v>45676</v>
      </c>
      <c r="C35" s="60">
        <v>0.95833333333333304</v>
      </c>
      <c r="D35" s="87">
        <v>13.01</v>
      </c>
      <c r="E35" s="88">
        <v>75.606666666666669</v>
      </c>
      <c r="F35" s="88">
        <v>568.12833333333333</v>
      </c>
      <c r="G35" s="88">
        <v>45</v>
      </c>
      <c r="H35" s="88">
        <v>1.9583333333333333</v>
      </c>
      <c r="I35" s="94">
        <v>0</v>
      </c>
      <c r="J35" s="88"/>
      <c r="K35" s="95">
        <v>0</v>
      </c>
      <c r="L35" s="96">
        <v>13.283333333333333</v>
      </c>
      <c r="M35" s="88">
        <v>73.400000000000006</v>
      </c>
      <c r="N35" s="88">
        <v>567.46666666666658</v>
      </c>
      <c r="O35" s="88">
        <v>22.5</v>
      </c>
      <c r="P35" s="88">
        <v>1.6333333333333335</v>
      </c>
      <c r="Q35" s="94">
        <v>0</v>
      </c>
      <c r="R35" s="88"/>
      <c r="S35" s="95">
        <v>0</v>
      </c>
      <c r="T35" s="87">
        <f t="shared" si="0"/>
        <v>0.27333333333333343</v>
      </c>
      <c r="U35" s="88">
        <f t="shared" si="0"/>
        <v>2.2066666666666634</v>
      </c>
      <c r="V35" s="88">
        <f t="shared" si="0"/>
        <v>0.66166666666674701</v>
      </c>
      <c r="W35" s="88">
        <f t="shared" si="0"/>
        <v>22.5</v>
      </c>
      <c r="X35" s="88">
        <f t="shared" si="0"/>
        <v>0.32499999999999973</v>
      </c>
      <c r="Y35" s="88">
        <f t="shared" si="0"/>
        <v>0</v>
      </c>
      <c r="Z35" s="88">
        <f t="shared" si="0"/>
        <v>0</v>
      </c>
      <c r="AA35" s="86">
        <f t="shared" si="1"/>
        <v>0</v>
      </c>
      <c r="AB35" s="62" t="str">
        <f t="shared" si="2"/>
        <v>Cumple</v>
      </c>
      <c r="AL35" t="s">
        <v>55</v>
      </c>
      <c r="AM35" t="s">
        <v>55</v>
      </c>
    </row>
    <row r="36" spans="2:39" ht="33" customHeight="1">
      <c r="B36" s="156" t="s">
        <v>42</v>
      </c>
      <c r="C36" s="157"/>
      <c r="D36" s="158">
        <v>45681</v>
      </c>
      <c r="E36" s="159"/>
      <c r="F36" s="159"/>
      <c r="G36" s="159"/>
      <c r="H36" s="159"/>
      <c r="I36" s="160"/>
      <c r="J36" s="161" t="s">
        <v>43</v>
      </c>
      <c r="K36" s="161"/>
      <c r="L36" s="161"/>
      <c r="M36" s="161"/>
      <c r="N36" s="161"/>
      <c r="O36" s="161"/>
      <c r="P36" s="162"/>
      <c r="Q36" s="163" t="s">
        <v>80</v>
      </c>
      <c r="R36" s="164"/>
      <c r="S36" s="164"/>
      <c r="T36" s="165"/>
      <c r="U36" s="165"/>
      <c r="V36" s="165"/>
      <c r="W36" s="165"/>
      <c r="X36" s="165"/>
      <c r="Y36" s="165"/>
      <c r="Z36" s="165"/>
      <c r="AA36" s="165"/>
      <c r="AB36" s="166"/>
    </row>
    <row r="37" spans="2:39" ht="33" customHeight="1">
      <c r="B37" s="167" t="s">
        <v>45</v>
      </c>
      <c r="C37" s="168"/>
      <c r="D37" s="169" t="s">
        <v>46</v>
      </c>
      <c r="E37" s="170"/>
      <c r="F37" s="170"/>
      <c r="G37" s="170"/>
      <c r="H37" s="170"/>
      <c r="I37" s="171"/>
      <c r="J37" s="172" t="s">
        <v>47</v>
      </c>
      <c r="K37" s="173"/>
      <c r="L37" s="173"/>
      <c r="M37" s="173"/>
      <c r="N37" s="173"/>
      <c r="O37" s="173"/>
      <c r="P37" s="173"/>
      <c r="Q37" s="176" t="s">
        <v>48</v>
      </c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8"/>
    </row>
    <row r="38" spans="2:39" ht="33" customHeight="1" thickBot="1">
      <c r="B38" s="182" t="s">
        <v>49</v>
      </c>
      <c r="C38" s="183"/>
      <c r="D38" s="184" t="s">
        <v>50</v>
      </c>
      <c r="E38" s="185"/>
      <c r="F38" s="185"/>
      <c r="G38" s="185"/>
      <c r="H38" s="185"/>
      <c r="I38" s="186"/>
      <c r="J38" s="174"/>
      <c r="K38" s="175"/>
      <c r="L38" s="175"/>
      <c r="M38" s="175"/>
      <c r="N38" s="175"/>
      <c r="O38" s="175"/>
      <c r="P38" s="175"/>
      <c r="Q38" s="179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1"/>
    </row>
    <row r="39" spans="2:39" ht="15" customHeight="1"/>
    <row r="40" spans="2:39" ht="15" customHeight="1"/>
    <row r="41" spans="2:39" ht="15" customHeight="1"/>
    <row r="42" spans="2:39" ht="15" customHeight="1"/>
    <row r="43" spans="2:39" ht="15" customHeight="1"/>
    <row r="44" spans="2:39" ht="15" customHeight="1"/>
    <row r="45" spans="2:39" ht="15" customHeight="1"/>
    <row r="46" spans="2:39" ht="15" customHeight="1"/>
    <row r="47" spans="2:39" ht="15" customHeight="1"/>
    <row r="48" spans="2:39" ht="15" customHeight="1"/>
    <row r="49" customFormat="1" ht="15" customHeight="1"/>
    <row r="50" customFormat="1" ht="15" customHeight="1"/>
    <row r="51" customFormat="1" ht="15" customHeight="1"/>
    <row r="52" customFormat="1" ht="15" customHeight="1"/>
    <row r="53" customFormat="1" ht="15" customHeight="1"/>
    <row r="54" customFormat="1" ht="15" customHeight="1"/>
    <row r="55" customFormat="1" ht="15" customHeight="1"/>
    <row r="56" customFormat="1" ht="15" customHeight="1"/>
    <row r="57" customFormat="1" ht="15" customHeight="1"/>
    <row r="58" customFormat="1" ht="15" customHeight="1"/>
    <row r="59" customFormat="1" ht="15" customHeight="1"/>
    <row r="60" customFormat="1" ht="15" customHeight="1"/>
    <row r="61" customFormat="1" ht="15" customHeight="1"/>
    <row r="62" customFormat="1" ht="15" customHeight="1"/>
    <row r="63" customFormat="1" ht="15" customHeight="1"/>
    <row r="64" customFormat="1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protectedRanges>
    <protectedRange sqref="AL12:AM35" name="Rango1"/>
    <protectedRange sqref="D12:F24 H12:N24 P12:S24" name="Rango1_1"/>
  </protectedRanges>
  <mergeCells count="38">
    <mergeCell ref="B36:C36"/>
    <mergeCell ref="D36:I36"/>
    <mergeCell ref="J36:P36"/>
    <mergeCell ref="Q36:AB36"/>
    <mergeCell ref="B37:C37"/>
    <mergeCell ref="D37:I37"/>
    <mergeCell ref="J37:P38"/>
    <mergeCell ref="Q37:AB38"/>
    <mergeCell ref="B38:C38"/>
    <mergeCell ref="D38:I38"/>
    <mergeCell ref="AB10:AB11"/>
    <mergeCell ref="B8:C8"/>
    <mergeCell ref="D8:K8"/>
    <mergeCell ref="L8:S8"/>
    <mergeCell ref="T8:X8"/>
    <mergeCell ref="Y8:Z8"/>
    <mergeCell ref="AA8:AB8"/>
    <mergeCell ref="B10:B11"/>
    <mergeCell ref="C10:C11"/>
    <mergeCell ref="D10:K10"/>
    <mergeCell ref="L10:S10"/>
    <mergeCell ref="T10:AA10"/>
    <mergeCell ref="AA7:AB7"/>
    <mergeCell ref="B1:C4"/>
    <mergeCell ref="D1:Z2"/>
    <mergeCell ref="AA1:AB4"/>
    <mergeCell ref="D3:Z4"/>
    <mergeCell ref="B6:C6"/>
    <mergeCell ref="D6:K6"/>
    <mergeCell ref="L6:S6"/>
    <mergeCell ref="T6:X6"/>
    <mergeCell ref="Y6:Z6"/>
    <mergeCell ref="AA6:AB6"/>
    <mergeCell ref="B7:C7"/>
    <mergeCell ref="D7:K7"/>
    <mergeCell ref="L7:S7"/>
    <mergeCell ref="T7:X7"/>
    <mergeCell ref="Y7:Z7"/>
  </mergeCells>
  <conditionalFormatting sqref="G12:G24">
    <cfRule type="cellIs" dxfId="39" priority="2" operator="equal">
      <formula>FALSE</formula>
    </cfRule>
  </conditionalFormatting>
  <conditionalFormatting sqref="T12:T35">
    <cfRule type="cellIs" dxfId="38" priority="19" operator="greaterThan">
      <formula>0.5</formula>
    </cfRule>
    <cfRule type="cellIs" dxfId="37" priority="20" operator="lessThanOrEqual">
      <formula>0.5</formula>
    </cfRule>
  </conditionalFormatting>
  <conditionalFormatting sqref="U12:U35">
    <cfRule type="cellIs" dxfId="36" priority="17" operator="greaterThan">
      <formula>5</formula>
    </cfRule>
    <cfRule type="cellIs" dxfId="35" priority="18" operator="lessThanOrEqual">
      <formula>5</formula>
    </cfRule>
  </conditionalFormatting>
  <conditionalFormatting sqref="V12:V35">
    <cfRule type="cellIs" dxfId="34" priority="15" operator="greaterThan">
      <formula>1</formula>
    </cfRule>
    <cfRule type="cellIs" dxfId="33" priority="16" operator="lessThanOrEqual">
      <formula>1</formula>
    </cfRule>
  </conditionalFormatting>
  <conditionalFormatting sqref="W12:W35">
    <cfRule type="cellIs" dxfId="32" priority="13" operator="greaterThan">
      <formula>22.5</formula>
    </cfRule>
    <cfRule type="cellIs" dxfId="31" priority="14" operator="lessThanOrEqual">
      <formula>22.5</formula>
    </cfRule>
  </conditionalFormatting>
  <conditionalFormatting sqref="X12:X35">
    <cfRule type="cellIs" dxfId="30" priority="7" operator="lessThanOrEqual">
      <formula>1</formula>
    </cfRule>
    <cfRule type="cellIs" dxfId="29" priority="8" operator="greaterThan">
      <formula>1</formula>
    </cfRule>
  </conditionalFormatting>
  <conditionalFormatting sqref="Y12:Y35">
    <cfRule type="cellIs" dxfId="28" priority="5" operator="lessThanOrEqual">
      <formula>90</formula>
    </cfRule>
    <cfRule type="cellIs" dxfId="27" priority="6" operator="greaterThan">
      <formula>90</formula>
    </cfRule>
  </conditionalFormatting>
  <conditionalFormatting sqref="Z12:Z35">
    <cfRule type="cellIs" dxfId="26" priority="11" operator="greaterThan">
      <formula>0.8</formula>
    </cfRule>
    <cfRule type="cellIs" dxfId="25" priority="12" operator="lessThanOrEqual">
      <formula>0.8</formula>
    </cfRule>
  </conditionalFormatting>
  <conditionalFormatting sqref="AA12:AA35">
    <cfRule type="cellIs" dxfId="24" priority="1" operator="equal">
      <formula>0</formula>
    </cfRule>
    <cfRule type="expression" dxfId="23" priority="9">
      <formula>OR(AND(K12=0, S12=0), AND(K12&lt;&gt;0, ABS(S12-K12)/K12 &lt;= 0.05))</formula>
    </cfRule>
    <cfRule type="expression" dxfId="22" priority="10">
      <formula>AND(K12&lt;&gt;0, S, ABS(S12-K12)/K12 &gt; 0.05)</formula>
    </cfRule>
  </conditionalFormatting>
  <conditionalFormatting sqref="AK11">
    <cfRule type="cellIs" dxfId="21" priority="3" operator="lessThan">
      <formula>0.05</formula>
    </cfRule>
    <cfRule type="cellIs" dxfId="20" priority="4" operator="greaterThan">
      <formula>0.05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D909-E84A-493A-9016-94B371FE12F3}">
  <dimension ref="B1:AM68"/>
  <sheetViews>
    <sheetView zoomScale="85" zoomScaleNormal="85" workbookViewId="0">
      <selection activeCell="B35" sqref="B35"/>
    </sheetView>
  </sheetViews>
  <sheetFormatPr baseColWidth="10" defaultColWidth="11.42578125" defaultRowHeight="15"/>
  <cols>
    <col min="1" max="1" width="0.28515625" customWidth="1"/>
    <col min="2" max="2" width="11.28515625" customWidth="1"/>
    <col min="3" max="3" width="14" customWidth="1"/>
    <col min="4" max="18" width="8.7109375" customWidth="1"/>
    <col min="19" max="19" width="8.5703125" customWidth="1"/>
    <col min="20" max="24" width="8.7109375" customWidth="1"/>
    <col min="25" max="25" width="9.85546875" customWidth="1"/>
    <col min="26" max="27" width="8.7109375" customWidth="1"/>
    <col min="28" max="28" width="20.85546875" bestFit="1" customWidth="1"/>
    <col min="29" max="29" width="5" customWidth="1"/>
  </cols>
  <sheetData>
    <row r="1" spans="2:39" ht="18" customHeight="1">
      <c r="B1" s="105"/>
      <c r="C1" s="106"/>
      <c r="D1" s="111" t="s">
        <v>6</v>
      </c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3"/>
      <c r="AA1" s="117" t="s">
        <v>51</v>
      </c>
      <c r="AB1" s="118"/>
    </row>
    <row r="2" spans="2:39" ht="18" customHeight="1">
      <c r="B2" s="107"/>
      <c r="C2" s="108"/>
      <c r="D2" s="114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6"/>
      <c r="AA2" s="119"/>
      <c r="AB2" s="120"/>
    </row>
    <row r="3" spans="2:39" ht="18" customHeight="1">
      <c r="B3" s="107"/>
      <c r="C3" s="108"/>
      <c r="D3" s="123" t="s">
        <v>8</v>
      </c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5"/>
      <c r="AA3" s="119"/>
      <c r="AB3" s="120"/>
    </row>
    <row r="4" spans="2:39" ht="18" customHeight="1" thickBot="1">
      <c r="B4" s="109"/>
      <c r="C4" s="110"/>
      <c r="D4" s="126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8"/>
      <c r="AA4" s="121"/>
      <c r="AB4" s="122"/>
    </row>
    <row r="5" spans="2:39" ht="6.6" customHeight="1"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1"/>
    </row>
    <row r="6" spans="2:39" ht="33.75" customHeight="1">
      <c r="B6" s="129" t="s">
        <v>9</v>
      </c>
      <c r="C6" s="129"/>
      <c r="D6" s="130" t="s">
        <v>73</v>
      </c>
      <c r="E6" s="131"/>
      <c r="F6" s="131"/>
      <c r="G6" s="131"/>
      <c r="H6" s="131"/>
      <c r="I6" s="131"/>
      <c r="J6" s="131"/>
      <c r="K6" s="132"/>
      <c r="L6" s="133" t="s">
        <v>10</v>
      </c>
      <c r="M6" s="134"/>
      <c r="N6" s="134"/>
      <c r="O6" s="134"/>
      <c r="P6" s="134"/>
      <c r="Q6" s="134"/>
      <c r="R6" s="134"/>
      <c r="S6" s="135"/>
      <c r="T6" s="136" t="s">
        <v>11</v>
      </c>
      <c r="U6" s="136"/>
      <c r="V6" s="136"/>
      <c r="W6" s="136"/>
      <c r="X6" s="136"/>
      <c r="Y6" s="136" t="s">
        <v>12</v>
      </c>
      <c r="Z6" s="136"/>
      <c r="AA6" s="137" t="s">
        <v>52</v>
      </c>
      <c r="AB6" s="138"/>
    </row>
    <row r="7" spans="2:39" ht="33.75" customHeight="1">
      <c r="B7" s="129" t="s">
        <v>14</v>
      </c>
      <c r="C7" s="129"/>
      <c r="D7" s="130" t="s">
        <v>74</v>
      </c>
      <c r="E7" s="131"/>
      <c r="F7" s="131"/>
      <c r="G7" s="131"/>
      <c r="H7" s="131"/>
      <c r="I7" s="131"/>
      <c r="J7" s="131"/>
      <c r="K7" s="132"/>
      <c r="L7" s="139" t="s">
        <v>15</v>
      </c>
      <c r="M7" s="140"/>
      <c r="N7" s="140"/>
      <c r="O7" s="140"/>
      <c r="P7" s="140"/>
      <c r="Q7" s="140"/>
      <c r="R7" s="140"/>
      <c r="S7" s="141"/>
      <c r="T7" s="139" t="s">
        <v>76</v>
      </c>
      <c r="U7" s="140"/>
      <c r="V7" s="140"/>
      <c r="W7" s="140"/>
      <c r="X7" s="141"/>
      <c r="Y7" s="142">
        <v>6327</v>
      </c>
      <c r="Z7" s="143"/>
      <c r="AA7" s="103" t="s">
        <v>78</v>
      </c>
      <c r="AB7" s="104"/>
    </row>
    <row r="8" spans="2:39" ht="33.75" customHeight="1">
      <c r="B8" s="129" t="s">
        <v>16</v>
      </c>
      <c r="C8" s="129"/>
      <c r="D8" s="130" t="s">
        <v>75</v>
      </c>
      <c r="E8" s="131"/>
      <c r="F8" s="131"/>
      <c r="G8" s="131"/>
      <c r="H8" s="131"/>
      <c r="I8" s="131"/>
      <c r="J8" s="131"/>
      <c r="K8" s="132"/>
      <c r="L8" s="139" t="s">
        <v>77</v>
      </c>
      <c r="M8" s="140"/>
      <c r="N8" s="140"/>
      <c r="O8" s="140"/>
      <c r="P8" s="140"/>
      <c r="Q8" s="140"/>
      <c r="R8" s="140"/>
      <c r="S8" s="141"/>
      <c r="T8" s="139" t="s">
        <v>76</v>
      </c>
      <c r="U8" s="140"/>
      <c r="V8" s="140"/>
      <c r="W8" s="140"/>
      <c r="X8" s="141"/>
      <c r="Y8" s="142">
        <v>6327</v>
      </c>
      <c r="Z8" s="143"/>
      <c r="AA8" s="103" t="s">
        <v>5</v>
      </c>
      <c r="AB8" s="104"/>
    </row>
    <row r="9" spans="2:39" ht="9" customHeight="1" thickBot="1">
      <c r="B9" s="42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4"/>
    </row>
    <row r="10" spans="2:39" ht="22.5" customHeight="1">
      <c r="B10" s="146" t="s">
        <v>18</v>
      </c>
      <c r="C10" s="148" t="s">
        <v>19</v>
      </c>
      <c r="D10" s="150" t="s">
        <v>20</v>
      </c>
      <c r="E10" s="151"/>
      <c r="F10" s="151"/>
      <c r="G10" s="151"/>
      <c r="H10" s="151"/>
      <c r="I10" s="151"/>
      <c r="J10" s="151"/>
      <c r="K10" s="152"/>
      <c r="L10" s="150" t="s">
        <v>21</v>
      </c>
      <c r="M10" s="151"/>
      <c r="N10" s="151"/>
      <c r="O10" s="151"/>
      <c r="P10" s="151"/>
      <c r="Q10" s="151"/>
      <c r="R10" s="151"/>
      <c r="S10" s="153"/>
      <c r="T10" s="154" t="s">
        <v>53</v>
      </c>
      <c r="U10" s="155"/>
      <c r="V10" s="155"/>
      <c r="W10" s="155"/>
      <c r="X10" s="155"/>
      <c r="Y10" s="155"/>
      <c r="Z10" s="155"/>
      <c r="AA10" s="155"/>
      <c r="AB10" s="144" t="s">
        <v>23</v>
      </c>
      <c r="AD10" s="45" t="s">
        <v>34</v>
      </c>
      <c r="AE10" s="45" t="s">
        <v>35</v>
      </c>
      <c r="AF10" s="45" t="s">
        <v>36</v>
      </c>
      <c r="AG10" s="45" t="s">
        <v>37</v>
      </c>
      <c r="AH10" s="45" t="s">
        <v>38</v>
      </c>
      <c r="AI10" s="45" t="s">
        <v>39</v>
      </c>
      <c r="AJ10" s="45" t="s">
        <v>40</v>
      </c>
      <c r="AK10" s="45" t="s">
        <v>41</v>
      </c>
    </row>
    <row r="11" spans="2:39" ht="48.75" customHeight="1" thickBot="1">
      <c r="B11" s="147"/>
      <c r="C11" s="149"/>
      <c r="D11" s="46" t="s">
        <v>24</v>
      </c>
      <c r="E11" s="47" t="s">
        <v>25</v>
      </c>
      <c r="F11" s="47" t="s">
        <v>26</v>
      </c>
      <c r="G11" s="47" t="s">
        <v>27</v>
      </c>
      <c r="H11" s="47" t="s">
        <v>28</v>
      </c>
      <c r="I11" s="47" t="s">
        <v>29</v>
      </c>
      <c r="J11" s="47" t="s">
        <v>30</v>
      </c>
      <c r="K11" s="48" t="s">
        <v>31</v>
      </c>
      <c r="L11" s="49" t="s">
        <v>32</v>
      </c>
      <c r="M11" s="50" t="s">
        <v>25</v>
      </c>
      <c r="N11" s="50" t="s">
        <v>26</v>
      </c>
      <c r="O11" s="50" t="s">
        <v>27</v>
      </c>
      <c r="P11" s="50" t="s">
        <v>28</v>
      </c>
      <c r="Q11" s="50" t="s">
        <v>29</v>
      </c>
      <c r="R11" s="50" t="s">
        <v>33</v>
      </c>
      <c r="S11" s="51" t="s">
        <v>31</v>
      </c>
      <c r="T11" s="52" t="s">
        <v>34</v>
      </c>
      <c r="U11" s="53" t="s">
        <v>35</v>
      </c>
      <c r="V11" s="53" t="s">
        <v>36</v>
      </c>
      <c r="W11" s="53" t="s">
        <v>37</v>
      </c>
      <c r="X11" s="53" t="s">
        <v>38</v>
      </c>
      <c r="Y11" s="53" t="s">
        <v>39</v>
      </c>
      <c r="Z11" s="53" t="s">
        <v>40</v>
      </c>
      <c r="AA11" s="54" t="s">
        <v>41</v>
      </c>
      <c r="AB11" s="145"/>
      <c r="AD11" s="1">
        <v>0.5</v>
      </c>
      <c r="AE11" s="55">
        <v>5</v>
      </c>
      <c r="AF11" s="1">
        <v>1</v>
      </c>
      <c r="AG11" s="1">
        <v>22.5</v>
      </c>
      <c r="AH11" s="1">
        <v>1</v>
      </c>
      <c r="AI11" s="1">
        <v>90</v>
      </c>
      <c r="AJ11" s="1">
        <v>0.8</v>
      </c>
      <c r="AK11" s="56">
        <v>0.05</v>
      </c>
      <c r="AL11" s="13" t="s">
        <v>27</v>
      </c>
      <c r="AM11" s="13" t="s">
        <v>37</v>
      </c>
    </row>
    <row r="12" spans="2:39" ht="15" customHeight="1">
      <c r="B12" s="81">
        <v>45813</v>
      </c>
      <c r="C12" s="57">
        <v>0</v>
      </c>
      <c r="D12" s="82">
        <v>15.416666666666666</v>
      </c>
      <c r="E12" s="58">
        <v>80.033333333333346</v>
      </c>
      <c r="F12" s="58">
        <v>566.18333333333339</v>
      </c>
      <c r="G12" s="58">
        <v>37.4</v>
      </c>
      <c r="H12" s="58">
        <v>1.1833333333333333</v>
      </c>
      <c r="I12" s="58">
        <v>0</v>
      </c>
      <c r="J12" s="58"/>
      <c r="K12" s="83">
        <v>0</v>
      </c>
      <c r="L12" s="82">
        <v>15.213333333333333</v>
      </c>
      <c r="M12" s="58">
        <v>77.72</v>
      </c>
      <c r="N12" s="58">
        <v>565.85166666666669</v>
      </c>
      <c r="O12" s="58">
        <v>34.369999999999997</v>
      </c>
      <c r="P12" s="58">
        <v>0.51166666666666671</v>
      </c>
      <c r="Q12" s="58">
        <v>0</v>
      </c>
      <c r="R12" s="58"/>
      <c r="S12" s="84">
        <v>0</v>
      </c>
      <c r="T12" s="82">
        <f>+ABS(L12-D12)</f>
        <v>0.20333333333333314</v>
      </c>
      <c r="U12" s="58">
        <f t="shared" ref="T12:Z35" si="0">+ABS(M12-E12)</f>
        <v>2.3133333333333468</v>
      </c>
      <c r="V12" s="58">
        <f t="shared" si="0"/>
        <v>0.33166666666670608</v>
      </c>
      <c r="W12" s="58">
        <f t="shared" si="0"/>
        <v>3.0300000000000011</v>
      </c>
      <c r="X12" s="58">
        <f t="shared" si="0"/>
        <v>0.67166666666666663</v>
      </c>
      <c r="Y12" s="90">
        <f t="shared" si="0"/>
        <v>0</v>
      </c>
      <c r="Z12" s="58">
        <f t="shared" si="0"/>
        <v>0</v>
      </c>
      <c r="AA12" s="86">
        <f>IF(AND(K12=0, S12=0), 0, IF(K12=0, 1, ABS((S12-K12)/K12)))</f>
        <v>0</v>
      </c>
      <c r="AB12" s="59" t="str">
        <f>+IF(AND(T12&lt;=$AD$11,U12&lt;=$AE$11,V12&lt;=$AF$11,W12&lt;=$AG$11,X12&lt;=$AH$11,Y12&lt;=$AI$11,Z12&lt;=$AJ$11,AA12&lt;=$AK$11),"Cumple","No cumple")</f>
        <v>Cumple</v>
      </c>
      <c r="AL12" t="s">
        <v>54</v>
      </c>
      <c r="AM12" t="s">
        <v>54</v>
      </c>
    </row>
    <row r="13" spans="2:39" ht="15" customHeight="1">
      <c r="B13" s="81">
        <v>45813</v>
      </c>
      <c r="C13" s="60">
        <v>4.1666666666666664E-2</v>
      </c>
      <c r="D13" s="85">
        <v>15.266666666666667</v>
      </c>
      <c r="E13" s="61">
        <v>80.666666666666671</v>
      </c>
      <c r="F13" s="61">
        <v>566.13333333333333</v>
      </c>
      <c r="G13" s="61">
        <v>94.5</v>
      </c>
      <c r="H13" s="61">
        <v>1.6499999999999997</v>
      </c>
      <c r="I13" s="61">
        <v>0</v>
      </c>
      <c r="J13" s="61"/>
      <c r="K13" s="86">
        <v>0</v>
      </c>
      <c r="L13" s="85">
        <v>15.075000000000001</v>
      </c>
      <c r="M13" s="61">
        <v>78.333333333333329</v>
      </c>
      <c r="N13" s="61">
        <v>565.43999999999994</v>
      </c>
      <c r="O13" s="61">
        <v>89.51</v>
      </c>
      <c r="P13" s="61">
        <v>0.82333333333333325</v>
      </c>
      <c r="Q13" s="61">
        <v>0</v>
      </c>
      <c r="R13" s="61"/>
      <c r="S13" s="91">
        <v>0</v>
      </c>
      <c r="T13" s="85">
        <f t="shared" si="0"/>
        <v>0.19166666666666643</v>
      </c>
      <c r="U13" s="61">
        <f t="shared" si="0"/>
        <v>2.3333333333333428</v>
      </c>
      <c r="V13" s="61">
        <f t="shared" si="0"/>
        <v>0.69333333333338487</v>
      </c>
      <c r="W13" s="61">
        <f t="shared" si="0"/>
        <v>4.9899999999999949</v>
      </c>
      <c r="X13" s="61">
        <f t="shared" si="0"/>
        <v>0.82666666666666644</v>
      </c>
      <c r="Y13" s="61">
        <f t="shared" si="0"/>
        <v>0</v>
      </c>
      <c r="Z13" s="61">
        <f t="shared" si="0"/>
        <v>0</v>
      </c>
      <c r="AA13" s="86">
        <f t="shared" ref="AA13:AA35" si="1">IF(AND(K13=0, S13=0), 0, IF(K13=0, 1, ABS((S13-K13)/K13)))</f>
        <v>0</v>
      </c>
      <c r="AB13" s="59" t="str">
        <f>+IF(AND(T13&lt;=$AD$11,U13&lt;=$AE$11,V13&lt;=$AF$11,W13&lt;=$AG$11,X13&lt;=$AH$11,Y13&lt;=$AI$11,Z13&lt;=$AJ$11,AA13&lt;=$AK$11),"Cumple","No cumple")</f>
        <v>Cumple</v>
      </c>
      <c r="AL13" t="s">
        <v>55</v>
      </c>
      <c r="AM13" t="s">
        <v>54</v>
      </c>
    </row>
    <row r="14" spans="2:39" ht="15" customHeight="1">
      <c r="B14" s="81">
        <v>45813</v>
      </c>
      <c r="C14" s="60">
        <v>8.3333333333333301E-2</v>
      </c>
      <c r="D14" s="85">
        <v>14.75</v>
      </c>
      <c r="E14" s="61">
        <v>82.766666666666666</v>
      </c>
      <c r="F14" s="61">
        <v>565.65</v>
      </c>
      <c r="G14" s="61">
        <v>29.8</v>
      </c>
      <c r="H14" s="61">
        <v>1.9333333333333333</v>
      </c>
      <c r="I14" s="61">
        <v>0</v>
      </c>
      <c r="J14" s="61"/>
      <c r="K14" s="86">
        <v>0</v>
      </c>
      <c r="L14" s="85">
        <v>14.566666666666668</v>
      </c>
      <c r="M14" s="61">
        <v>80.37</v>
      </c>
      <c r="N14" s="61">
        <v>565.14333333333332</v>
      </c>
      <c r="O14" s="61">
        <v>22.81</v>
      </c>
      <c r="P14" s="61">
        <v>1.105</v>
      </c>
      <c r="Q14" s="61">
        <v>0</v>
      </c>
      <c r="R14" s="61"/>
      <c r="S14" s="91">
        <v>0</v>
      </c>
      <c r="T14" s="85">
        <f t="shared" si="0"/>
        <v>0.18333333333333179</v>
      </c>
      <c r="U14" s="61">
        <f t="shared" si="0"/>
        <v>2.3966666666666612</v>
      </c>
      <c r="V14" s="61">
        <f>+ABS(N14-F14)</f>
        <v>0.5066666666666606</v>
      </c>
      <c r="W14" s="61">
        <f t="shared" si="0"/>
        <v>6.990000000000002</v>
      </c>
      <c r="X14" s="61">
        <f t="shared" si="0"/>
        <v>0.82833333333333337</v>
      </c>
      <c r="Y14" s="61">
        <f t="shared" si="0"/>
        <v>0</v>
      </c>
      <c r="Z14" s="61">
        <f t="shared" si="0"/>
        <v>0</v>
      </c>
      <c r="AA14" s="86">
        <f t="shared" si="1"/>
        <v>0</v>
      </c>
      <c r="AB14" s="59" t="str">
        <f>+IF(AND(T14&lt;=$AD$11,U14&lt;=$AE$11,V14&lt;=$AF$11,W14&lt;=$AG$11,X14&lt;=$AH$11,Y14&lt;=$AI$11,Z14&lt;=$AJ$11,AA14&lt;=$AK$11),"Cumple","No cumple")</f>
        <v>Cumple</v>
      </c>
      <c r="AL14" t="s">
        <v>55</v>
      </c>
      <c r="AM14" t="s">
        <v>55</v>
      </c>
    </row>
    <row r="15" spans="2:39" ht="15" customHeight="1">
      <c r="B15" s="81">
        <v>45813</v>
      </c>
      <c r="C15" s="60">
        <v>0.125</v>
      </c>
      <c r="D15" s="85">
        <v>14.649999999999999</v>
      </c>
      <c r="E15" s="61">
        <v>83.65</v>
      </c>
      <c r="F15" s="61">
        <v>565.30000000000007</v>
      </c>
      <c r="G15" s="61">
        <v>57</v>
      </c>
      <c r="H15" s="61">
        <v>1.4666666666666668</v>
      </c>
      <c r="I15" s="61">
        <v>0</v>
      </c>
      <c r="J15" s="61"/>
      <c r="K15" s="86">
        <v>0</v>
      </c>
      <c r="L15" s="85">
        <v>14.459999999999999</v>
      </c>
      <c r="M15" s="61">
        <v>81.221666666666664</v>
      </c>
      <c r="N15" s="61">
        <v>564.9666666666667</v>
      </c>
      <c r="O15" s="61">
        <v>52</v>
      </c>
      <c r="P15" s="61">
        <v>1.1399999999999999</v>
      </c>
      <c r="Q15" s="61">
        <v>0</v>
      </c>
      <c r="R15" s="61"/>
      <c r="S15" s="91">
        <v>0</v>
      </c>
      <c r="T15" s="85">
        <f t="shared" si="0"/>
        <v>0.1899999999999995</v>
      </c>
      <c r="U15" s="61">
        <f t="shared" si="0"/>
        <v>2.4283333333333417</v>
      </c>
      <c r="V15" s="61">
        <f t="shared" si="0"/>
        <v>0.33333333333337123</v>
      </c>
      <c r="W15" s="61">
        <f t="shared" si="0"/>
        <v>5</v>
      </c>
      <c r="X15" s="61">
        <f t="shared" si="0"/>
        <v>0.32666666666666688</v>
      </c>
      <c r="Y15" s="61">
        <f t="shared" si="0"/>
        <v>0</v>
      </c>
      <c r="Z15" s="61">
        <f t="shared" si="0"/>
        <v>0</v>
      </c>
      <c r="AA15" s="86">
        <f t="shared" si="1"/>
        <v>0</v>
      </c>
      <c r="AB15" s="59" t="str">
        <f t="shared" ref="AB15:AB35" si="2">+IF(AND(T15&lt;=$AD$11,U15&lt;=$AE$11,V15&lt;=$AF$11,W15&lt;=$AG$11,X15&lt;=$AH$11,Y15&lt;=$AI$11,Z15&lt;=$AJ$11,AA15&lt;=$AK$11),"Cumple","No cumple")</f>
        <v>Cumple</v>
      </c>
      <c r="AL15" t="s">
        <v>55</v>
      </c>
      <c r="AM15" t="s">
        <v>55</v>
      </c>
    </row>
    <row r="16" spans="2:39" ht="15" customHeight="1">
      <c r="B16" s="81">
        <v>45813</v>
      </c>
      <c r="C16" s="60">
        <v>0.16666666666666699</v>
      </c>
      <c r="D16" s="85">
        <v>14.533333333333333</v>
      </c>
      <c r="E16" s="61">
        <v>85.3</v>
      </c>
      <c r="F16" s="61">
        <v>565.76666666666665</v>
      </c>
      <c r="G16" s="61">
        <v>49.7</v>
      </c>
      <c r="H16" s="61">
        <v>1.6166666666666669</v>
      </c>
      <c r="I16" s="61">
        <v>0</v>
      </c>
      <c r="J16" s="61"/>
      <c r="K16" s="86">
        <v>0</v>
      </c>
      <c r="L16" s="85">
        <v>14.331666666666663</v>
      </c>
      <c r="M16" s="61">
        <v>82.813333333333333</v>
      </c>
      <c r="N16" s="61">
        <v>564.93833333333339</v>
      </c>
      <c r="O16" s="61">
        <v>42.65</v>
      </c>
      <c r="P16" s="61">
        <v>1.1033333333333333</v>
      </c>
      <c r="Q16" s="61">
        <v>0</v>
      </c>
      <c r="R16" s="61"/>
      <c r="S16" s="91">
        <v>0</v>
      </c>
      <c r="T16" s="85">
        <f t="shared" si="0"/>
        <v>0.20166666666666977</v>
      </c>
      <c r="U16" s="61">
        <f t="shared" si="0"/>
        <v>2.4866666666666646</v>
      </c>
      <c r="V16" s="61">
        <f t="shared" si="0"/>
        <v>0.82833333333326209</v>
      </c>
      <c r="W16" s="61">
        <f t="shared" si="0"/>
        <v>7.0500000000000043</v>
      </c>
      <c r="X16" s="61">
        <f t="shared" si="0"/>
        <v>0.51333333333333364</v>
      </c>
      <c r="Y16" s="61">
        <f t="shared" si="0"/>
        <v>0</v>
      </c>
      <c r="Z16" s="61">
        <f t="shared" si="0"/>
        <v>0</v>
      </c>
      <c r="AA16" s="86">
        <f t="shared" si="1"/>
        <v>0</v>
      </c>
      <c r="AB16" s="59" t="str">
        <f t="shared" si="2"/>
        <v>Cumple</v>
      </c>
      <c r="AL16" t="s">
        <v>56</v>
      </c>
      <c r="AM16" t="s">
        <v>57</v>
      </c>
    </row>
    <row r="17" spans="2:39" ht="15" customHeight="1">
      <c r="B17" s="81">
        <v>45813</v>
      </c>
      <c r="C17" s="60">
        <v>0.20833333333333301</v>
      </c>
      <c r="D17" s="85">
        <v>14.6</v>
      </c>
      <c r="E17" s="61">
        <v>85.566666666666663</v>
      </c>
      <c r="F17" s="61">
        <v>565.85</v>
      </c>
      <c r="G17" s="61">
        <v>51.1</v>
      </c>
      <c r="H17" s="61">
        <v>1.0166666666666668</v>
      </c>
      <c r="I17" s="61">
        <v>0</v>
      </c>
      <c r="J17" s="61"/>
      <c r="K17" s="86">
        <v>0</v>
      </c>
      <c r="L17" s="85">
        <v>14.411666666666667</v>
      </c>
      <c r="M17" s="61">
        <v>83.073333333333338</v>
      </c>
      <c r="N17" s="61">
        <v>565.18666666666672</v>
      </c>
      <c r="O17" s="61">
        <v>44.09</v>
      </c>
      <c r="P17" s="61">
        <v>0.49833333333333329</v>
      </c>
      <c r="Q17" s="61">
        <v>0</v>
      </c>
      <c r="R17" s="61"/>
      <c r="S17" s="91">
        <v>0</v>
      </c>
      <c r="T17" s="85">
        <f t="shared" si="0"/>
        <v>0.18833333333333258</v>
      </c>
      <c r="U17" s="61">
        <f t="shared" si="0"/>
        <v>2.4933333333333252</v>
      </c>
      <c r="V17" s="61">
        <f t="shared" si="0"/>
        <v>0.66333333333329847</v>
      </c>
      <c r="W17" s="61">
        <f t="shared" si="0"/>
        <v>7.009999999999998</v>
      </c>
      <c r="X17" s="61">
        <f t="shared" si="0"/>
        <v>0.51833333333333353</v>
      </c>
      <c r="Y17" s="61">
        <f t="shared" si="0"/>
        <v>0</v>
      </c>
      <c r="Z17" s="61">
        <f t="shared" si="0"/>
        <v>0</v>
      </c>
      <c r="AA17" s="86">
        <f t="shared" si="1"/>
        <v>0</v>
      </c>
      <c r="AB17" s="59" t="str">
        <f t="shared" si="2"/>
        <v>Cumple</v>
      </c>
      <c r="AL17" t="s">
        <v>58</v>
      </c>
      <c r="AM17" t="s">
        <v>58</v>
      </c>
    </row>
    <row r="18" spans="2:39" ht="15" customHeight="1">
      <c r="B18" s="81">
        <v>45813</v>
      </c>
      <c r="C18" s="60">
        <v>0.25</v>
      </c>
      <c r="D18" s="85">
        <v>14.700000000000001</v>
      </c>
      <c r="E18" s="61">
        <v>85.016666666666666</v>
      </c>
      <c r="F18" s="61">
        <v>565.78333333333342</v>
      </c>
      <c r="G18" s="61">
        <v>15.7</v>
      </c>
      <c r="H18" s="61">
        <v>1.5666666666666667</v>
      </c>
      <c r="I18" s="61">
        <v>19.816666666666666</v>
      </c>
      <c r="J18" s="61"/>
      <c r="K18" s="86">
        <v>0</v>
      </c>
      <c r="L18" s="85">
        <v>14.508333333333333</v>
      </c>
      <c r="M18" s="61">
        <v>82.553333333333327</v>
      </c>
      <c r="N18" s="61">
        <v>565.63833333333332</v>
      </c>
      <c r="O18" s="61">
        <v>15.74</v>
      </c>
      <c r="P18" s="61">
        <v>0.88833333333333331</v>
      </c>
      <c r="Q18" s="61">
        <v>13.976666666666667</v>
      </c>
      <c r="R18" s="61"/>
      <c r="S18" s="91">
        <v>0</v>
      </c>
      <c r="T18" s="85">
        <f t="shared" si="0"/>
        <v>0.19166666666666821</v>
      </c>
      <c r="U18" s="61">
        <f t="shared" si="0"/>
        <v>2.4633333333333383</v>
      </c>
      <c r="V18" s="61">
        <f t="shared" si="0"/>
        <v>0.1450000000000955</v>
      </c>
      <c r="W18" s="61">
        <f t="shared" si="0"/>
        <v>4.0000000000000924E-2</v>
      </c>
      <c r="X18" s="61">
        <f t="shared" si="0"/>
        <v>0.67833333333333334</v>
      </c>
      <c r="Y18" s="61">
        <f t="shared" si="0"/>
        <v>5.84</v>
      </c>
      <c r="Z18" s="61">
        <f t="shared" si="0"/>
        <v>0</v>
      </c>
      <c r="AA18" s="86">
        <f t="shared" si="1"/>
        <v>0</v>
      </c>
      <c r="AB18" s="59" t="str">
        <f t="shared" si="2"/>
        <v>Cumple</v>
      </c>
      <c r="AL18" t="s">
        <v>55</v>
      </c>
      <c r="AM18" t="s">
        <v>55</v>
      </c>
    </row>
    <row r="19" spans="2:39" ht="15" customHeight="1">
      <c r="B19" s="81">
        <v>45813</v>
      </c>
      <c r="C19" s="60">
        <v>0.29166666666666702</v>
      </c>
      <c r="D19" s="85">
        <v>15.049999999999999</v>
      </c>
      <c r="E19" s="61">
        <v>83.966666666666654</v>
      </c>
      <c r="F19" s="61">
        <v>566.55000000000007</v>
      </c>
      <c r="G19" s="61">
        <v>46.2</v>
      </c>
      <c r="H19" s="61">
        <v>2.4333333333333331</v>
      </c>
      <c r="I19" s="61">
        <v>76.666666666666671</v>
      </c>
      <c r="J19" s="61"/>
      <c r="K19" s="86">
        <v>0</v>
      </c>
      <c r="L19" s="85">
        <v>14.848333333333334</v>
      </c>
      <c r="M19" s="61">
        <v>81.518333333333331</v>
      </c>
      <c r="N19" s="61">
        <v>566.04166666666663</v>
      </c>
      <c r="O19" s="61">
        <v>39.15</v>
      </c>
      <c r="P19" s="61">
        <v>1.7583333333333335</v>
      </c>
      <c r="Q19" s="61">
        <v>71.33</v>
      </c>
      <c r="R19" s="61"/>
      <c r="S19" s="91">
        <v>0</v>
      </c>
      <c r="T19" s="85">
        <f t="shared" si="0"/>
        <v>0.20166666666666444</v>
      </c>
      <c r="U19" s="61">
        <f t="shared" si="0"/>
        <v>2.4483333333333235</v>
      </c>
      <c r="V19" s="61">
        <f t="shared" si="0"/>
        <v>0.50833333333343944</v>
      </c>
      <c r="W19" s="61">
        <f t="shared" si="0"/>
        <v>7.0500000000000043</v>
      </c>
      <c r="X19" s="61">
        <f t="shared" si="0"/>
        <v>0.6749999999999996</v>
      </c>
      <c r="Y19" s="61">
        <f t="shared" si="0"/>
        <v>5.3366666666666731</v>
      </c>
      <c r="Z19" s="61">
        <f t="shared" si="0"/>
        <v>0</v>
      </c>
      <c r="AA19" s="86">
        <f t="shared" si="1"/>
        <v>0</v>
      </c>
      <c r="AB19" s="59" t="str">
        <f t="shared" si="2"/>
        <v>Cumple</v>
      </c>
      <c r="AL19" t="s">
        <v>55</v>
      </c>
      <c r="AM19" t="s">
        <v>55</v>
      </c>
    </row>
    <row r="20" spans="2:39" ht="15" customHeight="1">
      <c r="B20" s="81">
        <v>45813</v>
      </c>
      <c r="C20" s="60">
        <v>0.33333333333333298</v>
      </c>
      <c r="D20" s="85">
        <v>15.816666666666665</v>
      </c>
      <c r="E20" s="61">
        <v>81.2</v>
      </c>
      <c r="F20" s="61">
        <v>566.76666666666677</v>
      </c>
      <c r="G20" s="61">
        <v>36.1</v>
      </c>
      <c r="H20" s="61">
        <v>1.5833333333333333</v>
      </c>
      <c r="I20" s="61">
        <v>130.63333333333333</v>
      </c>
      <c r="J20" s="61"/>
      <c r="K20" s="86">
        <v>0</v>
      </c>
      <c r="L20" s="85">
        <v>15.603333333333332</v>
      </c>
      <c r="M20" s="61">
        <v>78.828333333333333</v>
      </c>
      <c r="N20" s="61">
        <v>566.0916666666667</v>
      </c>
      <c r="O20" s="61">
        <v>29.09</v>
      </c>
      <c r="P20" s="61">
        <v>1.0866666666666667</v>
      </c>
      <c r="Q20" s="61">
        <v>125.95833333333333</v>
      </c>
      <c r="R20" s="61"/>
      <c r="S20" s="91">
        <v>0</v>
      </c>
      <c r="T20" s="85">
        <f t="shared" si="0"/>
        <v>0.21333333333333293</v>
      </c>
      <c r="U20" s="61">
        <f t="shared" si="0"/>
        <v>2.3716666666666697</v>
      </c>
      <c r="V20" s="61">
        <f t="shared" si="0"/>
        <v>0.67500000000006821</v>
      </c>
      <c r="W20" s="61">
        <f t="shared" si="0"/>
        <v>7.0100000000000016</v>
      </c>
      <c r="X20" s="61">
        <f t="shared" si="0"/>
        <v>0.49666666666666659</v>
      </c>
      <c r="Y20" s="61">
        <f t="shared" si="0"/>
        <v>4.6749999999999972</v>
      </c>
      <c r="Z20" s="61">
        <f t="shared" si="0"/>
        <v>0</v>
      </c>
      <c r="AA20" s="86">
        <f t="shared" si="1"/>
        <v>0</v>
      </c>
      <c r="AB20" s="59" t="str">
        <f t="shared" si="2"/>
        <v>Cumple</v>
      </c>
      <c r="AL20" t="s">
        <v>55</v>
      </c>
      <c r="AM20" t="s">
        <v>55</v>
      </c>
    </row>
    <row r="21" spans="2:39" ht="15" customHeight="1">
      <c r="B21" s="81">
        <v>45813</v>
      </c>
      <c r="C21" s="60">
        <v>0.375</v>
      </c>
      <c r="D21" s="85">
        <v>17.55</v>
      </c>
      <c r="E21" s="61">
        <v>74.833333333333329</v>
      </c>
      <c r="F21" s="61">
        <v>565.99999999999989</v>
      </c>
      <c r="G21" s="61">
        <v>33.799999999999997</v>
      </c>
      <c r="H21" s="61">
        <v>1.3</v>
      </c>
      <c r="I21" s="61">
        <v>163</v>
      </c>
      <c r="J21" s="61"/>
      <c r="K21" s="86">
        <v>0</v>
      </c>
      <c r="L21" s="85">
        <v>17.309999999999999</v>
      </c>
      <c r="M21" s="61">
        <v>72.625</v>
      </c>
      <c r="N21" s="61">
        <v>565.82333333333338</v>
      </c>
      <c r="O21" s="61">
        <v>33.76</v>
      </c>
      <c r="P21" s="61">
        <v>0.96666666666666667</v>
      </c>
      <c r="Q21" s="61">
        <v>155.49666666666667</v>
      </c>
      <c r="R21" s="61"/>
      <c r="S21" s="91">
        <v>0</v>
      </c>
      <c r="T21" s="85">
        <f t="shared" si="0"/>
        <v>0.24000000000000199</v>
      </c>
      <c r="U21" s="61">
        <f t="shared" si="0"/>
        <v>2.2083333333333286</v>
      </c>
      <c r="V21" s="61">
        <f t="shared" si="0"/>
        <v>0.17666666666650599</v>
      </c>
      <c r="W21" s="61">
        <f t="shared" si="0"/>
        <v>3.9999999999999147E-2</v>
      </c>
      <c r="X21" s="61">
        <f t="shared" si="0"/>
        <v>0.33333333333333337</v>
      </c>
      <c r="Y21" s="61">
        <f t="shared" si="0"/>
        <v>7.5033333333333303</v>
      </c>
      <c r="Z21" s="61">
        <f t="shared" si="0"/>
        <v>0</v>
      </c>
      <c r="AA21" s="86">
        <f t="shared" si="1"/>
        <v>0</v>
      </c>
      <c r="AB21" s="59" t="str">
        <f t="shared" si="2"/>
        <v>Cumple</v>
      </c>
      <c r="AL21" t="s">
        <v>58</v>
      </c>
      <c r="AM21" t="s">
        <v>58</v>
      </c>
    </row>
    <row r="22" spans="2:39" ht="15" customHeight="1">
      <c r="B22" s="81">
        <v>45813</v>
      </c>
      <c r="C22" s="60">
        <v>0.41666666666666702</v>
      </c>
      <c r="D22" s="85">
        <v>17.350000000000001</v>
      </c>
      <c r="E22" s="61">
        <v>78.266666666666666</v>
      </c>
      <c r="F22" s="61">
        <v>566.19999999999993</v>
      </c>
      <c r="G22" s="61">
        <v>240.7</v>
      </c>
      <c r="H22" s="61">
        <v>2.8666666666666671</v>
      </c>
      <c r="I22" s="61">
        <v>193.25</v>
      </c>
      <c r="J22" s="61"/>
      <c r="K22" s="86">
        <v>0</v>
      </c>
      <c r="L22" s="85">
        <v>17.09333333333333</v>
      </c>
      <c r="M22" s="61">
        <v>75.99499999999999</v>
      </c>
      <c r="N22" s="61">
        <v>565.54333333333341</v>
      </c>
      <c r="O22" s="61">
        <v>235.74</v>
      </c>
      <c r="P22" s="61">
        <v>2.0416666666666665</v>
      </c>
      <c r="Q22" s="61">
        <v>188.90166666666664</v>
      </c>
      <c r="R22" s="61"/>
      <c r="S22" s="91">
        <v>0</v>
      </c>
      <c r="T22" s="85">
        <f t="shared" si="0"/>
        <v>0.25666666666667126</v>
      </c>
      <c r="U22" s="61">
        <f t="shared" si="0"/>
        <v>2.2716666666666754</v>
      </c>
      <c r="V22" s="61">
        <f t="shared" si="0"/>
        <v>0.65666666666652418</v>
      </c>
      <c r="W22" s="61">
        <f t="shared" si="0"/>
        <v>4.9599999999999795</v>
      </c>
      <c r="X22" s="61">
        <f t="shared" si="0"/>
        <v>0.82500000000000062</v>
      </c>
      <c r="Y22" s="61">
        <f t="shared" si="0"/>
        <v>4.3483333333333576</v>
      </c>
      <c r="Z22" s="61">
        <f t="shared" si="0"/>
        <v>0</v>
      </c>
      <c r="AA22" s="86">
        <f t="shared" si="1"/>
        <v>0</v>
      </c>
      <c r="AB22" s="59" t="str">
        <f t="shared" si="2"/>
        <v>Cumple</v>
      </c>
      <c r="AL22" t="s">
        <v>58</v>
      </c>
      <c r="AM22" t="s">
        <v>59</v>
      </c>
    </row>
    <row r="23" spans="2:39" ht="15" customHeight="1">
      <c r="B23" s="81">
        <v>45813</v>
      </c>
      <c r="C23" s="60">
        <v>0.45833333333333298</v>
      </c>
      <c r="D23" s="85">
        <v>18.116666666666667</v>
      </c>
      <c r="E23" s="61">
        <v>74.483333333333334</v>
      </c>
      <c r="F23" s="61">
        <v>565.56666666666672</v>
      </c>
      <c r="G23" s="61">
        <v>56</v>
      </c>
      <c r="H23" s="61">
        <v>2.6999999999999997</v>
      </c>
      <c r="I23" s="61">
        <v>260.91666666666669</v>
      </c>
      <c r="J23" s="61"/>
      <c r="K23" s="86">
        <v>0</v>
      </c>
      <c r="L23" s="85">
        <v>17.878333333333334</v>
      </c>
      <c r="M23" s="61">
        <v>72.311666666666667</v>
      </c>
      <c r="N23" s="61">
        <v>564.88166666666666</v>
      </c>
      <c r="O23" s="61">
        <v>54.04</v>
      </c>
      <c r="P23" s="61">
        <v>2.1783333333333332</v>
      </c>
      <c r="Q23" s="61">
        <v>256.92333333333335</v>
      </c>
      <c r="R23" s="61"/>
      <c r="S23" s="91">
        <v>0</v>
      </c>
      <c r="T23" s="85">
        <f t="shared" si="0"/>
        <v>0.23833333333333329</v>
      </c>
      <c r="U23" s="61">
        <f t="shared" si="0"/>
        <v>2.1716666666666669</v>
      </c>
      <c r="V23" s="61">
        <f t="shared" si="0"/>
        <v>0.68500000000005912</v>
      </c>
      <c r="W23" s="61">
        <f t="shared" si="0"/>
        <v>1.9600000000000009</v>
      </c>
      <c r="X23" s="61">
        <f t="shared" si="0"/>
        <v>0.5216666666666665</v>
      </c>
      <c r="Y23" s="61">
        <f>+ABS(Q23-I23)</f>
        <v>3.9933333333333394</v>
      </c>
      <c r="Z23" s="61">
        <f t="shared" si="0"/>
        <v>0</v>
      </c>
      <c r="AA23" s="86">
        <f t="shared" si="1"/>
        <v>0</v>
      </c>
      <c r="AB23" s="59" t="str">
        <f t="shared" si="2"/>
        <v>Cumple</v>
      </c>
      <c r="AL23" t="s">
        <v>58</v>
      </c>
      <c r="AM23" t="s">
        <v>58</v>
      </c>
    </row>
    <row r="24" spans="2:39" ht="15" customHeight="1">
      <c r="B24" s="81">
        <v>45813</v>
      </c>
      <c r="C24" s="60">
        <v>0.5</v>
      </c>
      <c r="D24" s="85">
        <v>19.416666666666668</v>
      </c>
      <c r="E24" s="61">
        <v>61.70000000000001</v>
      </c>
      <c r="F24" s="61">
        <v>564.96666666666658</v>
      </c>
      <c r="G24" s="61">
        <v>200.9</v>
      </c>
      <c r="H24" s="61">
        <v>5.5000000000000009</v>
      </c>
      <c r="I24" s="61">
        <v>215.5333333333333</v>
      </c>
      <c r="J24" s="61"/>
      <c r="K24" s="86">
        <v>0</v>
      </c>
      <c r="L24" s="85">
        <v>19.166666666666664</v>
      </c>
      <c r="M24" s="61">
        <v>59.903333333333329</v>
      </c>
      <c r="N24" s="61">
        <v>564.29000000000008</v>
      </c>
      <c r="O24" s="61">
        <v>196.89</v>
      </c>
      <c r="P24" s="61">
        <v>4.8566666666666665</v>
      </c>
      <c r="Q24" s="61">
        <v>209.53333333333333</v>
      </c>
      <c r="R24" s="61"/>
      <c r="S24" s="91">
        <v>0</v>
      </c>
      <c r="T24" s="85">
        <f t="shared" si="0"/>
        <v>0.25000000000000355</v>
      </c>
      <c r="U24" s="61">
        <f t="shared" si="0"/>
        <v>1.7966666666666811</v>
      </c>
      <c r="V24" s="61">
        <f t="shared" si="0"/>
        <v>0.67666666666650599</v>
      </c>
      <c r="W24" s="61">
        <f t="shared" si="0"/>
        <v>4.0100000000000193</v>
      </c>
      <c r="X24" s="61">
        <f t="shared" si="0"/>
        <v>0.64333333333333442</v>
      </c>
      <c r="Y24" s="61">
        <f t="shared" si="0"/>
        <v>5.9999999999999716</v>
      </c>
      <c r="Z24" s="61">
        <f t="shared" si="0"/>
        <v>0</v>
      </c>
      <c r="AA24" s="86">
        <f t="shared" si="1"/>
        <v>0</v>
      </c>
      <c r="AB24" s="59" t="str">
        <f t="shared" si="2"/>
        <v>Cumple</v>
      </c>
      <c r="AL24" t="s">
        <v>58</v>
      </c>
      <c r="AM24" t="s">
        <v>58</v>
      </c>
    </row>
    <row r="25" spans="2:39" ht="15" customHeight="1">
      <c r="B25" s="81">
        <v>45813</v>
      </c>
      <c r="C25" s="60">
        <v>0.54166666666666696</v>
      </c>
      <c r="D25" s="85">
        <v>19.966666666666669</v>
      </c>
      <c r="E25" s="61">
        <v>60.233333333333327</v>
      </c>
      <c r="F25" s="61">
        <v>564.66666666666663</v>
      </c>
      <c r="G25" s="61">
        <v>176.4</v>
      </c>
      <c r="H25" s="61">
        <v>4.666666666666667</v>
      </c>
      <c r="I25" s="92">
        <v>236.35</v>
      </c>
      <c r="J25" s="61"/>
      <c r="K25" s="91">
        <v>0</v>
      </c>
      <c r="L25" s="93">
        <v>19.681666666666668</v>
      </c>
      <c r="M25" s="61">
        <v>58.495000000000005</v>
      </c>
      <c r="N25" s="61">
        <v>563.99999999999989</v>
      </c>
      <c r="O25" s="61">
        <v>173.44</v>
      </c>
      <c r="P25" s="61">
        <v>4.3283333333333331</v>
      </c>
      <c r="Q25" s="92">
        <v>232.51500000000001</v>
      </c>
      <c r="R25" s="61"/>
      <c r="S25" s="91">
        <v>0</v>
      </c>
      <c r="T25" s="85">
        <f t="shared" si="0"/>
        <v>0.28500000000000014</v>
      </c>
      <c r="U25" s="61">
        <f t="shared" si="0"/>
        <v>1.7383333333333226</v>
      </c>
      <c r="V25" s="61">
        <f t="shared" si="0"/>
        <v>0.66666666666674246</v>
      </c>
      <c r="W25" s="61">
        <f t="shared" si="0"/>
        <v>2.960000000000008</v>
      </c>
      <c r="X25" s="61">
        <f t="shared" si="0"/>
        <v>0.33833333333333382</v>
      </c>
      <c r="Y25" s="61">
        <f t="shared" si="0"/>
        <v>3.8349999999999795</v>
      </c>
      <c r="Z25" s="61">
        <f t="shared" si="0"/>
        <v>0</v>
      </c>
      <c r="AA25" s="86">
        <f t="shared" si="1"/>
        <v>0</v>
      </c>
      <c r="AB25" s="59" t="str">
        <f t="shared" si="2"/>
        <v>Cumple</v>
      </c>
      <c r="AL25" t="s">
        <v>60</v>
      </c>
      <c r="AM25" t="s">
        <v>60</v>
      </c>
    </row>
    <row r="26" spans="2:39" ht="15" customHeight="1">
      <c r="B26" s="81">
        <v>45813</v>
      </c>
      <c r="C26" s="60">
        <v>0.58333333333333304</v>
      </c>
      <c r="D26" s="85">
        <v>18.233333333333334</v>
      </c>
      <c r="E26" s="61">
        <v>70.766666666666666</v>
      </c>
      <c r="F26" s="61">
        <v>564.21666666666658</v>
      </c>
      <c r="G26" s="61">
        <v>182.3</v>
      </c>
      <c r="H26" s="61">
        <v>4.9833333333333334</v>
      </c>
      <c r="I26" s="92">
        <v>266.86666666666673</v>
      </c>
      <c r="J26" s="61"/>
      <c r="K26" s="91">
        <v>0.6</v>
      </c>
      <c r="L26" s="93">
        <v>17.983333333333334</v>
      </c>
      <c r="M26" s="61">
        <v>68.720000000000013</v>
      </c>
      <c r="N26" s="61">
        <v>563.73000000000013</v>
      </c>
      <c r="O26" s="61">
        <v>176.31</v>
      </c>
      <c r="P26" s="61">
        <v>4.1433333333333335</v>
      </c>
      <c r="Q26" s="92">
        <v>261.53166666666669</v>
      </c>
      <c r="R26" s="61"/>
      <c r="S26" s="91">
        <v>0.6</v>
      </c>
      <c r="T26" s="85">
        <f t="shared" si="0"/>
        <v>0.25</v>
      </c>
      <c r="U26" s="61">
        <f t="shared" si="0"/>
        <v>2.0466666666666526</v>
      </c>
      <c r="V26" s="61">
        <f t="shared" si="0"/>
        <v>0.48666666666645142</v>
      </c>
      <c r="W26" s="61">
        <f t="shared" si="0"/>
        <v>5.9900000000000091</v>
      </c>
      <c r="X26" s="61">
        <f t="shared" si="0"/>
        <v>0.83999999999999986</v>
      </c>
      <c r="Y26" s="61">
        <f t="shared" si="0"/>
        <v>5.3350000000000364</v>
      </c>
      <c r="Z26" s="61">
        <f t="shared" si="0"/>
        <v>0</v>
      </c>
      <c r="AA26" s="86">
        <f t="shared" si="1"/>
        <v>0</v>
      </c>
      <c r="AB26" s="59" t="str">
        <f t="shared" si="2"/>
        <v>Cumple</v>
      </c>
      <c r="AL26" t="s">
        <v>61</v>
      </c>
      <c r="AM26" t="s">
        <v>61</v>
      </c>
    </row>
    <row r="27" spans="2:39" ht="15" customHeight="1">
      <c r="B27" s="81">
        <v>45813</v>
      </c>
      <c r="C27" s="60">
        <v>0.625</v>
      </c>
      <c r="D27" s="85">
        <v>19.150000000000002</v>
      </c>
      <c r="E27" s="61">
        <v>61.650000000000006</v>
      </c>
      <c r="F27" s="61">
        <v>563.7833333333333</v>
      </c>
      <c r="G27" s="61">
        <v>203.5</v>
      </c>
      <c r="H27" s="61">
        <v>4.833333333333333</v>
      </c>
      <c r="I27" s="92">
        <v>345.56666666666661</v>
      </c>
      <c r="J27" s="61"/>
      <c r="K27" s="91">
        <v>0</v>
      </c>
      <c r="L27" s="93">
        <v>18.908333333333331</v>
      </c>
      <c r="M27" s="61">
        <v>59.846666666666664</v>
      </c>
      <c r="N27" s="61">
        <v>563.2733333333332</v>
      </c>
      <c r="O27" s="61">
        <v>201.53</v>
      </c>
      <c r="P27" s="61">
        <v>4.1466666666666656</v>
      </c>
      <c r="Q27" s="92">
        <v>342.71499999999997</v>
      </c>
      <c r="R27" s="61"/>
      <c r="S27" s="91">
        <v>0</v>
      </c>
      <c r="T27" s="85">
        <f t="shared" si="0"/>
        <v>0.24166666666667069</v>
      </c>
      <c r="U27" s="61">
        <f t="shared" si="0"/>
        <v>1.8033333333333417</v>
      </c>
      <c r="V27" s="61">
        <f t="shared" si="0"/>
        <v>0.51000000000010459</v>
      </c>
      <c r="W27" s="61">
        <f t="shared" si="0"/>
        <v>1.9699999999999989</v>
      </c>
      <c r="X27" s="61">
        <f t="shared" si="0"/>
        <v>0.68666666666666742</v>
      </c>
      <c r="Y27" s="61">
        <f t="shared" si="0"/>
        <v>2.851666666666631</v>
      </c>
      <c r="Z27" s="61">
        <f t="shared" si="0"/>
        <v>0</v>
      </c>
      <c r="AA27" s="86">
        <f t="shared" si="1"/>
        <v>0</v>
      </c>
      <c r="AB27" s="59" t="str">
        <f t="shared" si="2"/>
        <v>Cumple</v>
      </c>
      <c r="AL27" t="s">
        <v>60</v>
      </c>
      <c r="AM27" t="s">
        <v>60</v>
      </c>
    </row>
    <row r="28" spans="2:39" ht="15" customHeight="1">
      <c r="B28" s="81">
        <v>45813</v>
      </c>
      <c r="C28" s="60">
        <v>0.66666666666666696</v>
      </c>
      <c r="D28" s="85">
        <v>18.816666666666666</v>
      </c>
      <c r="E28" s="61">
        <v>62.383333333333333</v>
      </c>
      <c r="F28" s="61">
        <v>563.80000000000007</v>
      </c>
      <c r="G28" s="61">
        <v>156.5</v>
      </c>
      <c r="H28" s="61">
        <v>3.2166666666666668</v>
      </c>
      <c r="I28" s="92">
        <v>78.34999999999998</v>
      </c>
      <c r="J28" s="61"/>
      <c r="K28" s="91">
        <v>0</v>
      </c>
      <c r="L28" s="93">
        <v>18.576666666666668</v>
      </c>
      <c r="M28" s="61">
        <v>60.551666666666669</v>
      </c>
      <c r="N28" s="61">
        <v>563.11833333333334</v>
      </c>
      <c r="O28" s="61">
        <v>152.46</v>
      </c>
      <c r="P28" s="61">
        <v>2.7233333333333332</v>
      </c>
      <c r="Q28" s="92">
        <v>74.346666666666678</v>
      </c>
      <c r="R28" s="61"/>
      <c r="S28" s="91">
        <v>0</v>
      </c>
      <c r="T28" s="85">
        <f t="shared" si="0"/>
        <v>0.23999999999999844</v>
      </c>
      <c r="U28" s="61">
        <f t="shared" si="0"/>
        <v>1.8316666666666634</v>
      </c>
      <c r="V28" s="61">
        <f t="shared" si="0"/>
        <v>0.68166666666672882</v>
      </c>
      <c r="W28" s="61">
        <f t="shared" si="0"/>
        <v>4.039999999999992</v>
      </c>
      <c r="X28" s="61">
        <f t="shared" si="0"/>
        <v>0.49333333333333362</v>
      </c>
      <c r="Y28" s="61">
        <f t="shared" si="0"/>
        <v>4.0033333333333019</v>
      </c>
      <c r="Z28" s="61">
        <f t="shared" si="0"/>
        <v>0</v>
      </c>
      <c r="AA28" s="86">
        <f t="shared" si="1"/>
        <v>0</v>
      </c>
      <c r="AB28" s="59" t="str">
        <f t="shared" si="2"/>
        <v>Cumple</v>
      </c>
      <c r="AL28" t="s">
        <v>62</v>
      </c>
      <c r="AM28" t="s">
        <v>63</v>
      </c>
    </row>
    <row r="29" spans="2:39" ht="15" customHeight="1">
      <c r="B29" s="81">
        <v>45813</v>
      </c>
      <c r="C29" s="60">
        <v>0.70833333333333304</v>
      </c>
      <c r="D29" s="85">
        <v>17.633333333333333</v>
      </c>
      <c r="E29" s="61">
        <v>72.499999999999986</v>
      </c>
      <c r="F29" s="61">
        <v>564.13333333333333</v>
      </c>
      <c r="G29" s="61">
        <v>105.8</v>
      </c>
      <c r="H29" s="61">
        <v>3.0499999999999994</v>
      </c>
      <c r="I29" s="92">
        <v>24.733333333333334</v>
      </c>
      <c r="J29" s="61"/>
      <c r="K29" s="91">
        <v>0</v>
      </c>
      <c r="L29" s="93">
        <v>17.406666666666666</v>
      </c>
      <c r="M29" s="61">
        <v>70.388333333333335</v>
      </c>
      <c r="N29" s="61">
        <v>563.79333333333329</v>
      </c>
      <c r="O29" s="61">
        <v>98.79</v>
      </c>
      <c r="P29" s="61">
        <v>2.5533333333333332</v>
      </c>
      <c r="Q29" s="92">
        <v>21.238333333333333</v>
      </c>
      <c r="R29" s="61"/>
      <c r="S29" s="91">
        <v>0</v>
      </c>
      <c r="T29" s="85">
        <f t="shared" si="0"/>
        <v>0.22666666666666657</v>
      </c>
      <c r="U29" s="61">
        <f t="shared" si="0"/>
        <v>2.1116666666666504</v>
      </c>
      <c r="V29" s="61">
        <f t="shared" si="0"/>
        <v>0.34000000000003183</v>
      </c>
      <c r="W29" s="61">
        <f t="shared" si="0"/>
        <v>7.0099999999999909</v>
      </c>
      <c r="X29" s="61">
        <f t="shared" si="0"/>
        <v>0.49666666666666615</v>
      </c>
      <c r="Y29" s="61">
        <f t="shared" si="0"/>
        <v>3.495000000000001</v>
      </c>
      <c r="Z29" s="61">
        <f t="shared" si="0"/>
        <v>0</v>
      </c>
      <c r="AA29" s="86">
        <f t="shared" si="1"/>
        <v>0</v>
      </c>
      <c r="AB29" s="59" t="str">
        <f t="shared" si="2"/>
        <v>Cumple</v>
      </c>
      <c r="AL29" t="s">
        <v>64</v>
      </c>
      <c r="AM29" t="s">
        <v>64</v>
      </c>
    </row>
    <row r="30" spans="2:39" ht="15" customHeight="1">
      <c r="B30" s="81">
        <v>45813</v>
      </c>
      <c r="C30" s="60">
        <v>0.75</v>
      </c>
      <c r="D30" s="85">
        <v>16.983333333333334</v>
      </c>
      <c r="E30" s="61">
        <v>75.133333333333326</v>
      </c>
      <c r="F30" s="61">
        <v>564.88333333333333</v>
      </c>
      <c r="G30" s="61">
        <v>100.9</v>
      </c>
      <c r="H30" s="61">
        <v>2.5666666666666669</v>
      </c>
      <c r="I30" s="92">
        <v>2.1</v>
      </c>
      <c r="J30" s="61"/>
      <c r="K30" s="91">
        <v>0</v>
      </c>
      <c r="L30" s="93">
        <v>16.758333333333336</v>
      </c>
      <c r="M30" s="61">
        <v>72.943333333333328</v>
      </c>
      <c r="N30" s="61">
        <v>564.55499999999995</v>
      </c>
      <c r="O30" s="61">
        <v>100.88</v>
      </c>
      <c r="P30" s="61">
        <v>1.72</v>
      </c>
      <c r="Q30" s="92">
        <v>0.92499999999999993</v>
      </c>
      <c r="R30" s="61"/>
      <c r="S30" s="91">
        <v>0</v>
      </c>
      <c r="T30" s="85">
        <f t="shared" si="0"/>
        <v>0.22499999999999787</v>
      </c>
      <c r="U30" s="61">
        <f t="shared" si="0"/>
        <v>2.1899999999999977</v>
      </c>
      <c r="V30" s="61">
        <f t="shared" si="0"/>
        <v>0.32833333333337578</v>
      </c>
      <c r="W30" s="61">
        <f t="shared" si="0"/>
        <v>2.0000000000010232E-2</v>
      </c>
      <c r="X30" s="61">
        <f t="shared" si="0"/>
        <v>0.8466666666666669</v>
      </c>
      <c r="Y30" s="61">
        <f t="shared" si="0"/>
        <v>1.1750000000000003</v>
      </c>
      <c r="Z30" s="61">
        <f t="shared" si="0"/>
        <v>0</v>
      </c>
      <c r="AA30" s="86">
        <f t="shared" si="1"/>
        <v>0</v>
      </c>
      <c r="AB30" s="59" t="str">
        <f t="shared" si="2"/>
        <v>Cumple</v>
      </c>
      <c r="AL30" t="s">
        <v>54</v>
      </c>
      <c r="AM30" t="s">
        <v>54</v>
      </c>
    </row>
    <row r="31" spans="2:39" ht="15" customHeight="1">
      <c r="B31" s="81">
        <v>45813</v>
      </c>
      <c r="C31" s="60">
        <v>0.79166666666666696</v>
      </c>
      <c r="D31" s="85">
        <v>16.650000000000002</v>
      </c>
      <c r="E31" s="61">
        <v>75.11666666666666</v>
      </c>
      <c r="F31" s="61">
        <v>565.88333333333333</v>
      </c>
      <c r="G31" s="61">
        <v>99.8</v>
      </c>
      <c r="H31" s="61">
        <v>1.2333333333333334</v>
      </c>
      <c r="I31" s="92">
        <v>0</v>
      </c>
      <c r="J31" s="61"/>
      <c r="K31" s="91">
        <v>0</v>
      </c>
      <c r="L31" s="93">
        <v>16.416666666666668</v>
      </c>
      <c r="M31" s="61">
        <v>72.924999999999997</v>
      </c>
      <c r="N31" s="61">
        <v>565.22833333333335</v>
      </c>
      <c r="O31" s="61">
        <v>95.75</v>
      </c>
      <c r="P31" s="61">
        <v>1.0716666666666665</v>
      </c>
      <c r="Q31" s="92">
        <v>0</v>
      </c>
      <c r="R31" s="61"/>
      <c r="S31" s="91">
        <v>0</v>
      </c>
      <c r="T31" s="85">
        <f t="shared" si="0"/>
        <v>0.23333333333333428</v>
      </c>
      <c r="U31" s="61">
        <f t="shared" si="0"/>
        <v>2.1916666666666629</v>
      </c>
      <c r="V31" s="61">
        <f t="shared" si="0"/>
        <v>0.65499999999997272</v>
      </c>
      <c r="W31" s="61">
        <f t="shared" si="0"/>
        <v>4.0499999999999972</v>
      </c>
      <c r="X31" s="61">
        <f t="shared" si="0"/>
        <v>0.16166666666666685</v>
      </c>
      <c r="Y31" s="61">
        <f t="shared" si="0"/>
        <v>0</v>
      </c>
      <c r="Z31" s="61">
        <f t="shared" si="0"/>
        <v>0</v>
      </c>
      <c r="AA31" s="86">
        <f t="shared" si="1"/>
        <v>0</v>
      </c>
      <c r="AB31" s="59" t="str">
        <f t="shared" si="2"/>
        <v>Cumple</v>
      </c>
      <c r="AL31" t="s">
        <v>65</v>
      </c>
      <c r="AM31" t="s">
        <v>65</v>
      </c>
    </row>
    <row r="32" spans="2:39" ht="15" customHeight="1">
      <c r="B32" s="81">
        <v>45813</v>
      </c>
      <c r="C32" s="60">
        <v>0.83333333333333304</v>
      </c>
      <c r="D32" s="85">
        <v>16.05</v>
      </c>
      <c r="E32" s="61">
        <v>76.916666666666671</v>
      </c>
      <c r="F32" s="61">
        <v>566.48333333333323</v>
      </c>
      <c r="G32" s="61">
        <v>63.6</v>
      </c>
      <c r="H32" s="61">
        <v>1.3666666666666669</v>
      </c>
      <c r="I32" s="92">
        <v>0</v>
      </c>
      <c r="J32" s="61"/>
      <c r="K32" s="91">
        <v>0</v>
      </c>
      <c r="L32" s="93">
        <v>15.826666666666668</v>
      </c>
      <c r="M32" s="61">
        <v>74.663333333333327</v>
      </c>
      <c r="N32" s="61">
        <v>565.96833333333336</v>
      </c>
      <c r="O32" s="61">
        <v>63.57</v>
      </c>
      <c r="P32" s="61">
        <v>0.86833333333333329</v>
      </c>
      <c r="Q32" s="92">
        <v>0</v>
      </c>
      <c r="R32" s="61"/>
      <c r="S32" s="91">
        <v>0</v>
      </c>
      <c r="T32" s="85">
        <f t="shared" si="0"/>
        <v>0.22333333333333272</v>
      </c>
      <c r="U32" s="61">
        <f t="shared" si="0"/>
        <v>2.2533333333333445</v>
      </c>
      <c r="V32" s="61">
        <f t="shared" si="0"/>
        <v>0.51499999999987267</v>
      </c>
      <c r="W32" s="61">
        <f t="shared" si="0"/>
        <v>3.0000000000001137E-2</v>
      </c>
      <c r="X32" s="61">
        <f t="shared" si="0"/>
        <v>0.49833333333333363</v>
      </c>
      <c r="Y32" s="61">
        <f t="shared" si="0"/>
        <v>0</v>
      </c>
      <c r="Z32" s="61">
        <f t="shared" si="0"/>
        <v>0</v>
      </c>
      <c r="AA32" s="86">
        <f t="shared" si="1"/>
        <v>0</v>
      </c>
      <c r="AB32" s="59" t="str">
        <f t="shared" si="2"/>
        <v>Cumple</v>
      </c>
      <c r="AL32" t="s">
        <v>55</v>
      </c>
      <c r="AM32" t="s">
        <v>54</v>
      </c>
    </row>
    <row r="33" spans="2:39" ht="15" customHeight="1">
      <c r="B33" s="81">
        <v>45813</v>
      </c>
      <c r="C33" s="60">
        <v>0.875</v>
      </c>
      <c r="D33" s="85">
        <v>15.649999999999999</v>
      </c>
      <c r="E33" s="61">
        <v>78.566666666666663</v>
      </c>
      <c r="F33" s="61">
        <v>566.81666666666672</v>
      </c>
      <c r="G33" s="61">
        <v>89.6</v>
      </c>
      <c r="H33" s="61">
        <v>1.4333333333333333</v>
      </c>
      <c r="I33" s="92">
        <v>0</v>
      </c>
      <c r="J33" s="61"/>
      <c r="K33" s="91">
        <v>0</v>
      </c>
      <c r="L33" s="93">
        <v>15.468333333333334</v>
      </c>
      <c r="M33" s="61">
        <v>76.276666666666671</v>
      </c>
      <c r="N33" s="61">
        <v>566.28499999999997</v>
      </c>
      <c r="O33" s="61">
        <v>88.6</v>
      </c>
      <c r="P33" s="61">
        <v>0.73999999999999988</v>
      </c>
      <c r="Q33" s="92">
        <v>0</v>
      </c>
      <c r="R33" s="61"/>
      <c r="S33" s="91">
        <v>0</v>
      </c>
      <c r="T33" s="85">
        <f t="shared" si="0"/>
        <v>0.18166666666666487</v>
      </c>
      <c r="U33" s="61">
        <f t="shared" si="0"/>
        <v>2.289999999999992</v>
      </c>
      <c r="V33" s="61">
        <f t="shared" si="0"/>
        <v>0.53166666666675155</v>
      </c>
      <c r="W33" s="61">
        <f t="shared" si="0"/>
        <v>1</v>
      </c>
      <c r="X33" s="61">
        <f t="shared" si="0"/>
        <v>0.69333333333333347</v>
      </c>
      <c r="Y33" s="61">
        <f t="shared" si="0"/>
        <v>0</v>
      </c>
      <c r="Z33" s="61">
        <f t="shared" si="0"/>
        <v>0</v>
      </c>
      <c r="AA33" s="86">
        <f t="shared" si="1"/>
        <v>0</v>
      </c>
      <c r="AB33" s="59" t="str">
        <f t="shared" si="2"/>
        <v>Cumple</v>
      </c>
      <c r="AL33" t="s">
        <v>55</v>
      </c>
      <c r="AM33" t="s">
        <v>55</v>
      </c>
    </row>
    <row r="34" spans="2:39" ht="15" customHeight="1">
      <c r="B34" s="81">
        <v>45813</v>
      </c>
      <c r="C34" s="60">
        <v>0.91666666666666696</v>
      </c>
      <c r="D34" s="85">
        <v>15.483333333333333</v>
      </c>
      <c r="E34" s="61">
        <v>79.533333333333317</v>
      </c>
      <c r="F34" s="61">
        <v>567.1</v>
      </c>
      <c r="G34" s="61">
        <v>55.1</v>
      </c>
      <c r="H34" s="61">
        <v>1.8666666666666669</v>
      </c>
      <c r="I34" s="92">
        <v>0</v>
      </c>
      <c r="J34" s="61"/>
      <c r="K34" s="91">
        <v>0</v>
      </c>
      <c r="L34" s="93">
        <v>15.270000000000001</v>
      </c>
      <c r="M34" s="61">
        <v>77.201666666666668</v>
      </c>
      <c r="N34" s="61">
        <v>566.44833333333338</v>
      </c>
      <c r="O34" s="61">
        <v>52.14</v>
      </c>
      <c r="P34" s="61">
        <v>1.365</v>
      </c>
      <c r="Q34" s="92">
        <v>0</v>
      </c>
      <c r="R34" s="61"/>
      <c r="S34" s="91">
        <v>0</v>
      </c>
      <c r="T34" s="85">
        <f t="shared" si="0"/>
        <v>0.21333333333333115</v>
      </c>
      <c r="U34" s="61">
        <f t="shared" si="0"/>
        <v>2.3316666666666492</v>
      </c>
      <c r="V34" s="61">
        <f t="shared" si="0"/>
        <v>0.65166666666664241</v>
      </c>
      <c r="W34" s="61">
        <f t="shared" si="0"/>
        <v>2.9600000000000009</v>
      </c>
      <c r="X34" s="61">
        <f t="shared" si="0"/>
        <v>0.50166666666666693</v>
      </c>
      <c r="Y34" s="61">
        <f t="shared" si="0"/>
        <v>0</v>
      </c>
      <c r="Z34" s="61">
        <f t="shared" si="0"/>
        <v>0</v>
      </c>
      <c r="AA34" s="86">
        <f t="shared" si="1"/>
        <v>0</v>
      </c>
      <c r="AB34" s="59" t="str">
        <f t="shared" si="2"/>
        <v>Cumple</v>
      </c>
      <c r="AL34" t="s">
        <v>55</v>
      </c>
      <c r="AM34" t="s">
        <v>54</v>
      </c>
    </row>
    <row r="35" spans="2:39" ht="15" customHeight="1" thickBot="1">
      <c r="B35" s="81">
        <v>45813</v>
      </c>
      <c r="C35" s="60">
        <v>0.95833333333333304</v>
      </c>
      <c r="D35" s="87">
        <v>14.933333333333332</v>
      </c>
      <c r="E35" s="88">
        <v>81.533333333333331</v>
      </c>
      <c r="F35" s="88">
        <v>566.7166666666667</v>
      </c>
      <c r="G35" s="88">
        <v>24.7</v>
      </c>
      <c r="H35" s="88">
        <v>0.58333333333333337</v>
      </c>
      <c r="I35" s="94">
        <v>0</v>
      </c>
      <c r="J35" s="88"/>
      <c r="K35" s="95">
        <v>0</v>
      </c>
      <c r="L35" s="96">
        <v>14.738333333333332</v>
      </c>
      <c r="M35" s="88">
        <v>79.12833333333333</v>
      </c>
      <c r="N35" s="88">
        <v>566.38166666666666</v>
      </c>
      <c r="O35" s="88">
        <v>23.73</v>
      </c>
      <c r="P35" s="88">
        <v>0.41</v>
      </c>
      <c r="Q35" s="94">
        <v>0</v>
      </c>
      <c r="R35" s="88"/>
      <c r="S35" s="95">
        <v>0</v>
      </c>
      <c r="T35" s="87">
        <f t="shared" si="0"/>
        <v>0.19500000000000028</v>
      </c>
      <c r="U35" s="88">
        <f t="shared" si="0"/>
        <v>2.4050000000000011</v>
      </c>
      <c r="V35" s="88">
        <f t="shared" si="0"/>
        <v>0.33500000000003638</v>
      </c>
      <c r="W35" s="88">
        <f t="shared" si="0"/>
        <v>0.96999999999999886</v>
      </c>
      <c r="X35" s="88">
        <f t="shared" si="0"/>
        <v>0.17333333333333339</v>
      </c>
      <c r="Y35" s="88">
        <f t="shared" si="0"/>
        <v>0</v>
      </c>
      <c r="Z35" s="88">
        <f t="shared" si="0"/>
        <v>0</v>
      </c>
      <c r="AA35" s="86">
        <f t="shared" si="1"/>
        <v>0</v>
      </c>
      <c r="AB35" s="62" t="str">
        <f t="shared" si="2"/>
        <v>Cumple</v>
      </c>
      <c r="AL35" t="s">
        <v>55</v>
      </c>
      <c r="AM35" t="s">
        <v>55</v>
      </c>
    </row>
    <row r="36" spans="2:39" ht="33" customHeight="1">
      <c r="B36" s="156" t="s">
        <v>42</v>
      </c>
      <c r="C36" s="157"/>
      <c r="D36" s="158">
        <v>45818</v>
      </c>
      <c r="E36" s="159"/>
      <c r="F36" s="159"/>
      <c r="G36" s="159"/>
      <c r="H36" s="159"/>
      <c r="I36" s="160"/>
      <c r="J36" s="161" t="s">
        <v>43</v>
      </c>
      <c r="K36" s="161"/>
      <c r="L36" s="161"/>
      <c r="M36" s="161"/>
      <c r="N36" s="161"/>
      <c r="O36" s="161"/>
      <c r="P36" s="162"/>
      <c r="Q36" s="163" t="s">
        <v>80</v>
      </c>
      <c r="R36" s="164"/>
      <c r="S36" s="164"/>
      <c r="T36" s="165"/>
      <c r="U36" s="165"/>
      <c r="V36" s="165"/>
      <c r="W36" s="165"/>
      <c r="X36" s="165"/>
      <c r="Y36" s="165"/>
      <c r="Z36" s="165"/>
      <c r="AA36" s="165"/>
      <c r="AB36" s="166"/>
    </row>
    <row r="37" spans="2:39" ht="33" customHeight="1">
      <c r="B37" s="167" t="s">
        <v>45</v>
      </c>
      <c r="C37" s="168"/>
      <c r="D37" s="169" t="s">
        <v>46</v>
      </c>
      <c r="E37" s="170"/>
      <c r="F37" s="170"/>
      <c r="G37" s="170"/>
      <c r="H37" s="170"/>
      <c r="I37" s="171"/>
      <c r="J37" s="172" t="s">
        <v>47</v>
      </c>
      <c r="K37" s="173"/>
      <c r="L37" s="173"/>
      <c r="M37" s="173"/>
      <c r="N37" s="173"/>
      <c r="O37" s="173"/>
      <c r="P37" s="173"/>
      <c r="Q37" s="176" t="s">
        <v>48</v>
      </c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8"/>
    </row>
    <row r="38" spans="2:39" ht="33" customHeight="1" thickBot="1">
      <c r="B38" s="182" t="s">
        <v>49</v>
      </c>
      <c r="C38" s="183"/>
      <c r="D38" s="184" t="s">
        <v>50</v>
      </c>
      <c r="E38" s="185"/>
      <c r="F38" s="185"/>
      <c r="G38" s="185"/>
      <c r="H38" s="185"/>
      <c r="I38" s="186"/>
      <c r="J38" s="174"/>
      <c r="K38" s="175"/>
      <c r="L38" s="175"/>
      <c r="M38" s="175"/>
      <c r="N38" s="175"/>
      <c r="O38" s="175"/>
      <c r="P38" s="175"/>
      <c r="Q38" s="179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1"/>
    </row>
    <row r="39" spans="2:39" ht="15" customHeight="1"/>
    <row r="40" spans="2:39" ht="15" customHeight="1"/>
    <row r="41" spans="2:39" ht="15" customHeight="1"/>
    <row r="42" spans="2:39" ht="15" customHeight="1"/>
    <row r="43" spans="2:39" ht="15" customHeight="1"/>
    <row r="44" spans="2:39" ht="15" customHeight="1"/>
    <row r="45" spans="2:39" ht="15" customHeight="1"/>
    <row r="46" spans="2:39" ht="15" customHeight="1"/>
    <row r="47" spans="2:39" ht="15" customHeight="1"/>
    <row r="48" spans="2:39" ht="15" customHeight="1"/>
    <row r="49" customFormat="1" ht="15" customHeight="1"/>
    <row r="50" customFormat="1" ht="15" customHeight="1"/>
    <row r="51" customFormat="1" ht="15" customHeight="1"/>
    <row r="52" customFormat="1" ht="15" customHeight="1"/>
    <row r="53" customFormat="1" ht="15" customHeight="1"/>
    <row r="54" customFormat="1" ht="15" customHeight="1"/>
    <row r="55" customFormat="1" ht="15" customHeight="1"/>
    <row r="56" customFormat="1" ht="15" customHeight="1"/>
    <row r="57" customFormat="1" ht="15" customHeight="1"/>
    <row r="58" customFormat="1" ht="15" customHeight="1"/>
    <row r="59" customFormat="1" ht="15" customHeight="1"/>
    <row r="60" customFormat="1" ht="15" customHeight="1"/>
    <row r="61" customFormat="1" ht="15" customHeight="1"/>
    <row r="62" customFormat="1" ht="15" customHeight="1"/>
    <row r="63" customFormat="1" ht="15" customHeight="1"/>
    <row r="64" customFormat="1" ht="15" customHeight="1"/>
    <row r="65" customFormat="1" ht="15" customHeight="1"/>
    <row r="66" customFormat="1" ht="33.75" customHeight="1"/>
    <row r="67" customFormat="1" ht="33.75" customHeight="1"/>
    <row r="68" customFormat="1" ht="33.75" customHeight="1"/>
  </sheetData>
  <protectedRanges>
    <protectedRange sqref="AL12:AM35" name="Rango1"/>
    <protectedRange sqref="D12:F24 H12:N24 P12:S24" name="Rango1_1"/>
  </protectedRanges>
  <mergeCells count="38">
    <mergeCell ref="B36:C36"/>
    <mergeCell ref="D36:I36"/>
    <mergeCell ref="J36:P36"/>
    <mergeCell ref="Q36:AB36"/>
    <mergeCell ref="B37:C37"/>
    <mergeCell ref="D37:I37"/>
    <mergeCell ref="J37:P38"/>
    <mergeCell ref="Q37:AB38"/>
    <mergeCell ref="B38:C38"/>
    <mergeCell ref="D38:I38"/>
    <mergeCell ref="AB10:AB11"/>
    <mergeCell ref="B8:C8"/>
    <mergeCell ref="D8:K8"/>
    <mergeCell ref="L8:S8"/>
    <mergeCell ref="T8:X8"/>
    <mergeCell ref="Y8:Z8"/>
    <mergeCell ref="AA8:AB8"/>
    <mergeCell ref="B10:B11"/>
    <mergeCell ref="C10:C11"/>
    <mergeCell ref="D10:K10"/>
    <mergeCell ref="L10:S10"/>
    <mergeCell ref="T10:AA10"/>
    <mergeCell ref="AA7:AB7"/>
    <mergeCell ref="B1:C4"/>
    <mergeCell ref="D1:Z2"/>
    <mergeCell ref="AA1:AB4"/>
    <mergeCell ref="D3:Z4"/>
    <mergeCell ref="B6:C6"/>
    <mergeCell ref="D6:K6"/>
    <mergeCell ref="L6:S6"/>
    <mergeCell ref="T6:X6"/>
    <mergeCell ref="Y6:Z6"/>
    <mergeCell ref="AA6:AB6"/>
    <mergeCell ref="B7:C7"/>
    <mergeCell ref="D7:K7"/>
    <mergeCell ref="L7:S7"/>
    <mergeCell ref="T7:X7"/>
    <mergeCell ref="Y7:Z7"/>
  </mergeCells>
  <conditionalFormatting sqref="G12:G24">
    <cfRule type="cellIs" dxfId="19" priority="2" operator="equal">
      <formula>FALSE</formula>
    </cfRule>
  </conditionalFormatting>
  <conditionalFormatting sqref="T12:T35">
    <cfRule type="cellIs" dxfId="18" priority="19" operator="greaterThan">
      <formula>0.5</formula>
    </cfRule>
    <cfRule type="cellIs" dxfId="17" priority="20" operator="lessThanOrEqual">
      <formula>0.5</formula>
    </cfRule>
  </conditionalFormatting>
  <conditionalFormatting sqref="U12:U35">
    <cfRule type="cellIs" dxfId="16" priority="17" operator="greaterThan">
      <formula>5</formula>
    </cfRule>
    <cfRule type="cellIs" dxfId="15" priority="18" operator="lessThanOrEqual">
      <formula>5</formula>
    </cfRule>
  </conditionalFormatting>
  <conditionalFormatting sqref="V12:V35">
    <cfRule type="cellIs" dxfId="14" priority="15" operator="greaterThan">
      <formula>1</formula>
    </cfRule>
    <cfRule type="cellIs" dxfId="13" priority="16" operator="lessThanOrEqual">
      <formula>1</formula>
    </cfRule>
  </conditionalFormatting>
  <conditionalFormatting sqref="W12:W35">
    <cfRule type="cellIs" dxfId="12" priority="13" operator="greaterThan">
      <formula>22.5</formula>
    </cfRule>
    <cfRule type="cellIs" dxfId="11" priority="14" operator="lessThanOrEqual">
      <formula>22.5</formula>
    </cfRule>
  </conditionalFormatting>
  <conditionalFormatting sqref="X12:X35">
    <cfRule type="cellIs" dxfId="10" priority="7" operator="lessThanOrEqual">
      <formula>1</formula>
    </cfRule>
    <cfRule type="cellIs" dxfId="9" priority="8" operator="greaterThan">
      <formula>1</formula>
    </cfRule>
  </conditionalFormatting>
  <conditionalFormatting sqref="Y12:Y35">
    <cfRule type="cellIs" dxfId="8" priority="5" operator="lessThanOrEqual">
      <formula>90</formula>
    </cfRule>
    <cfRule type="cellIs" dxfId="7" priority="6" operator="greaterThan">
      <formula>90</formula>
    </cfRule>
  </conditionalFormatting>
  <conditionalFormatting sqref="Z12:Z35">
    <cfRule type="cellIs" dxfId="6" priority="11" operator="greaterThan">
      <formula>0.8</formula>
    </cfRule>
    <cfRule type="cellIs" dxfId="5" priority="12" operator="lessThanOrEqual">
      <formula>0.8</formula>
    </cfRule>
  </conditionalFormatting>
  <conditionalFormatting sqref="AA12:AA35">
    <cfRule type="cellIs" dxfId="4" priority="1" operator="equal">
      <formula>0</formula>
    </cfRule>
    <cfRule type="expression" dxfId="3" priority="9">
      <formula>OR(AND(K12=0, S12=0), AND(K12&lt;&gt;0, ABS(S12-K12)/K12 &lt;= 0.05))</formula>
    </cfRule>
    <cfRule type="expression" dxfId="2" priority="10">
      <formula>" =Y(K12&lt;&gt;0, S, ABS(S12-K12)/K12 &gt; 0.05)"</formula>
    </cfRule>
  </conditionalFormatting>
  <conditionalFormatting sqref="AK11">
    <cfRule type="cellIs" dxfId="1" priority="3" operator="lessThan">
      <formula>0.05</formula>
    </cfRule>
    <cfRule type="cellIs" dxfId="0" priority="4" operator="greaterThan">
      <formula>0.05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BFA7-CD40-4862-9692-731AC0DEB5AE}">
  <dimension ref="A2:C9"/>
  <sheetViews>
    <sheetView workbookViewId="0">
      <selection activeCell="A8" sqref="A8"/>
    </sheetView>
  </sheetViews>
  <sheetFormatPr baseColWidth="10" defaultColWidth="11.42578125" defaultRowHeight="14.25"/>
  <cols>
    <col min="1" max="2" width="15" style="98" customWidth="1"/>
    <col min="3" max="3" width="78.28515625" style="98" customWidth="1"/>
    <col min="4" max="16384" width="11.42578125" style="98"/>
  </cols>
  <sheetData>
    <row r="2" spans="1:3" ht="15">
      <c r="A2" s="97" t="s">
        <v>66</v>
      </c>
    </row>
    <row r="4" spans="1:3" ht="15">
      <c r="A4" s="99" t="s">
        <v>67</v>
      </c>
      <c r="B4" s="99" t="s">
        <v>68</v>
      </c>
      <c r="C4" s="99" t="s">
        <v>69</v>
      </c>
    </row>
    <row r="5" spans="1:3">
      <c r="A5" s="100">
        <v>44269</v>
      </c>
      <c r="B5" s="101">
        <v>1</v>
      </c>
      <c r="C5" s="102" t="s">
        <v>70</v>
      </c>
    </row>
    <row r="6" spans="1:3">
      <c r="A6" s="100">
        <v>44791</v>
      </c>
      <c r="B6" s="101">
        <v>2</v>
      </c>
      <c r="C6" s="102" t="s">
        <v>71</v>
      </c>
    </row>
    <row r="7" spans="1:3">
      <c r="A7" s="100">
        <v>45447</v>
      </c>
      <c r="B7" s="101">
        <v>3</v>
      </c>
      <c r="C7" s="102" t="s">
        <v>72</v>
      </c>
    </row>
    <row r="8" spans="1:3">
      <c r="A8" s="100"/>
      <c r="B8" s="101"/>
      <c r="C8" s="102"/>
    </row>
    <row r="9" spans="1:3">
      <c r="A9" s="100"/>
      <c r="B9" s="101"/>
      <c r="C9" s="10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78B4E8897D55449C80A22DA0695850" ma:contentTypeVersion="3" ma:contentTypeDescription="Crear nuevo documento." ma:contentTypeScope="" ma:versionID="421ced67a557eaa3f2747eba89a54094">
  <xsd:schema xmlns:xsd="http://www.w3.org/2001/XMLSchema" xmlns:xs="http://www.w3.org/2001/XMLSchema" xmlns:p="http://schemas.microsoft.com/office/2006/metadata/properties" xmlns:ns2="cfad4e1c-eea5-4e91-ae8f-5369871007fb" targetNamespace="http://schemas.microsoft.com/office/2006/metadata/properties" ma:root="true" ma:fieldsID="29ca33375982a7711d712b1ebb334325" ns2:_="">
    <xsd:import namespace="cfad4e1c-eea5-4e91-ae8f-5369871007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ad4e1c-eea5-4e91-ae8f-5369871007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9EE75A-019E-4E91-94E2-0A01373CA36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68D37E5-7DC4-4D19-9D10-F7A66B2B9A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B1EA0A-A19F-4A7B-BC82-8FD78E0D2D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ad4e1c-eea5-4e91-ae8f-5369871007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Fechas </vt:lpstr>
      <vt:lpstr>230303</vt:lpstr>
      <vt:lpstr>230903</vt:lpstr>
      <vt:lpstr>240203</vt:lpstr>
      <vt:lpstr>240803</vt:lpstr>
      <vt:lpstr>250122</vt:lpstr>
      <vt:lpstr>250607</vt:lpstr>
      <vt:lpstr>Cambios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Jerson Fabian Bueno Guarin</dc:creator>
  <cp:keywords/>
  <dc:description/>
  <cp:lastModifiedBy>Holman Leonardo Perez Diaz</cp:lastModifiedBy>
  <cp:revision/>
  <dcterms:created xsi:type="dcterms:W3CDTF">2025-10-10T13:20:27Z</dcterms:created>
  <dcterms:modified xsi:type="dcterms:W3CDTF">2026-02-12T13:46:13Z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0x0101005078B4E8897D55449C80A22DA0695850</vt:lpwstr>
  </property>
</Properties>
</file>