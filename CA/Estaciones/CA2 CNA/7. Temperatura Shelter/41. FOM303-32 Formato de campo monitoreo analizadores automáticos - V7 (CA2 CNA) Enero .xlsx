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2 CNA\7. Temperatura Shelter\"/>
    </mc:Choice>
  </mc:AlternateContent>
  <xr:revisionPtr revIDLastSave="0" documentId="13_ncr:1_{926DD5E5-6294-4D2D-A9E4-12374A8E53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E41" i="1" l="1"/>
  <c r="B12" i="34" s="1"/>
  <c r="C46" i="27"/>
  <c r="C47" i="27"/>
  <c r="C48" i="27" s="1"/>
  <c r="E12" i="34" a="1"/>
  <c r="E12" i="34" s="1"/>
  <c r="E11" i="34" a="1"/>
  <c r="E11" i="34" s="1"/>
  <c r="E10" i="34" a="1"/>
  <c r="E10" i="34" s="1"/>
  <c r="E12" i="33" a="1"/>
  <c r="E12" i="33" s="1"/>
  <c r="E11" i="33" a="1"/>
  <c r="E11" i="33" s="1"/>
  <c r="E10" i="33" a="1"/>
  <c r="E10" i="33" s="1"/>
  <c r="E12" i="32" a="1"/>
  <c r="E12" i="32" s="1"/>
  <c r="E11" i="32" a="1"/>
  <c r="E11" i="32" s="1"/>
  <c r="E10" i="32" a="1"/>
  <c r="E10" i="32" s="1"/>
  <c r="E7" i="32" a="1"/>
  <c r="E7" i="32" s="1"/>
  <c r="E12" i="31" a="1"/>
  <c r="E12" i="31" s="1"/>
  <c r="E11" i="31" a="1"/>
  <c r="E11" i="31" s="1"/>
  <c r="E10" i="31" a="1"/>
  <c r="E10" i="31" s="1"/>
  <c r="E12" i="30" a="1"/>
  <c r="E12" i="30" s="1"/>
  <c r="E11" i="30" a="1"/>
  <c r="E11" i="30" s="1"/>
  <c r="E10" i="30" a="1"/>
  <c r="E10" i="30" s="1"/>
  <c r="E12" i="29" a="1"/>
  <c r="E12" i="29" s="1"/>
  <c r="E11" i="29" a="1"/>
  <c r="E11" i="29" s="1"/>
  <c r="E10" i="29" a="1"/>
  <c r="E10" i="29" s="1"/>
  <c r="E12" i="28" a="1"/>
  <c r="E12" i="28" s="1"/>
  <c r="E11" i="28" a="1"/>
  <c r="E11" i="28" s="1"/>
  <c r="E10" i="28" a="1"/>
  <c r="E10" i="28" s="1"/>
  <c r="E12" i="27"/>
  <c r="E12" i="27" a="1"/>
  <c r="E11" i="27" a="1"/>
  <c r="E11" i="27" s="1"/>
  <c r="E10" i="27" a="1"/>
  <c r="E10" i="27" s="1"/>
  <c r="E12" i="26" a="1"/>
  <c r="E12" i="26" s="1"/>
  <c r="E11" i="26" a="1"/>
  <c r="E11" i="26" s="1"/>
  <c r="E10" i="26" a="1"/>
  <c r="E10" i="26" s="1"/>
  <c r="E12" i="25" a="1"/>
  <c r="E12" i="25" s="1"/>
  <c r="E11" i="25" a="1"/>
  <c r="E11" i="25" s="1"/>
  <c r="E10" i="25" a="1"/>
  <c r="E10" i="25" s="1"/>
  <c r="E12" i="24" a="1"/>
  <c r="E12" i="24" s="1"/>
  <c r="E11" i="24" a="1"/>
  <c r="E11" i="24" s="1"/>
  <c r="E10" i="24" a="1"/>
  <c r="E10" i="24" s="1"/>
  <c r="E12" i="23" a="1"/>
  <c r="E12" i="23" s="1"/>
  <c r="E11" i="23" a="1"/>
  <c r="E11" i="23" s="1"/>
  <c r="E10" i="23" a="1"/>
  <c r="E10" i="23" s="1"/>
  <c r="E12" i="22" a="1"/>
  <c r="E12" i="22" s="1"/>
  <c r="E11" i="22" a="1"/>
  <c r="E11" i="22" s="1"/>
  <c r="E10" i="22" a="1"/>
  <c r="E10" i="22" s="1"/>
  <c r="E9" i="22" a="1"/>
  <c r="E9" i="22" s="1"/>
  <c r="E12" i="21" a="1"/>
  <c r="E12" i="21" s="1"/>
  <c r="E11" i="21" a="1"/>
  <c r="E11" i="21" s="1"/>
  <c r="E10" i="21" a="1"/>
  <c r="E10" i="21" s="1"/>
  <c r="E12" i="20" a="1"/>
  <c r="E12" i="20" s="1"/>
  <c r="E11" i="20" a="1"/>
  <c r="E11" i="20" s="1"/>
  <c r="E10" i="20" a="1"/>
  <c r="E10" i="20" s="1"/>
  <c r="B10" i="34" a="1"/>
  <c r="B10" i="34" s="1"/>
  <c r="B8" i="34" a="1"/>
  <c r="B8" i="34" s="1"/>
  <c r="B10" i="33" a="1"/>
  <c r="B10" i="33" s="1"/>
  <c r="B8" i="33" a="1"/>
  <c r="B8" i="33" s="1"/>
  <c r="B10" i="32" a="1"/>
  <c r="B10" i="32" s="1"/>
  <c r="B8" i="32" a="1"/>
  <c r="B8" i="32" s="1"/>
  <c r="B10" i="31" a="1"/>
  <c r="B10" i="31" s="1"/>
  <c r="B8" i="31" a="1"/>
  <c r="B8" i="31" s="1"/>
  <c r="B10" i="30" a="1"/>
  <c r="B10" i="30" s="1"/>
  <c r="B8" i="30" a="1"/>
  <c r="B8" i="30" s="1"/>
  <c r="B10" i="29" a="1"/>
  <c r="B10" i="29" s="1"/>
  <c r="B8" i="29" a="1"/>
  <c r="B8" i="29" s="1"/>
  <c r="B10" i="28" a="1"/>
  <c r="B10" i="28" s="1"/>
  <c r="B8" i="28" a="1"/>
  <c r="B8" i="28" s="1"/>
  <c r="B10" i="27" a="1"/>
  <c r="B10" i="27" s="1"/>
  <c r="B8" i="27" a="1"/>
  <c r="B8" i="27" s="1"/>
  <c r="B10" i="26" a="1"/>
  <c r="B10" i="26" s="1"/>
  <c r="B8" i="26" a="1"/>
  <c r="B8" i="26" s="1"/>
  <c r="B10" i="25" a="1"/>
  <c r="B10" i="25" s="1"/>
  <c r="B8" i="25" a="1"/>
  <c r="B8" i="25" s="1"/>
  <c r="B10" i="24" a="1"/>
  <c r="B10" i="24" s="1"/>
  <c r="B8" i="24" a="1"/>
  <c r="B8" i="24" s="1"/>
  <c r="B10" i="23" a="1"/>
  <c r="B10" i="23" s="1"/>
  <c r="B8" i="23" a="1"/>
  <c r="B8" i="23" s="1"/>
  <c r="B10" i="22" a="1"/>
  <c r="B10" i="22" s="1"/>
  <c r="B8" i="22" a="1"/>
  <c r="B8" i="22" s="1"/>
  <c r="B10" i="21" a="1"/>
  <c r="B10" i="21" s="1"/>
  <c r="B8" i="21" a="1"/>
  <c r="B8" i="21" s="1"/>
  <c r="B10" i="20" a="1"/>
  <c r="B10" i="20" s="1"/>
  <c r="B8" i="20" a="1"/>
  <c r="B8" i="20" s="1"/>
  <c r="E12" i="19" a="1"/>
  <c r="E12" i="19" s="1"/>
  <c r="E10" i="19" a="1"/>
  <c r="E10" i="19" s="1"/>
  <c r="E11" i="19" a="1"/>
  <c r="E11" i="19" s="1"/>
  <c r="B8" i="19" a="1"/>
  <c r="B8" i="19" s="1"/>
  <c r="B10" i="19" a="1"/>
  <c r="B10" i="19"/>
  <c r="E10" i="18" a="1"/>
  <c r="E10" i="18"/>
  <c r="E11" i="18" a="1"/>
  <c r="E11" i="18"/>
  <c r="E12" i="18" a="1"/>
  <c r="E12" i="18" s="1"/>
  <c r="B8" i="18" a="1"/>
  <c r="B8" i="18"/>
  <c r="B10" i="18" a="1"/>
  <c r="B10" i="18"/>
  <c r="E10" i="17" a="1"/>
  <c r="E10" i="17" s="1"/>
  <c r="E11" i="17" a="1"/>
  <c r="E11" i="17" s="1"/>
  <c r="E12" i="17" a="1"/>
  <c r="E12" i="17" s="1"/>
  <c r="B8" i="17" a="1"/>
  <c r="B8" i="17"/>
  <c r="B10" i="17" a="1"/>
  <c r="B10" i="17" s="1"/>
  <c r="E10" i="16" a="1"/>
  <c r="E10" i="16" s="1"/>
  <c r="E11" i="16" a="1"/>
  <c r="E11" i="16" s="1"/>
  <c r="E12" i="16" a="1"/>
  <c r="E12" i="16"/>
  <c r="B8" i="16" a="1"/>
  <c r="B8" i="16" s="1"/>
  <c r="B10" i="16" a="1"/>
  <c r="B10" i="16" s="1"/>
  <c r="E10" i="15" a="1"/>
  <c r="E10" i="15" s="1"/>
  <c r="E11" i="15" a="1"/>
  <c r="E11" i="15"/>
  <c r="E12" i="15" a="1"/>
  <c r="E12" i="15"/>
  <c r="B8" i="15" a="1"/>
  <c r="B8" i="15"/>
  <c r="B10" i="15" a="1"/>
  <c r="B10" i="15" s="1"/>
  <c r="E10" i="14" a="1"/>
  <c r="E10" i="14"/>
  <c r="E11" i="14" a="1"/>
  <c r="E11" i="14"/>
  <c r="E12" i="14" a="1"/>
  <c r="E12" i="14" s="1"/>
  <c r="B8" i="14" a="1"/>
  <c r="B8" i="14" s="1"/>
  <c r="B10" i="14" a="1"/>
  <c r="B10" i="14"/>
  <c r="E10" i="13" a="1"/>
  <c r="E10" i="13" s="1"/>
  <c r="E11" i="13" a="1"/>
  <c r="E11" i="13" s="1"/>
  <c r="E12" i="13" a="1"/>
  <c r="E12" i="13" s="1"/>
  <c r="B10" i="13" a="1"/>
  <c r="B10" i="13" s="1"/>
  <c r="B8" i="13" a="1"/>
  <c r="B8" i="13" s="1"/>
  <c r="E11" i="12" a="1"/>
  <c r="E11" i="12" s="1"/>
  <c r="E10" i="12" a="1"/>
  <c r="E10" i="12" s="1"/>
  <c r="E12" i="12" a="1"/>
  <c r="E12" i="12" s="1"/>
  <c r="B8" i="12" a="1"/>
  <c r="B8" i="12" s="1"/>
  <c r="B10" i="12" a="1"/>
  <c r="B10" i="12" s="1"/>
  <c r="E10" i="11" a="1"/>
  <c r="E10" i="11" s="1"/>
  <c r="E11" i="11" a="1"/>
  <c r="E11" i="11" s="1"/>
  <c r="E12" i="11" a="1"/>
  <c r="E12" i="11" s="1"/>
  <c r="B8" i="11" a="1"/>
  <c r="B8" i="11"/>
  <c r="B10" i="11" a="1"/>
  <c r="B10" i="11" s="1"/>
  <c r="E10" i="10" a="1"/>
  <c r="E10" i="10" s="1"/>
  <c r="E11" i="10" a="1"/>
  <c r="E11" i="10" s="1"/>
  <c r="E12" i="10" a="1"/>
  <c r="E12" i="10"/>
  <c r="B8" i="10" a="1"/>
  <c r="B8" i="10" s="1"/>
  <c r="B10" i="10" a="1"/>
  <c r="B10" i="10"/>
  <c r="E10" i="9" a="1"/>
  <c r="E10" i="9" s="1"/>
  <c r="E11" i="9" a="1"/>
  <c r="E11" i="9" s="1"/>
  <c r="E12" i="9" a="1"/>
  <c r="E12" i="9" s="1"/>
  <c r="B8" i="9" a="1"/>
  <c r="B8" i="9" s="1"/>
  <c r="B10" i="9" a="1"/>
  <c r="B10" i="9" s="1"/>
  <c r="E10" i="8" a="1"/>
  <c r="E10" i="8" s="1"/>
  <c r="E11" i="8" a="1"/>
  <c r="E11" i="8"/>
  <c r="E12" i="8" a="1"/>
  <c r="E12" i="8" s="1"/>
  <c r="B8" i="8" a="1"/>
  <c r="B8" i="8" s="1"/>
  <c r="B10" i="8" a="1"/>
  <c r="B10" i="8"/>
  <c r="E10" i="7" a="1"/>
  <c r="E10" i="7" s="1"/>
  <c r="E11" i="7" a="1"/>
  <c r="E11" i="7" s="1"/>
  <c r="E12" i="7" a="1"/>
  <c r="E12" i="7" s="1"/>
  <c r="B8" i="7" a="1"/>
  <c r="B8" i="7" s="1"/>
  <c r="B10" i="7" a="1"/>
  <c r="B10" i="7" s="1"/>
  <c r="E10" i="6" a="1"/>
  <c r="E10" i="6"/>
  <c r="E11" i="6" a="1"/>
  <c r="E11" i="6"/>
  <c r="E12" i="6" a="1"/>
  <c r="E12" i="6"/>
  <c r="B8" i="6" a="1"/>
  <c r="B8" i="6" s="1"/>
  <c r="B10" i="6" a="1"/>
  <c r="B10" i="6" s="1"/>
  <c r="E10" i="3" a="1"/>
  <c r="E10" i="3"/>
  <c r="E11" i="3" a="1"/>
  <c r="E11" i="3"/>
  <c r="E12" i="3" a="1"/>
  <c r="E12" i="3" s="1"/>
  <c r="E7" i="3" a="1"/>
  <c r="E7" i="3" s="1"/>
  <c r="B8" i="3" a="1"/>
  <c r="B8" i="3" s="1"/>
  <c r="B10" i="3" a="1"/>
  <c r="B10" i="3" s="1"/>
  <c r="E9" i="5" a="1"/>
  <c r="E9" i="5" s="1"/>
  <c r="E9" i="31" s="1" a="1"/>
  <c r="E9" i="31" s="1"/>
  <c r="E8" i="5" a="1"/>
  <c r="E8" i="5" s="1"/>
  <c r="E7" i="5" a="1"/>
  <c r="E7" i="5" s="1"/>
  <c r="E7" i="33" s="1" a="1"/>
  <c r="E7" i="33" s="1"/>
  <c r="B9" i="5" a="1"/>
  <c r="B9" i="5" s="1"/>
  <c r="B9" i="31" s="1" a="1"/>
  <c r="B9" i="31" s="1"/>
  <c r="B7" i="5" a="1"/>
  <c r="B7" i="5" s="1"/>
  <c r="B7" i="13" s="1" a="1"/>
  <c r="B7" i="13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40" i="1"/>
  <c r="G32" i="1"/>
  <c r="G35" i="1"/>
  <c r="G19" i="1"/>
  <c r="G41" i="1"/>
  <c r="G24" i="1"/>
  <c r="G33" i="1"/>
  <c r="G30" i="1"/>
  <c r="G14" i="1"/>
  <c r="G23" i="1"/>
  <c r="G36" i="1"/>
  <c r="G18" i="1"/>
  <c r="G12" i="1"/>
  <c r="G29" i="1"/>
  <c r="G22" i="1"/>
  <c r="G11" i="1"/>
  <c r="G20" i="1"/>
  <c r="G37" i="1"/>
  <c r="G28" i="1"/>
  <c r="G31" i="1"/>
  <c r="G27" i="1"/>
  <c r="G21" i="1"/>
  <c r="G13" i="1"/>
  <c r="G25" i="1"/>
  <c r="G15" i="1"/>
  <c r="G38" i="1"/>
  <c r="G39" i="1"/>
  <c r="G17" i="1"/>
  <c r="G16" i="1"/>
  <c r="G26" i="1"/>
  <c r="G34" i="1"/>
  <c r="E9" i="12" l="1" a="1"/>
  <c r="E9" i="12" s="1"/>
  <c r="E9" i="20" a="1"/>
  <c r="E9" i="20" s="1"/>
  <c r="E9" i="11" a="1"/>
  <c r="E9" i="11" s="1"/>
  <c r="B9" i="33" a="1"/>
  <c r="B9" i="33" s="1"/>
  <c r="E9" i="33" a="1"/>
  <c r="E9" i="33" s="1"/>
  <c r="E9" i="15" a="1"/>
  <c r="E9" i="15" s="1"/>
  <c r="E9" i="26" a="1"/>
  <c r="E9" i="26" s="1"/>
  <c r="E9" i="28" a="1"/>
  <c r="E9" i="28" s="1"/>
  <c r="E7" i="30" a="1"/>
  <c r="E7" i="30" s="1"/>
  <c r="E9" i="24" a="1"/>
  <c r="E9" i="24" s="1"/>
  <c r="E9" i="30" a="1"/>
  <c r="E9" i="30" s="1"/>
  <c r="E8" i="26" a="1"/>
  <c r="E8" i="26" s="1"/>
  <c r="E8" i="24" a="1"/>
  <c r="E8" i="24" s="1"/>
  <c r="E8" i="22" a="1"/>
  <c r="E8" i="22" s="1"/>
  <c r="E8" i="20" a="1"/>
  <c r="E8" i="20" s="1"/>
  <c r="E8" i="19" a="1"/>
  <c r="E8" i="19" s="1"/>
  <c r="E8" i="17" a="1"/>
  <c r="E8" i="17" s="1"/>
  <c r="E8" i="8" a="1"/>
  <c r="E8" i="8" s="1"/>
  <c r="E8" i="18" a="1"/>
  <c r="E8" i="18" s="1"/>
  <c r="E8" i="14" a="1"/>
  <c r="E8" i="14" s="1"/>
  <c r="E8" i="7" a="1"/>
  <c r="E8" i="7" s="1"/>
  <c r="E8" i="27" a="1"/>
  <c r="E8" i="27" s="1"/>
  <c r="E8" i="23" a="1"/>
  <c r="E8" i="23" s="1"/>
  <c r="E8" i="12" a="1"/>
  <c r="E8" i="12" s="1"/>
  <c r="E8" i="15" a="1"/>
  <c r="E8" i="15" s="1"/>
  <c r="E8" i="6" a="1"/>
  <c r="E8" i="6" s="1"/>
  <c r="E8" i="33" a="1"/>
  <c r="E8" i="33" s="1"/>
  <c r="E8" i="28" a="1"/>
  <c r="E8" i="28" s="1"/>
  <c r="E8" i="31" a="1"/>
  <c r="E8" i="31" s="1"/>
  <c r="E8" i="29" a="1"/>
  <c r="E8" i="29" s="1"/>
  <c r="E8" i="34" a="1"/>
  <c r="E8" i="34" s="1"/>
  <c r="E8" i="11" a="1"/>
  <c r="E8" i="11" s="1"/>
  <c r="E8" i="16" a="1"/>
  <c r="E8" i="16" s="1"/>
  <c r="E8" i="10" a="1"/>
  <c r="E8" i="10" s="1"/>
  <c r="E8" i="3" a="1"/>
  <c r="E8" i="3" s="1"/>
  <c r="E8" i="25" a="1"/>
  <c r="E8" i="25" s="1"/>
  <c r="E8" i="21" a="1"/>
  <c r="E8" i="21" s="1"/>
  <c r="E8" i="30" a="1"/>
  <c r="E8" i="30" s="1"/>
  <c r="E8" i="13" a="1"/>
  <c r="E8" i="13" s="1"/>
  <c r="E8" i="32" a="1"/>
  <c r="E8" i="32" s="1"/>
  <c r="E8" i="9" a="1"/>
  <c r="E8" i="9" s="1"/>
  <c r="B7" i="7" a="1"/>
  <c r="B7" i="7" s="1"/>
  <c r="B7" i="24" a="1"/>
  <c r="B7" i="24" s="1"/>
  <c r="E7" i="13" a="1"/>
  <c r="E7" i="13" s="1"/>
  <c r="E9" i="18" a="1"/>
  <c r="E9" i="18" s="1"/>
  <c r="E7" i="27" a="1"/>
  <c r="E7" i="27" s="1"/>
  <c r="B9" i="6" a="1"/>
  <c r="B9" i="6" s="1"/>
  <c r="B9" i="13" a="1"/>
  <c r="B9" i="13" s="1"/>
  <c r="B9" i="22" a="1"/>
  <c r="B9" i="22" s="1"/>
  <c r="E9" i="34" a="1"/>
  <c r="E9" i="34" s="1"/>
  <c r="B7" i="10" a="1"/>
  <c r="B7" i="10" s="1"/>
  <c r="B7" i="14" a="1"/>
  <c r="B7" i="14" s="1"/>
  <c r="B7" i="20" a="1"/>
  <c r="B7" i="20" s="1"/>
  <c r="B7" i="28" a="1"/>
  <c r="B7" i="28" s="1"/>
  <c r="B9" i="20" a="1"/>
  <c r="B9" i="20" s="1"/>
  <c r="B9" i="9" a="1"/>
  <c r="B9" i="9" s="1"/>
  <c r="E7" i="15" a="1"/>
  <c r="E7" i="15" s="1"/>
  <c r="E7" i="19" a="1"/>
  <c r="E7" i="19" s="1"/>
  <c r="B9" i="30" a="1"/>
  <c r="B9" i="30" s="1"/>
  <c r="B9" i="32" a="1"/>
  <c r="B9" i="32" s="1"/>
  <c r="E9" i="32" a="1"/>
  <c r="E9" i="32" s="1"/>
  <c r="B7" i="3" a="1"/>
  <c r="B7" i="3" s="1"/>
  <c r="E9" i="23" a="1"/>
  <c r="E9" i="23" s="1"/>
  <c r="E9" i="27" a="1"/>
  <c r="E9" i="27" s="1"/>
  <c r="B7" i="15" a="1"/>
  <c r="B7" i="15" s="1"/>
  <c r="B7" i="21" a="1"/>
  <c r="B7" i="21" s="1"/>
  <c r="B9" i="7" a="1"/>
  <c r="B9" i="7" s="1"/>
  <c r="B9" i="14" a="1"/>
  <c r="B9" i="14" s="1"/>
  <c r="B9" i="16" a="1"/>
  <c r="B9" i="16" s="1"/>
  <c r="B7" i="23" a="1"/>
  <c r="B7" i="23" s="1"/>
  <c r="B7" i="25" a="1"/>
  <c r="B7" i="25" s="1"/>
  <c r="B7" i="27" a="1"/>
  <c r="B7" i="27" s="1"/>
  <c r="E9" i="29" a="1"/>
  <c r="E9" i="29" s="1"/>
  <c r="B9" i="8" a="1"/>
  <c r="B9" i="8" s="1"/>
  <c r="B7" i="16" a="1"/>
  <c r="B7" i="16" s="1"/>
  <c r="B9" i="11" a="1"/>
  <c r="B9" i="11" s="1"/>
  <c r="B9" i="26" a="1"/>
  <c r="B9" i="26" s="1"/>
  <c r="E7" i="29" a="1"/>
  <c r="E7" i="29" s="1"/>
  <c r="E9" i="10" a="1"/>
  <c r="E9" i="10" s="1"/>
  <c r="B7" i="19" a="1"/>
  <c r="B7" i="19" s="1"/>
  <c r="B7" i="6" a="1"/>
  <c r="B7" i="6" s="1"/>
  <c r="B9" i="10" a="1"/>
  <c r="B9" i="10" s="1"/>
  <c r="B7" i="11" a="1"/>
  <c r="B7" i="11" s="1"/>
  <c r="B9" i="12" a="1"/>
  <c r="B9" i="12" s="1"/>
  <c r="B7" i="17" a="1"/>
  <c r="B7" i="17" s="1"/>
  <c r="E7" i="18" a="1"/>
  <c r="E7" i="18" s="1"/>
  <c r="E9" i="19" a="1"/>
  <c r="E9" i="19" s="1"/>
  <c r="B9" i="21" a="1"/>
  <c r="B9" i="21" s="1"/>
  <c r="B7" i="29" a="1"/>
  <c r="B7" i="29" s="1"/>
  <c r="B7" i="31" a="1"/>
  <c r="B7" i="31" s="1"/>
  <c r="E7" i="31" a="1"/>
  <c r="E7" i="31" s="1"/>
  <c r="B7" i="8" a="1"/>
  <c r="B7" i="8" s="1"/>
  <c r="E7" i="11" a="1"/>
  <c r="E7" i="11" s="1"/>
  <c r="B9" i="3" a="1"/>
  <c r="B9" i="3" s="1"/>
  <c r="E7" i="7" a="1"/>
  <c r="E7" i="7" s="1"/>
  <c r="E9" i="8" a="1"/>
  <c r="E9" i="8" s="1"/>
  <c r="E9" i="17" a="1"/>
  <c r="E9" i="17" s="1"/>
  <c r="B9" i="23" a="1"/>
  <c r="B9" i="23" s="1"/>
  <c r="B9" i="25" a="1"/>
  <c r="B9" i="25" s="1"/>
  <c r="B9" i="27" a="1"/>
  <c r="B9" i="27" s="1"/>
  <c r="B7" i="33" a="1"/>
  <c r="B7" i="33" s="1"/>
  <c r="E7" i="20" a="1"/>
  <c r="E7" i="20" s="1"/>
  <c r="E7" i="22" a="1"/>
  <c r="E7" i="22" s="1"/>
  <c r="E7" i="24" a="1"/>
  <c r="E7" i="24" s="1"/>
  <c r="E7" i="26" a="1"/>
  <c r="E7" i="26" s="1"/>
  <c r="B7" i="9" a="1"/>
  <c r="B7" i="9" s="1"/>
  <c r="B7" i="18" a="1"/>
  <c r="B7" i="18" s="1"/>
  <c r="B9" i="19" a="1"/>
  <c r="B9" i="19" s="1"/>
  <c r="B7" i="22" a="1"/>
  <c r="B7" i="22" s="1"/>
  <c r="B9" i="15" a="1"/>
  <c r="B9" i="15" s="1"/>
  <c r="B9" i="17" a="1"/>
  <c r="B9" i="17" s="1"/>
  <c r="B7" i="26" a="1"/>
  <c r="B7" i="26" s="1"/>
  <c r="B7" i="30" a="1"/>
  <c r="B7" i="30" s="1"/>
  <c r="B7" i="32" a="1"/>
  <c r="B7" i="32" s="1"/>
  <c r="E7" i="6" a="1"/>
  <c r="E7" i="6" s="1"/>
  <c r="E9" i="7" a="1"/>
  <c r="E9" i="7" s="1"/>
  <c r="B7" i="12" a="1"/>
  <c r="B7" i="12" s="1"/>
  <c r="B9" i="24" a="1"/>
  <c r="B9" i="24" s="1"/>
  <c r="B9" i="28" a="1"/>
  <c r="B9" i="28" s="1"/>
  <c r="B7" i="34" a="1"/>
  <c r="B7" i="34" s="1"/>
  <c r="E7" i="21" a="1"/>
  <c r="E7" i="21" s="1"/>
  <c r="E7" i="23" a="1"/>
  <c r="E7" i="23" s="1"/>
  <c r="E7" i="25" a="1"/>
  <c r="E7" i="25" s="1"/>
  <c r="E7" i="8" a="1"/>
  <c r="E7" i="8" s="1"/>
  <c r="E9" i="14" a="1"/>
  <c r="E9" i="14" s="1"/>
  <c r="E7" i="17" a="1"/>
  <c r="E7" i="17" s="1"/>
  <c r="E7" i="34" a="1"/>
  <c r="E7" i="34" s="1"/>
  <c r="E9" i="16" a="1"/>
  <c r="E9" i="16" s="1"/>
  <c r="B9" i="18" a="1"/>
  <c r="B9" i="18" s="1"/>
  <c r="B9" i="34" a="1"/>
  <c r="B9" i="34" s="1"/>
  <c r="E9" i="21" a="1"/>
  <c r="E9" i="21" s="1"/>
  <c r="E9" i="25" a="1"/>
  <c r="E9" i="25" s="1"/>
  <c r="E9" i="3" a="1"/>
  <c r="E9" i="3" s="1"/>
  <c r="E7" i="9" a="1"/>
  <c r="E7" i="9" s="1"/>
  <c r="E9" i="6" a="1"/>
  <c r="E9" i="6" s="1"/>
  <c r="E9" i="9" a="1"/>
  <c r="E9" i="9" s="1"/>
  <c r="E7" i="10" a="1"/>
  <c r="E7" i="10" s="1"/>
  <c r="E7" i="12" a="1"/>
  <c r="E7" i="12" s="1"/>
  <c r="E9" i="13" a="1"/>
  <c r="E9" i="13" s="1"/>
  <c r="E7" i="14" a="1"/>
  <c r="E7" i="14" s="1"/>
  <c r="E7" i="16" a="1"/>
  <c r="E7" i="16" s="1"/>
  <c r="B9" i="29" a="1"/>
  <c r="B9" i="29" s="1"/>
  <c r="E7" i="28" a="1"/>
  <c r="E7" i="28" s="1"/>
  <c r="H21" i="1" a="1"/>
  <c r="H19" i="1" a="1"/>
  <c r="H25" i="1" a="1"/>
  <c r="H32" i="1" a="1"/>
  <c r="H34" i="1" a="1"/>
  <c r="H12" i="1" a="1"/>
  <c r="H30" i="1" a="1"/>
  <c r="H35" i="1" a="1"/>
  <c r="H15" i="1" a="1"/>
  <c r="H24" i="1" a="1"/>
  <c r="H38" i="1" a="1"/>
  <c r="H23" i="1" a="1"/>
  <c r="H13" i="1" a="1"/>
  <c r="H40" i="1" a="1"/>
  <c r="H37" i="1" a="1"/>
  <c r="H36" i="1" a="1"/>
  <c r="H16" i="1" a="1"/>
  <c r="H11" i="1" a="1"/>
  <c r="H22" i="1" a="1"/>
  <c r="H18" i="1" a="1"/>
  <c r="H20" i="1" a="1"/>
  <c r="H33" i="1" a="1"/>
  <c r="H26" i="1" a="1"/>
  <c r="H31" i="1" a="1"/>
  <c r="H14" i="1" a="1"/>
  <c r="H39" i="1" a="1"/>
  <c r="H29" i="1" a="1"/>
  <c r="H28" i="1" a="1"/>
  <c r="H27" i="1" a="1"/>
  <c r="H17" i="1" a="1"/>
  <c r="H25" i="1" l="1"/>
  <c r="H19" i="1"/>
  <c r="H23" i="1"/>
  <c r="H26" i="1"/>
  <c r="H17" i="1"/>
  <c r="H31" i="1"/>
  <c r="H13" i="1"/>
  <c r="H16" i="1"/>
  <c r="H33" i="1"/>
  <c r="H12" i="1"/>
  <c r="H22" i="1"/>
  <c r="H18" i="1"/>
  <c r="H28" i="1"/>
  <c r="H21" i="1"/>
  <c r="H35" i="1"/>
  <c r="H40" i="1"/>
  <c r="H37" i="1"/>
  <c r="H34" i="1"/>
  <c r="H30" i="1"/>
  <c r="H14" i="1"/>
  <c r="H39" i="1"/>
  <c r="H29" i="1"/>
  <c r="H20" i="1"/>
  <c r="H24" i="1"/>
  <c r="H38" i="1"/>
  <c r="H11" i="1"/>
  <c r="H27" i="1"/>
  <c r="H36" i="1"/>
  <c r="H32" i="1"/>
  <c r="H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A36A4EE-54DB-44A1-8FE2-D99AACF3694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7FF729D-2FFC-4A3A-8858-A6AAA168D2A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2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FB48F23-3779-4460-A27D-B9A120F589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D66EB31-7C98-4167-A04B-147534AA88F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554F617-E3B1-4B2E-A0A8-36A031979C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B9B018-5C73-4D71-A144-973279F74A1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76C2026-32D5-4BD8-BE9C-3EB52BBD47B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382C8A4-56A6-43F7-BE68-2DCAD1AF632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258BD23-A80F-400D-A39A-9F0693B37BA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3F8F660-F946-43E9-9656-3174C642F9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0720113-7DF8-444A-91ED-AB0C8F4BF9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3DFECF-6835-4471-AB80-5AE6D32B7AF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DD963AA-0A6C-40BC-BA71-C91BCF589B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F79770B-8E76-4BC6-8A4D-3A8EC6A8754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257E147-4985-4DCD-B763-3D74E0E6456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8B1DCD6-5BB8-446E-98D4-90CBC9FC849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311F0A8-C6F9-4283-B0C8-93EB1E465D6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264148E-B571-417F-BE28-F3764016F6B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C502686-AAF0-48E4-8B14-BA54C93C315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FD2922F-ECA0-4226-B16F-658A403756E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DE0F4C-8DDC-4DAC-98A6-2FDF67F0B1B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62A5F7B-0E2D-4343-80E4-50A72D08E41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B3D5E3-8308-4963-89D6-1D59007B1E5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7A10082-3799-40C9-8959-88291DE5AFF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122FD22-D660-4FBB-842A-E50C1E7C55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E68C86C-1C09-401C-B48C-3BDBCFA457A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632723B-D26E-44B0-9491-DC2BDBE1C37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93A9215-3E26-4574-92BB-08559B658EF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17D526A-1D6D-4054-A280-011BA35568E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E7FB656-3D48-449C-8A88-8269D09194A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4997B00-A28F-4342-A633-1719814A7B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ACD7586-3308-4845-B837-CBD6614E3CC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6CBF535-A9C8-4AC7-ACC8-B496143462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BCFDDB1-875B-4CC1-B500-B574538CE10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9A9505-BB60-4195-88F5-655097368E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C15CD77-62B4-4DE6-8F75-6D2A93ACE5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FF85C6E-62B7-4D36-8664-8201EDB05CE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80BCCFA-986A-4BEF-A038-EDAB749A8C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09B125A-010E-4F6D-B044-DE76F297FA7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B51A7C0-DFAF-4A69-9837-4E62DF9554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CB31A60-E388-4FFB-B7F5-4C9E27D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44D6F73-D3AA-4C89-9B64-54A4CE4A6BD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5E49369-161F-4870-B5D3-CB3CC316C8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32E35EF-4B42-4625-9F26-723BBD00938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A464215-2A3E-43DA-8320-9381B4F6AB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E4A94E2-C5D9-4918-BD02-888877031C1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7D0F62-9522-449C-8E7C-4B2C4F0ADAC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04B0E3D5-B0AE-4618-8835-CADD1118973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FD4A56-D6DE-4FD6-B4FC-199EE742A9F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A17EBCA-7BBD-4F56-AAE7-6292A82980C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11D505D-E6D3-4256-9485-5BE67FB5E9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FA040F0-522C-421A-B971-CE087A523E6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26D0B24-8C31-4C3C-833B-B48F4584AB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<sst xmlns="http://schemas.openxmlformats.org/spreadsheetml/2006/main" count="757" uniqueCount="56">
  <si>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</si>
  <si>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</si>
  <si>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</si>
  <si>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</si>
  <si>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</si>
  <si>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</si>
  <si>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</si>
  <si>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</si>
  <si>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</si>
  <si>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</si>
  <si>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</si>
  <si>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</si>
  <si>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</si>
  <si>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TAEEET-3580-22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</si>
  <si>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</si>
  <si>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</si>
  <si>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</si>
  <si>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</si>
  <si>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</si>
  <si>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</si>
  <si>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</si>
  <si>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</si>
  <si>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</si>
  <si>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CA2 CNA</t>
  </si>
  <si>
    <t>Elaboró:</t>
  </si>
  <si>
    <t>ALEXANDER DIAZ H.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</si>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</sst>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8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8" xfId="0" applyFill="1" applyBorder="1"/>
    <xf numFmtId="0" fontId="0" fillId="0" borderId="2" xfId="0" applyBorder="1"/>
    <xf numFmtId="20" fontId="0" fillId="0" borderId="3" xfId="0" applyNumberFormat="1" applyBorder="1" applyAlignment="1">
      <alignment horizontal="center" vertical="center"/>
    </xf>
    <xf numFmtId="0" fontId="5" fillId="2" borderId="1" xfId="0" applyFont="1" applyFill="1" applyBorder="1"/>
    <xf numFmtId="0" fontId="5" fillId="2" borderId="22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5" fillId="5" borderId="35" xfId="1" applyFont="1" applyFill="1" applyBorder="1" applyAlignment="1">
      <alignment horizontal="center" vertical="center"/>
    </xf>
    <xf numFmtId="0" fontId="15" fillId="5" borderId="36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/>
    </xf>
    <xf numFmtId="0" fontId="15" fillId="5" borderId="38" xfId="1" applyFont="1" applyFill="1" applyBorder="1" applyAlignment="1">
      <alignment horizontal="center" vertical="center"/>
    </xf>
    <xf numFmtId="1" fontId="14" fillId="6" borderId="41" xfId="1" applyNumberFormat="1" applyFont="1" applyFill="1" applyBorder="1" applyAlignment="1">
      <alignment horizontal="center" vertical="center"/>
    </xf>
    <xf numFmtId="0" fontId="13" fillId="6" borderId="39" xfId="1" applyFont="1" applyFill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3" fillId="6" borderId="39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13" fillId="0" borderId="4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8" xfId="0" applyFill="1" applyBorder="1"/>
    <xf numFmtId="0" fontId="9" fillId="7" borderId="0" xfId="1" applyFont="1" applyFill="1" applyAlignment="1">
      <alignment vertical="center"/>
    </xf>
    <xf numFmtId="164" fontId="0" fillId="0" borderId="2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5" fillId="5" borderId="44" xfId="1" applyFont="1" applyFill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 wrapText="1"/>
    </xf>
    <xf numFmtId="1" fontId="14" fillId="6" borderId="44" xfId="1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20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0" fontId="0" fillId="0" borderId="52" xfId="0" applyBorder="1"/>
    <xf numFmtId="0" fontId="0" fillId="0" borderId="54" xfId="0" applyBorder="1"/>
    <xf numFmtId="0" fontId="0" fillId="0" borderId="55" xfId="0" applyBorder="1"/>
    <xf numFmtId="0" fontId="23" fillId="0" borderId="56" xfId="0" applyFont="1" applyBorder="1" applyAlignment="1">
      <alignment vertical="center"/>
    </xf>
    <xf numFmtId="0" fontId="5" fillId="0" borderId="58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5" fontId="0" fillId="0" borderId="59" xfId="0" applyNumberFormat="1" applyBorder="1" applyAlignment="1">
      <alignment horizontal="center" vertical="center"/>
    </xf>
    <xf numFmtId="0" fontId="9" fillId="0" borderId="51" xfId="0" applyFont="1" applyBorder="1" applyAlignment="1" applyProtection="1">
      <alignment horizontal="center" vertical="center"/>
      <protection locked="0"/>
    </xf>
    <xf numFmtId="0" fontId="0" fillId="0" borderId="65" xfId="0" applyBorder="1" applyAlignment="1">
      <alignment horizontal="center" vertical="center"/>
    </xf>
    <xf numFmtId="0" fontId="9" fillId="0" borderId="67" xfId="0" applyFont="1" applyBorder="1" applyAlignment="1" applyProtection="1">
      <alignment horizontal="center" vertical="center"/>
      <protection locked="0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20" fontId="0" fillId="0" borderId="59" xfId="0" applyNumberFormat="1" applyBorder="1" applyAlignment="1">
      <alignment horizontal="center" vertical="center"/>
    </xf>
    <xf numFmtId="164" fontId="0" fillId="0" borderId="74" xfId="0" applyNumberFormat="1" applyBorder="1" applyAlignment="1">
      <alignment horizontal="center" vertical="center"/>
    </xf>
    <xf numFmtId="0" fontId="9" fillId="0" borderId="75" xfId="0" applyFont="1" applyBorder="1" applyAlignment="1" applyProtection="1">
      <alignment vertical="center"/>
      <protection locked="0"/>
    </xf>
    <xf numFmtId="0" fontId="0" fillId="0" borderId="9" xfId="0" applyBorder="1"/>
    <xf numFmtId="0" fontId="5" fillId="0" borderId="2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7" xfId="0" applyFont="1" applyBorder="1" applyAlignment="1">
      <alignment horizontal="left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8" fillId="0" borderId="61" xfId="0" applyFont="1" applyBorder="1" applyAlignment="1" applyProtection="1">
      <alignment horizontal="center" vertical="center"/>
      <protection locked="0"/>
    </xf>
    <xf numFmtId="0" fontId="8" fillId="0" borderId="66" xfId="0" applyFont="1" applyBorder="1" applyAlignment="1" applyProtection="1">
      <alignment horizontal="center" vertical="center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2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 wrapText="1"/>
      <protection locked="0"/>
    </xf>
    <xf numFmtId="0" fontId="8" fillId="0" borderId="64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0" fillId="0" borderId="7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3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4" xfId="1" applyFont="1" applyFill="1" applyBorder="1" applyAlignment="1">
      <alignment horizontal="center" vertical="center" wrapText="1"/>
    </xf>
    <xf numFmtId="164" fontId="13" fillId="0" borderId="44" xfId="1" applyNumberFormat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7" xfId="1" applyNumberFormat="1" applyFont="1" applyFill="1" applyBorder="1" applyAlignment="1" applyProtection="1">
      <alignment horizontal="center" vertical="center"/>
      <protection locked="0"/>
    </xf>
    <xf numFmtId="164" fontId="14" fillId="3" borderId="48" xfId="1" applyNumberFormat="1" applyFont="1" applyFill="1" applyBorder="1" applyAlignment="1" applyProtection="1">
      <alignment horizontal="center" vertical="center"/>
      <protection locked="0"/>
    </xf>
    <xf numFmtId="0" fontId="8" fillId="4" borderId="14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31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164" fontId="13" fillId="0" borderId="19" xfId="1" applyNumberFormat="1" applyFont="1" applyBorder="1" applyAlignment="1">
      <alignment horizontal="center" vertical="center"/>
    </xf>
    <xf numFmtId="164" fontId="13" fillId="0" borderId="20" xfId="1" applyNumberFormat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164" fontId="14" fillId="3" borderId="45" xfId="1" applyNumberFormat="1" applyFont="1" applyFill="1" applyBorder="1" applyAlignment="1" applyProtection="1">
      <alignment horizontal="center" vertical="center"/>
      <protection locked="0"/>
    </xf>
    <xf numFmtId="164" fontId="14" fillId="3" borderId="46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6D8417F-38E4-4950-B59E-84284ED9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tabSelected="1" view="pageBreakPreview" topLeftCell="A26" zoomScaleNormal="100" zoomScaleSheetLayoutView="100" workbookViewId="0">
      <selection activeCell="I35" sqref="I35:I40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79"/>
      <c r="B1" s="80"/>
      <c r="C1" s="98" t="s">
        <v>0</v>
      </c>
      <c r="D1" s="99"/>
      <c r="E1" s="99"/>
      <c r="F1" s="99"/>
      <c r="G1" s="99"/>
      <c r="H1" s="100"/>
      <c r="I1" s="76" t="s">
        <v>1</v>
      </c>
      <c r="K1" s="1"/>
      <c r="L1" s="1"/>
    </row>
    <row r="2" spans="1:12" ht="22.5" customHeight="1" x14ac:dyDescent="0.25">
      <c r="A2" s="81"/>
      <c r="B2" s="82"/>
      <c r="C2" s="101"/>
      <c r="D2" s="102"/>
      <c r="E2" s="102"/>
      <c r="F2" s="102"/>
      <c r="G2" s="102"/>
      <c r="H2" s="103"/>
      <c r="I2" s="77"/>
      <c r="K2" s="1"/>
      <c r="L2" s="1"/>
    </row>
    <row r="3" spans="1:12" ht="22.5" customHeight="1" thickBot="1" x14ac:dyDescent="0.3">
      <c r="A3" s="83"/>
      <c r="B3" s="84"/>
      <c r="C3" s="104" t="s">
        <v>2</v>
      </c>
      <c r="D3" s="105"/>
      <c r="E3" s="105"/>
      <c r="F3" s="105"/>
      <c r="G3" s="105"/>
      <c r="H3" s="106"/>
      <c r="I3" s="78"/>
      <c r="K3" s="2"/>
      <c r="L3" s="2"/>
    </row>
    <row r="4" spans="1:12" ht="6.75" customHeight="1" thickBot="1" x14ac:dyDescent="0.3">
      <c r="A4" s="40"/>
      <c r="B4" s="41"/>
      <c r="C4" s="41"/>
      <c r="D4" s="41"/>
      <c r="E4" s="41"/>
      <c r="F4" s="41"/>
      <c r="G4" s="41"/>
      <c r="H4" s="41"/>
      <c r="I4" s="42"/>
    </row>
    <row r="5" spans="1:12" x14ac:dyDescent="0.25">
      <c r="A5" s="111" t="s">
        <v>3</v>
      </c>
      <c r="B5" s="112"/>
      <c r="C5" s="121" t="s">
        <v>4</v>
      </c>
      <c r="D5" s="121"/>
      <c r="E5" s="121"/>
      <c r="F5" s="121"/>
      <c r="G5" s="121"/>
      <c r="H5" s="121"/>
      <c r="I5" s="122"/>
    </row>
    <row r="6" spans="1:12" x14ac:dyDescent="0.25">
      <c r="A6" s="113" t="s">
        <v>5</v>
      </c>
      <c r="B6" s="114"/>
      <c r="C6" s="88" t="s">
        <v>6</v>
      </c>
      <c r="D6" s="88"/>
      <c r="E6" s="8" t="s">
        <v>7</v>
      </c>
      <c r="F6" s="45" t="s">
        <v>8</v>
      </c>
      <c r="G6" s="8" t="s">
        <v>9</v>
      </c>
      <c r="H6" s="88">
        <v>2076974.7409999999</v>
      </c>
      <c r="I6" s="109"/>
    </row>
    <row r="7" spans="1:12" ht="15.75" thickBot="1" x14ac:dyDescent="0.3">
      <c r="A7" s="115" t="s">
        <v>10</v>
      </c>
      <c r="B7" s="116"/>
      <c r="C7" s="89" t="s">
        <v>11</v>
      </c>
      <c r="D7" s="89"/>
      <c r="E7" s="9" t="s">
        <v>12</v>
      </c>
      <c r="F7" s="46" t="s">
        <v>13</v>
      </c>
      <c r="G7" s="9" t="s">
        <v>14</v>
      </c>
      <c r="H7" s="89">
        <v>4873664.16</v>
      </c>
      <c r="I7" s="110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90" t="s">
        <v>15</v>
      </c>
      <c r="B9" s="91"/>
      <c r="C9" s="87" t="s">
        <v>16</v>
      </c>
      <c r="D9" s="87"/>
      <c r="E9" s="94" t="s">
        <v>17</v>
      </c>
      <c r="F9" s="95"/>
      <c r="G9" s="96" t="s">
        <v>18</v>
      </c>
      <c r="H9" s="107" t="s">
        <v>19</v>
      </c>
      <c r="I9" s="85" t="s">
        <v>20</v>
      </c>
    </row>
    <row r="10" spans="1:12" ht="15.75" thickBot="1" x14ac:dyDescent="0.3">
      <c r="A10" s="92"/>
      <c r="B10" s="93"/>
      <c r="C10" s="75" t="s">
        <v>21</v>
      </c>
      <c r="D10" s="60" t="s">
        <v>22</v>
      </c>
      <c r="E10" s="60" t="s">
        <v>21</v>
      </c>
      <c r="F10" s="60" t="s">
        <v>22</v>
      </c>
      <c r="G10" s="97"/>
      <c r="H10" s="108"/>
      <c r="I10" s="86"/>
    </row>
    <row r="11" spans="1:12" ht="18" customHeight="1" x14ac:dyDescent="0.25">
      <c r="A11" s="117" t="s">
        <v>23</v>
      </c>
      <c r="B11" s="118"/>
      <c r="C11" s="39">
        <v>46023</v>
      </c>
      <c r="D11" s="54">
        <v>0</v>
      </c>
      <c r="E11" s="53">
        <f>C11</f>
        <v>46023</v>
      </c>
      <c r="F11" s="54">
        <v>0.95833333333333337</v>
      </c>
      <c r="G11" s="52">
        <f ca="1">COUNT(INDIRECT("'Dia " &amp; ROW()-10 &amp; "'!C21:C45"))</f>
        <v>24</v>
      </c>
      <c r="H11" s="55" cm="1">
        <f t="array" aca="1" ref="H11" ca="1">IF(G11=24,INDIRECT("'" &amp; "Dia " &amp; ROW()-10 &amp; "'!C47"),"-")</f>
        <v>0.87041242931236307</v>
      </c>
      <c r="I11" s="56"/>
    </row>
    <row r="12" spans="1:12" ht="18" customHeight="1" x14ac:dyDescent="0.25">
      <c r="A12" s="119" t="s">
        <v>23</v>
      </c>
      <c r="B12" s="120"/>
      <c r="C12" s="39">
        <v>46024</v>
      </c>
      <c r="D12" s="7">
        <v>0</v>
      </c>
      <c r="E12" s="39">
        <f t="shared" ref="E12:E41" si="0">C12</f>
        <v>46024</v>
      </c>
      <c r="F12" s="7">
        <v>0.95833333333333337</v>
      </c>
      <c r="G12" s="10">
        <f ca="1">COUNT(INDIRECT("'Dia " &amp; ROW()-10 &amp; "'!C21:C45"))</f>
        <v>24</v>
      </c>
      <c r="H12" s="44" cm="1">
        <f t="array" aca="1" ref="H12" ca="1">IF(G12=24,INDIRECT("'" &amp; "Dia " &amp; ROW()-10 &amp; "'!C47"),"-")</f>
        <v>0.70271504006690488</v>
      </c>
      <c r="I12" s="57"/>
    </row>
    <row r="13" spans="1:12" ht="18" customHeight="1" x14ac:dyDescent="0.25">
      <c r="A13" s="119" t="s">
        <v>23</v>
      </c>
      <c r="B13" s="120"/>
      <c r="C13" s="39">
        <v>46025</v>
      </c>
      <c r="D13" s="7">
        <v>0</v>
      </c>
      <c r="E13" s="39">
        <f t="shared" si="0"/>
        <v>46025</v>
      </c>
      <c r="F13" s="7">
        <v>0.95833333333333304</v>
      </c>
      <c r="G13" s="10">
        <f t="shared" ref="G13:G41" ca="1" si="1">COUNT(INDIRECT("'Dia " &amp; ROW()-10 &amp; "'!C21:C45"))</f>
        <v>24</v>
      </c>
      <c r="H13" s="44" cm="1">
        <f t="array" aca="1" ref="H13" ca="1">IF(G13=24,INDIRECT("'" &amp; "Dia " &amp; ROW()-10 &amp; "'!C47"),"-")</f>
        <v>0.99497455426576775</v>
      </c>
      <c r="I13" s="57"/>
    </row>
    <row r="14" spans="1:12" ht="18" customHeight="1" x14ac:dyDescent="0.25">
      <c r="A14" s="119" t="s">
        <v>23</v>
      </c>
      <c r="B14" s="120"/>
      <c r="C14" s="39">
        <v>46026</v>
      </c>
      <c r="D14" s="7">
        <v>0</v>
      </c>
      <c r="E14" s="39">
        <f t="shared" si="0"/>
        <v>46026</v>
      </c>
      <c r="F14" s="7">
        <v>0.95833333333333304</v>
      </c>
      <c r="G14" s="10">
        <f t="shared" ca="1" si="1"/>
        <v>24</v>
      </c>
      <c r="H14" s="44" cm="1">
        <f t="array" aca="1" ref="H14" ca="1">IF(G14=24,INDIRECT("'" &amp; "Dia " &amp; ROW()-10 &amp; "'!C47"),"-")</f>
        <v>0.74047641831928479</v>
      </c>
      <c r="I14" s="57"/>
    </row>
    <row r="15" spans="1:12" ht="18" customHeight="1" x14ac:dyDescent="0.25">
      <c r="A15" s="119" t="s">
        <v>23</v>
      </c>
      <c r="B15" s="120"/>
      <c r="C15" s="39">
        <v>46027</v>
      </c>
      <c r="D15" s="7">
        <v>0</v>
      </c>
      <c r="E15" s="39">
        <f t="shared" si="0"/>
        <v>46027</v>
      </c>
      <c r="F15" s="7">
        <v>0.95833333333333304</v>
      </c>
      <c r="G15" s="10">
        <f t="shared" ca="1" si="1"/>
        <v>24</v>
      </c>
      <c r="H15" s="44" cm="1">
        <f t="array" aca="1" ref="H15" ca="1">IF(G15=24,INDIRECT("'" &amp; "Dia " &amp; ROW()-10 &amp; "'!C47"),"-")</f>
        <v>0.99226317858706725</v>
      </c>
      <c r="I15" s="57"/>
    </row>
    <row r="16" spans="1:12" ht="18" customHeight="1" x14ac:dyDescent="0.25">
      <c r="A16" s="119" t="s">
        <v>23</v>
      </c>
      <c r="B16" s="120"/>
      <c r="C16" s="39">
        <v>46028</v>
      </c>
      <c r="D16" s="7">
        <v>0</v>
      </c>
      <c r="E16" s="39">
        <f t="shared" si="0"/>
        <v>46028</v>
      </c>
      <c r="F16" s="7">
        <v>0.95833333333333304</v>
      </c>
      <c r="G16" s="10">
        <f t="shared" ca="1" si="1"/>
        <v>24</v>
      </c>
      <c r="H16" s="44" cm="1">
        <f t="array" aca="1" ref="H16" ca="1">IF(G16=24,INDIRECT("'" &amp; "Dia " &amp; ROW()-10 &amp; "'!C47"),"-")</f>
        <v>0.78538805026098646</v>
      </c>
      <c r="I16" s="57"/>
    </row>
    <row r="17" spans="1:9" ht="18" customHeight="1" x14ac:dyDescent="0.25">
      <c r="A17" s="119" t="s">
        <v>23</v>
      </c>
      <c r="B17" s="120"/>
      <c r="C17" s="39">
        <v>46029</v>
      </c>
      <c r="D17" s="7">
        <v>0</v>
      </c>
      <c r="E17" s="39">
        <f t="shared" si="0"/>
        <v>46029</v>
      </c>
      <c r="F17" s="7">
        <v>0.95833333333333304</v>
      </c>
      <c r="G17" s="10">
        <f t="shared" ca="1" si="1"/>
        <v>24</v>
      </c>
      <c r="H17" s="44" cm="1">
        <f t="array" aca="1" ref="H17" ca="1">IF(G17=24,INDIRECT("'" &amp; "Dia " &amp; ROW()-10 &amp; "'!C47"),"-")</f>
        <v>0.99134984739371212</v>
      </c>
      <c r="I17" s="57"/>
    </row>
    <row r="18" spans="1:9" ht="18" customHeight="1" x14ac:dyDescent="0.25">
      <c r="A18" s="119" t="s">
        <v>23</v>
      </c>
      <c r="B18" s="120"/>
      <c r="C18" s="39">
        <v>46030</v>
      </c>
      <c r="D18" s="7">
        <v>0</v>
      </c>
      <c r="E18" s="39">
        <f t="shared" si="0"/>
        <v>46030</v>
      </c>
      <c r="F18" s="7">
        <v>0.95833333333333304</v>
      </c>
      <c r="G18" s="10">
        <f t="shared" ca="1" si="1"/>
        <v>24</v>
      </c>
      <c r="H18" s="44" cm="1">
        <f t="array" aca="1" ref="H18" ca="1">IF(G18=24,INDIRECT("'" &amp; "Dia " &amp; ROW()-10 &amp; "'!C47"),"-")</f>
        <v>0.66053232265753825</v>
      </c>
      <c r="I18" s="57"/>
    </row>
    <row r="19" spans="1:9" ht="18" customHeight="1" x14ac:dyDescent="0.25">
      <c r="A19" s="119" t="s">
        <v>23</v>
      </c>
      <c r="B19" s="120"/>
      <c r="C19" s="39">
        <v>46031</v>
      </c>
      <c r="D19" s="7">
        <v>0</v>
      </c>
      <c r="E19" s="39">
        <f t="shared" si="0"/>
        <v>46031</v>
      </c>
      <c r="F19" s="7">
        <v>0.95833333333333304</v>
      </c>
      <c r="G19" s="10">
        <f t="shared" ca="1" si="1"/>
        <v>24</v>
      </c>
      <c r="H19" s="44" cm="1">
        <f t="array" aca="1" ref="H19" ca="1">IF(G19=24,INDIRECT("'" &amp; "Dia " &amp; ROW()-10 &amp; "'!C47"),"-")</f>
        <v>0.60976323363003515</v>
      </c>
      <c r="I19" s="57"/>
    </row>
    <row r="20" spans="1:9" ht="18" customHeight="1" x14ac:dyDescent="0.25">
      <c r="A20" s="119" t="s">
        <v>23</v>
      </c>
      <c r="B20" s="120"/>
      <c r="C20" s="39">
        <v>46032</v>
      </c>
      <c r="D20" s="7">
        <v>0</v>
      </c>
      <c r="E20" s="39">
        <f t="shared" si="0"/>
        <v>46032</v>
      </c>
      <c r="F20" s="7">
        <v>0.95833333333333304</v>
      </c>
      <c r="G20" s="10">
        <f t="shared" ca="1" si="1"/>
        <v>24</v>
      </c>
      <c r="H20" s="44" cm="1">
        <f t="array" aca="1" ref="H20" ca="1">IF(G20=24,INDIRECT("'" &amp; "Dia " &amp; ROW()-10 &amp; "'!C47"),"-")</f>
        <v>0.83922183482287815</v>
      </c>
      <c r="I20" s="58"/>
    </row>
    <row r="21" spans="1:9" ht="18" customHeight="1" x14ac:dyDescent="0.25">
      <c r="A21" s="119" t="s">
        <v>23</v>
      </c>
      <c r="B21" s="120"/>
      <c r="C21" s="39">
        <v>46033</v>
      </c>
      <c r="D21" s="7">
        <v>0</v>
      </c>
      <c r="E21" s="39">
        <f t="shared" si="0"/>
        <v>46033</v>
      </c>
      <c r="F21" s="7">
        <v>0.95833333333333304</v>
      </c>
      <c r="G21" s="10">
        <f t="shared" ca="1" si="1"/>
        <v>24</v>
      </c>
      <c r="H21" s="44" cm="1">
        <f t="array" aca="1" ref="H21" ca="1">IF(G21=24,INDIRECT("'" &amp; "Dia " &amp; ROW()-10 &amp; "'!C47"),"-")</f>
        <v>0.61267445903483109</v>
      </c>
      <c r="I21" s="58"/>
    </row>
    <row r="22" spans="1:9" ht="18" customHeight="1" x14ac:dyDescent="0.25">
      <c r="A22" s="119" t="s">
        <v>23</v>
      </c>
      <c r="B22" s="120"/>
      <c r="C22" s="39">
        <v>46034</v>
      </c>
      <c r="D22" s="7">
        <v>0</v>
      </c>
      <c r="E22" s="39">
        <f t="shared" si="0"/>
        <v>46034</v>
      </c>
      <c r="F22" s="7">
        <v>0.95833333333333304</v>
      </c>
      <c r="G22" s="10">
        <f t="shared" ca="1" si="1"/>
        <v>24</v>
      </c>
      <c r="H22" s="44" cm="1">
        <f t="array" aca="1" ref="H22" ca="1">IF(G22=24,INDIRECT("'" &amp; "Dia " &amp; ROW()-10 &amp; "'!C47"),"-")</f>
        <v>0.91835935843866934</v>
      </c>
      <c r="I22" s="58"/>
    </row>
    <row r="23" spans="1:9" ht="18" customHeight="1" x14ac:dyDescent="0.25">
      <c r="A23" s="119" t="s">
        <v>23</v>
      </c>
      <c r="B23" s="120"/>
      <c r="C23" s="39">
        <v>46035</v>
      </c>
      <c r="D23" s="7">
        <v>0</v>
      </c>
      <c r="E23" s="39">
        <f t="shared" si="0"/>
        <v>46035</v>
      </c>
      <c r="F23" s="7">
        <v>0.95833333333333304</v>
      </c>
      <c r="G23" s="10">
        <f t="shared" ca="1" si="1"/>
        <v>24</v>
      </c>
      <c r="H23" s="44" cm="1">
        <f t="array" aca="1" ref="H23" ca="1">IF(G23=24,INDIRECT("'" &amp; "Dia " &amp; ROW()-10 &amp; "'!C47"),"-")</f>
        <v>0.68530202270155349</v>
      </c>
      <c r="I23" s="58"/>
    </row>
    <row r="24" spans="1:9" ht="18" customHeight="1" x14ac:dyDescent="0.25">
      <c r="A24" s="119" t="s">
        <v>23</v>
      </c>
      <c r="B24" s="120"/>
      <c r="C24" s="39">
        <v>46036</v>
      </c>
      <c r="D24" s="7">
        <v>0</v>
      </c>
      <c r="E24" s="39">
        <f t="shared" si="0"/>
        <v>46036</v>
      </c>
      <c r="F24" s="7">
        <v>0.95833333333333304</v>
      </c>
      <c r="G24" s="10">
        <f t="shared" ca="1" si="1"/>
        <v>24</v>
      </c>
      <c r="H24" s="44" cm="1">
        <f t="array" aca="1" ref="H24" ca="1">IF(G24=24,INDIRECT("'" &amp; "Dia " &amp; ROW()-10 &amp; "'!C47"),"-")</f>
        <v>0.88280286402975061</v>
      </c>
      <c r="I24" s="58"/>
    </row>
    <row r="25" spans="1:9" ht="18" customHeight="1" x14ac:dyDescent="0.25">
      <c r="A25" s="119" t="s">
        <v>23</v>
      </c>
      <c r="B25" s="120"/>
      <c r="C25" s="39">
        <v>46037</v>
      </c>
      <c r="D25" s="7">
        <v>0</v>
      </c>
      <c r="E25" s="39">
        <f t="shared" si="0"/>
        <v>46037</v>
      </c>
      <c r="F25" s="7">
        <v>0.95833333333333304</v>
      </c>
      <c r="G25" s="10">
        <f t="shared" ca="1" si="1"/>
        <v>24</v>
      </c>
      <c r="H25" s="44" cm="1">
        <f t="array" aca="1" ref="H25" ca="1">IF(G25=24,INDIRECT("'" &amp; "Dia " &amp; ROW()-10 &amp; "'!C47"),"-")</f>
        <v>0.65939001236430417</v>
      </c>
      <c r="I25" s="58"/>
    </row>
    <row r="26" spans="1:9" ht="18" customHeight="1" x14ac:dyDescent="0.25">
      <c r="A26" s="119" t="s">
        <v>23</v>
      </c>
      <c r="B26" s="120"/>
      <c r="C26" s="39">
        <v>46038</v>
      </c>
      <c r="D26" s="7">
        <v>0</v>
      </c>
      <c r="E26" s="39">
        <f t="shared" si="0"/>
        <v>46038</v>
      </c>
      <c r="F26" s="7">
        <v>0.95833333333333304</v>
      </c>
      <c r="G26" s="10">
        <f t="shared" ca="1" si="1"/>
        <v>24</v>
      </c>
      <c r="H26" s="44" cm="1">
        <f t="array" aca="1" ref="H26" ca="1">IF(G26=24,INDIRECT("'" &amp; "Dia " &amp; ROW()-10 &amp; "'!C47"),"-")</f>
        <v>0.9332479826399035</v>
      </c>
      <c r="I26" s="59"/>
    </row>
    <row r="27" spans="1:9" ht="18" customHeight="1" x14ac:dyDescent="0.25">
      <c r="A27" s="119" t="s">
        <v>23</v>
      </c>
      <c r="B27" s="120"/>
      <c r="C27" s="39">
        <v>46039</v>
      </c>
      <c r="D27" s="7">
        <v>0</v>
      </c>
      <c r="E27" s="39">
        <f t="shared" si="0"/>
        <v>46039</v>
      </c>
      <c r="F27" s="7">
        <v>0.95833333333333304</v>
      </c>
      <c r="G27" s="10">
        <f t="shared" ca="1" si="1"/>
        <v>24</v>
      </c>
      <c r="H27" s="44" cm="1">
        <f t="array" aca="1" ref="H27" ca="1">IF(G27=24,INDIRECT("'" &amp; "Dia " &amp; ROW()-10 &amp; "'!C47"),"-")</f>
        <v>0.75347152966418907</v>
      </c>
      <c r="I27" s="58"/>
    </row>
    <row r="28" spans="1:9" ht="18" customHeight="1" x14ac:dyDescent="0.25">
      <c r="A28" s="119" t="s">
        <v>23</v>
      </c>
      <c r="B28" s="120"/>
      <c r="C28" s="39">
        <v>46040</v>
      </c>
      <c r="D28" s="7">
        <v>0</v>
      </c>
      <c r="E28" s="39">
        <f t="shared" si="0"/>
        <v>46040</v>
      </c>
      <c r="F28" s="7">
        <v>0.95833333333333304</v>
      </c>
      <c r="G28" s="10">
        <f t="shared" ca="1" si="1"/>
        <v>24</v>
      </c>
      <c r="H28" s="44" cm="1">
        <f t="array" aca="1" ref="H28" ca="1">IF(G28=24,INDIRECT("'" &amp; "Dia " &amp; ROW()-10 &amp; "'!C47"),"-")</f>
        <v>0.94197502870837557</v>
      </c>
      <c r="I28" s="58"/>
    </row>
    <row r="29" spans="1:9" ht="18" customHeight="1" x14ac:dyDescent="0.25">
      <c r="A29" s="119" t="s">
        <v>23</v>
      </c>
      <c r="B29" s="120"/>
      <c r="C29" s="39">
        <v>46041</v>
      </c>
      <c r="D29" s="7">
        <v>0</v>
      </c>
      <c r="E29" s="39">
        <f t="shared" si="0"/>
        <v>46041</v>
      </c>
      <c r="F29" s="7">
        <v>0.95833333333333304</v>
      </c>
      <c r="G29" s="10">
        <f t="shared" ca="1" si="1"/>
        <v>24</v>
      </c>
      <c r="H29" s="44" cm="1">
        <f t="array" aca="1" ref="H29" ca="1">IF(G29=24,INDIRECT("'" &amp; "Dia " &amp; ROW()-10 &amp; "'!C47"),"-")</f>
        <v>0.93282105927299264</v>
      </c>
      <c r="I29" s="58"/>
    </row>
    <row r="30" spans="1:9" ht="18" customHeight="1" x14ac:dyDescent="0.25">
      <c r="A30" s="119" t="s">
        <v>23</v>
      </c>
      <c r="B30" s="120"/>
      <c r="C30" s="39">
        <v>46042</v>
      </c>
      <c r="D30" s="7">
        <v>0</v>
      </c>
      <c r="E30" s="39">
        <f t="shared" si="0"/>
        <v>46042</v>
      </c>
      <c r="F30" s="7">
        <v>0.95833333333333304</v>
      </c>
      <c r="G30" s="10">
        <f t="shared" ca="1" si="1"/>
        <v>24</v>
      </c>
      <c r="H30" s="44" cm="1">
        <f t="array" aca="1" ref="H30" ca="1">IF(G30=24,INDIRECT("'" &amp; "Dia " &amp; ROW()-10 &amp; "'!C47"),"-")</f>
        <v>0.71821259493393685</v>
      </c>
      <c r="I30" s="58"/>
    </row>
    <row r="31" spans="1:9" ht="18" customHeight="1" x14ac:dyDescent="0.25">
      <c r="A31" s="119" t="s">
        <v>23</v>
      </c>
      <c r="B31" s="120"/>
      <c r="C31" s="39">
        <v>46043</v>
      </c>
      <c r="D31" s="7">
        <v>0</v>
      </c>
      <c r="E31" s="39">
        <f t="shared" si="0"/>
        <v>46043</v>
      </c>
      <c r="F31" s="7">
        <v>0.95833333333333304</v>
      </c>
      <c r="G31" s="10">
        <f t="shared" ca="1" si="1"/>
        <v>24</v>
      </c>
      <c r="H31" s="44" cm="1">
        <f t="array" aca="1" ref="H31" ca="1">IF(G31=24,INDIRECT("'" &amp; "Dia " &amp; ROW()-10 &amp; "'!C47"),"-")</f>
        <v>0.6220166696470768</v>
      </c>
      <c r="I31" s="58"/>
    </row>
    <row r="32" spans="1:9" ht="18" customHeight="1" x14ac:dyDescent="0.25">
      <c r="A32" s="119" t="s">
        <v>23</v>
      </c>
      <c r="B32" s="120"/>
      <c r="C32" s="39">
        <v>46044</v>
      </c>
      <c r="D32" s="7">
        <v>0</v>
      </c>
      <c r="E32" s="39">
        <f t="shared" si="0"/>
        <v>46044</v>
      </c>
      <c r="F32" s="7">
        <v>0.95833333333333304</v>
      </c>
      <c r="G32" s="10">
        <f t="shared" ca="1" si="1"/>
        <v>24</v>
      </c>
      <c r="H32" s="44" cm="1">
        <f t="array" aca="1" ref="H32" ca="1">IF(G32=24,INDIRECT("'" &amp; "Dia " &amp; ROW()-10 &amp; "'!C47"),"-")</f>
        <v>0.76881724402496621</v>
      </c>
      <c r="I32" s="58"/>
    </row>
    <row r="33" spans="1:9" ht="18" customHeight="1" x14ac:dyDescent="0.25">
      <c r="A33" s="119" t="s">
        <v>23</v>
      </c>
      <c r="B33" s="120"/>
      <c r="C33" s="39">
        <v>46045</v>
      </c>
      <c r="D33" s="7">
        <v>0</v>
      </c>
      <c r="E33" s="39">
        <f t="shared" si="0"/>
        <v>46045</v>
      </c>
      <c r="F33" s="7">
        <v>0.95833333333333304</v>
      </c>
      <c r="G33" s="10">
        <f t="shared" ca="1" si="1"/>
        <v>24</v>
      </c>
      <c r="H33" s="44" cm="1">
        <f t="array" aca="1" ref="H33" ca="1">IF(G33=24,INDIRECT("'" &amp; "Dia " &amp; ROW()-10 &amp; "'!C47"),"-")</f>
        <v>1.0027617371286539</v>
      </c>
      <c r="I33" s="58"/>
    </row>
    <row r="34" spans="1:9" ht="18" customHeight="1" x14ac:dyDescent="0.25">
      <c r="A34" s="119" t="s">
        <v>23</v>
      </c>
      <c r="B34" s="120"/>
      <c r="C34" s="39">
        <v>46046</v>
      </c>
      <c r="D34" s="7">
        <v>0</v>
      </c>
      <c r="E34" s="39">
        <f t="shared" si="0"/>
        <v>46046</v>
      </c>
      <c r="F34" s="7">
        <v>0.95833333333333304</v>
      </c>
      <c r="G34" s="10">
        <f t="shared" ca="1" si="1"/>
        <v>24</v>
      </c>
      <c r="H34" s="44" cm="1">
        <f t="array" aca="1" ref="H34" ca="1">IF(G34=24,INDIRECT("'" &amp; "Dia " &amp; ROW()-10 &amp; "'!C47"),"-")</f>
        <v>0.94846991961041993</v>
      </c>
      <c r="I34" s="58"/>
    </row>
    <row r="35" spans="1:9" ht="18" customHeight="1" x14ac:dyDescent="0.25">
      <c r="A35" s="119" t="s">
        <v>23</v>
      </c>
      <c r="B35" s="120"/>
      <c r="C35" s="39">
        <v>46047</v>
      </c>
      <c r="D35" s="7">
        <v>0</v>
      </c>
      <c r="E35" s="39">
        <f t="shared" si="0"/>
        <v>46047</v>
      </c>
      <c r="F35" s="7">
        <v>0.95833333333333304</v>
      </c>
      <c r="G35" s="10">
        <f t="shared" ca="1" si="1"/>
        <v>24</v>
      </c>
      <c r="H35" s="44" cm="1">
        <f t="array" aca="1" ref="H35" ca="1">IF(G35=24,INDIRECT("'" &amp; "Dia " &amp; ROW()-10 &amp; "'!C47"),"-")</f>
        <v>0.93693551894816451</v>
      </c>
      <c r="I35" s="74"/>
    </row>
    <row r="36" spans="1:9" ht="18" customHeight="1" x14ac:dyDescent="0.25">
      <c r="A36" s="119" t="s">
        <v>23</v>
      </c>
      <c r="B36" s="120"/>
      <c r="C36" s="39">
        <v>46048</v>
      </c>
      <c r="D36" s="7">
        <v>0</v>
      </c>
      <c r="E36" s="39">
        <f t="shared" si="0"/>
        <v>46048</v>
      </c>
      <c r="F36" s="7">
        <v>0.95833333333333304</v>
      </c>
      <c r="G36" s="10">
        <f t="shared" ca="1" si="1"/>
        <v>24</v>
      </c>
      <c r="H36" s="44" cm="1">
        <f t="array" aca="1" ref="H36" ca="1">IF(G36=24,INDIRECT("'" &amp; "Dia " &amp; ROW()-10 &amp; "'!C47"),"-")</f>
        <v>1.0824940798780442</v>
      </c>
      <c r="I36" s="58"/>
    </row>
    <row r="37" spans="1:9" ht="18" customHeight="1" x14ac:dyDescent="0.25">
      <c r="A37" s="119" t="s">
        <v>23</v>
      </c>
      <c r="B37" s="120"/>
      <c r="C37" s="39">
        <v>46049</v>
      </c>
      <c r="D37" s="7">
        <v>0</v>
      </c>
      <c r="E37" s="39">
        <f t="shared" si="0"/>
        <v>46049</v>
      </c>
      <c r="F37" s="7">
        <v>0.95833333333333304</v>
      </c>
      <c r="G37" s="10">
        <f t="shared" ca="1" si="1"/>
        <v>24</v>
      </c>
      <c r="H37" s="44" cm="1">
        <f t="array" aca="1" ref="H37" ca="1">IF(G37=24,INDIRECT("'" &amp; "Dia " &amp; ROW()-10 &amp; "'!C47"),"-")</f>
        <v>0.87200578378616422</v>
      </c>
      <c r="I37" s="74"/>
    </row>
    <row r="38" spans="1:9" ht="18" customHeight="1" x14ac:dyDescent="0.25">
      <c r="A38" s="119" t="s">
        <v>23</v>
      </c>
      <c r="B38" s="120"/>
      <c r="C38" s="39">
        <v>46050</v>
      </c>
      <c r="D38" s="7">
        <v>0</v>
      </c>
      <c r="E38" s="39">
        <f t="shared" si="0"/>
        <v>46050</v>
      </c>
      <c r="F38" s="7">
        <v>0.95833333333333304</v>
      </c>
      <c r="G38" s="10">
        <f t="shared" ca="1" si="1"/>
        <v>24</v>
      </c>
      <c r="H38" s="44" cm="1">
        <f t="array" aca="1" ref="H38" ca="1">IF(G38=24,INDIRECT("'" &amp; "Dia " &amp; ROW()-10 &amp; "'!C47"),"-")</f>
        <v>1.051522532269074</v>
      </c>
      <c r="I38" s="58"/>
    </row>
    <row r="39" spans="1:9" x14ac:dyDescent="0.25">
      <c r="A39" s="119" t="s">
        <v>23</v>
      </c>
      <c r="B39" s="120"/>
      <c r="C39" s="39">
        <v>46051</v>
      </c>
      <c r="D39" s="7">
        <v>0</v>
      </c>
      <c r="E39" s="39">
        <f t="shared" si="0"/>
        <v>46051</v>
      </c>
      <c r="F39" s="7">
        <v>0.95833333333333304</v>
      </c>
      <c r="G39" s="10">
        <f t="shared" ca="1" si="1"/>
        <v>24</v>
      </c>
      <c r="H39" s="44" cm="1">
        <f t="array" aca="1" ref="H39" ca="1">IF(G39=24,INDIRECT("'" &amp; "Dia " &amp; ROW()-10 &amp; "'!C47"),"-")</f>
        <v>0.96333135656233682</v>
      </c>
      <c r="I39" s="58"/>
    </row>
    <row r="40" spans="1:9" x14ac:dyDescent="0.25">
      <c r="A40" s="119" t="s">
        <v>23</v>
      </c>
      <c r="B40" s="120"/>
      <c r="C40" s="39">
        <v>46052</v>
      </c>
      <c r="D40" s="7">
        <v>0</v>
      </c>
      <c r="E40" s="39">
        <f t="shared" si="0"/>
        <v>46052</v>
      </c>
      <c r="F40" s="7">
        <v>0.95833333333333304</v>
      </c>
      <c r="G40" s="10">
        <f t="shared" ca="1" si="1"/>
        <v>24</v>
      </c>
      <c r="H40" s="44" cm="1">
        <f t="array" aca="1" ref="H40" ca="1">IF(G40=24,INDIRECT("'" &amp; "Dia " &amp; ROW()-10 &amp; "'!C47"),"-")</f>
        <v>1.0180099930818423</v>
      </c>
      <c r="I40" s="58"/>
    </row>
    <row r="41" spans="1:9" ht="15.75" thickBot="1" x14ac:dyDescent="0.3">
      <c r="A41" s="144" t="s">
        <v>23</v>
      </c>
      <c r="B41" s="145"/>
      <c r="C41" s="39">
        <v>46053</v>
      </c>
      <c r="D41" s="71">
        <v>0</v>
      </c>
      <c r="E41" s="62">
        <f t="shared" si="0"/>
        <v>46053</v>
      </c>
      <c r="F41" s="71">
        <v>0.95833333333333304</v>
      </c>
      <c r="G41" s="61">
        <f t="shared" ca="1" si="1"/>
        <v>24</v>
      </c>
      <c r="H41" s="72"/>
      <c r="I41" s="73"/>
    </row>
    <row r="42" spans="1:9" ht="25.5" customHeight="1" x14ac:dyDescent="0.25">
      <c r="A42" s="131" t="s">
        <v>24</v>
      </c>
      <c r="B42" s="136" t="s">
        <v>25</v>
      </c>
      <c r="C42" s="137"/>
      <c r="D42" s="133" t="s">
        <v>26</v>
      </c>
      <c r="E42" s="140"/>
      <c r="F42" s="141"/>
      <c r="G42" s="135" t="s">
        <v>27</v>
      </c>
      <c r="H42" s="63"/>
      <c r="I42" s="64" t="s">
        <v>28</v>
      </c>
    </row>
    <row r="43" spans="1:9" x14ac:dyDescent="0.25">
      <c r="A43" s="132"/>
      <c r="B43" s="138" t="s">
        <v>29</v>
      </c>
      <c r="C43" s="139"/>
      <c r="D43" s="134"/>
      <c r="E43" s="142" t="s">
        <v>30</v>
      </c>
      <c r="F43" s="143"/>
      <c r="G43" s="134"/>
      <c r="H43" s="11"/>
      <c r="I43" s="65" t="s">
        <v>31</v>
      </c>
    </row>
    <row r="44" spans="1:9" x14ac:dyDescent="0.25">
      <c r="A44" s="129" t="s">
        <v>32</v>
      </c>
      <c r="B44" s="123" t="s">
        <v>33</v>
      </c>
      <c r="C44" s="123"/>
      <c r="D44" s="123"/>
      <c r="E44" s="123"/>
      <c r="F44" s="123"/>
      <c r="G44" s="123"/>
      <c r="H44" s="124"/>
      <c r="I44" s="125"/>
    </row>
    <row r="45" spans="1:9" ht="9.75" customHeight="1" x14ac:dyDescent="0.25">
      <c r="A45" s="130"/>
      <c r="B45" s="126"/>
      <c r="C45" s="126"/>
      <c r="D45" s="126"/>
      <c r="E45" s="126"/>
      <c r="F45" s="126"/>
      <c r="G45" s="126"/>
      <c r="H45" s="127"/>
      <c r="I45" s="128"/>
    </row>
    <row r="46" spans="1:9" x14ac:dyDescent="0.25">
      <c r="A46" s="66"/>
      <c r="B46" s="6"/>
      <c r="C46" s="6"/>
      <c r="D46" s="6"/>
      <c r="E46" s="6"/>
      <c r="F46" s="6"/>
      <c r="G46" s="6"/>
      <c r="H46" s="6"/>
      <c r="I46" s="67"/>
    </row>
    <row r="47" spans="1:9" x14ac:dyDescent="0.25">
      <c r="A47" s="68"/>
      <c r="B47" s="69"/>
      <c r="C47" s="69"/>
      <c r="D47" s="69"/>
      <c r="E47" s="69"/>
      <c r="F47" s="69"/>
      <c r="G47" s="69"/>
      <c r="H47" s="69"/>
      <c r="I47" s="70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38" zoomScale="85" zoomScaleNormal="85" zoomScaleSheetLayoutView="85" workbookViewId="0">
      <selection activeCell="C47" sqref="C47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'FOM303-32-Imprimir'!C5:C5</f>
        <v xml:space="preserve">Aerocivil </v>
      </c>
      <c r="C7" s="147"/>
      <c r="D7" s="27" t="s">
        <v>5</v>
      </c>
      <c r="E7" s="148" t="str" cm="1">
        <f t="array" ref="E7">'FOM303-32-Imprimir'!C6:C6</f>
        <v>Bogotá DC</v>
      </c>
      <c r="F7" s="148"/>
      <c r="G7" s="148"/>
    </row>
    <row r="8" spans="1:12" ht="15.75" x14ac:dyDescent="0.25">
      <c r="A8" s="27" t="s">
        <v>35</v>
      </c>
      <c r="B8" s="146" t="s">
        <v>23</v>
      </c>
      <c r="C8" s="147"/>
      <c r="D8" s="28" t="s">
        <v>10</v>
      </c>
      <c r="E8" s="148" t="str" cm="1">
        <f t="array" ref="E8">'FOM303-32-Imprimir'!C7:C7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'FOM303-32-Imprimir'!H6:H6</f>
        <v>2076974.7409999999</v>
      </c>
      <c r="C9" s="147"/>
      <c r="D9" s="28" t="s">
        <v>14</v>
      </c>
      <c r="E9" s="148" cm="1">
        <f t="array" ref="E9">'FOM303-32-Imprimir'!H7:H7</f>
        <v>4873664.16</v>
      </c>
      <c r="F9" s="148"/>
      <c r="G9" s="148"/>
    </row>
    <row r="10" spans="1:12" ht="15.75" x14ac:dyDescent="0.25">
      <c r="A10" s="27" t="s">
        <v>36</v>
      </c>
      <c r="B10" s="146" t="s">
        <v>37</v>
      </c>
      <c r="C10" s="147"/>
      <c r="D10" s="27" t="s">
        <v>38</v>
      </c>
      <c r="E10" s="148"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'FOM303-32-Imprimir'!C11</f>
        <v>46023</v>
      </c>
      <c r="C11" s="165"/>
      <c r="D11" s="30" t="s">
        <v>40</v>
      </c>
      <c r="E11" s="166">
        <v>0</v>
      </c>
      <c r="F11" s="166"/>
      <c r="G11" s="166"/>
    </row>
    <row r="12" spans="1:12" ht="15.75" x14ac:dyDescent="0.25">
      <c r="A12" s="29" t="s">
        <v>41</v>
      </c>
      <c r="B12" s="164">
        <f>'FOM303-32-Imprimir'!E11</f>
        <v>46023</v>
      </c>
      <c r="C12" s="165"/>
      <c r="D12" s="29" t="s">
        <v>42</v>
      </c>
      <c r="E12" s="166">
        <v>0.95833333333333337</v>
      </c>
      <c r="F12" s="166"/>
      <c r="G12" s="166"/>
    </row>
    <row r="13" spans="1:12" x14ac:dyDescent="0.25">
      <c r="B13" s="23" t="s">
        <v>4</v>
      </c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21.931999999999999</v>
      </c>
      <c r="D21" s="167">
        <v>21.931999999999999</v>
      </c>
    </row>
    <row r="22" spans="2:7" ht="18.75" x14ac:dyDescent="0.25">
      <c r="B22" s="47">
        <v>1</v>
      </c>
      <c r="C22" s="167">
        <v>21.529</v>
      </c>
      <c r="D22" s="167">
        <v>21.529</v>
      </c>
    </row>
    <row r="23" spans="2:7" ht="18.75" x14ac:dyDescent="0.25">
      <c r="B23" s="47">
        <v>2</v>
      </c>
      <c r="C23" s="167">
        <v>20.849</v>
      </c>
      <c r="D23" s="167">
        <v>20.849</v>
      </c>
    </row>
    <row r="24" spans="2:7" ht="18.75" x14ac:dyDescent="0.25">
      <c r="B24" s="47">
        <v>3</v>
      </c>
      <c r="C24" s="167">
        <v>21.245000000000001</v>
      </c>
      <c r="D24" s="167">
        <v>21.245000000000001</v>
      </c>
    </row>
    <row r="25" spans="2:7" ht="18.75" x14ac:dyDescent="0.25">
      <c r="B25" s="47">
        <v>4</v>
      </c>
      <c r="C25" s="167">
        <v>21.004999999999999</v>
      </c>
      <c r="D25" s="167">
        <v>21.004999999999999</v>
      </c>
    </row>
    <row r="26" spans="2:7" ht="18.75" x14ac:dyDescent="0.25">
      <c r="B26" s="47">
        <v>5</v>
      </c>
      <c r="C26" s="167">
        <v>20.899000000000001</v>
      </c>
      <c r="D26" s="167">
        <v>20.899000000000001</v>
      </c>
    </row>
    <row r="27" spans="2:7" ht="18.75" x14ac:dyDescent="0.25">
      <c r="B27" s="47">
        <v>6</v>
      </c>
      <c r="C27" s="167">
        <v>21.651</v>
      </c>
      <c r="D27" s="167">
        <v>21.651</v>
      </c>
    </row>
    <row r="28" spans="2:7" ht="18.75" x14ac:dyDescent="0.25">
      <c r="B28" s="47">
        <v>7</v>
      </c>
      <c r="C28" s="167">
        <v>21.677</v>
      </c>
      <c r="D28" s="167">
        <v>21.677</v>
      </c>
    </row>
    <row r="29" spans="2:7" ht="18.75" x14ac:dyDescent="0.25">
      <c r="B29" s="47">
        <v>8</v>
      </c>
      <c r="C29" s="167">
        <v>22.943000000000001</v>
      </c>
      <c r="D29" s="167">
        <v>22.943000000000001</v>
      </c>
    </row>
    <row r="30" spans="2:7" ht="18.75" x14ac:dyDescent="0.25">
      <c r="B30" s="47">
        <v>9</v>
      </c>
      <c r="C30" s="167">
        <v>22.431999999999999</v>
      </c>
      <c r="D30" s="167">
        <v>22.431999999999999</v>
      </c>
    </row>
    <row r="31" spans="2:7" ht="18.75" x14ac:dyDescent="0.25">
      <c r="B31" s="47">
        <v>10</v>
      </c>
      <c r="C31" s="167">
        <v>22.108000000000001</v>
      </c>
      <c r="D31" s="167">
        <v>22.108000000000001</v>
      </c>
    </row>
    <row r="32" spans="2:7" ht="18.75" x14ac:dyDescent="0.25">
      <c r="B32" s="47">
        <v>11</v>
      </c>
      <c r="C32" s="167">
        <v>23.798999999999999</v>
      </c>
      <c r="D32" s="167">
        <v>23.798999999999999</v>
      </c>
    </row>
    <row r="33" spans="2:4" ht="18.75" x14ac:dyDescent="0.25">
      <c r="B33" s="47">
        <v>12</v>
      </c>
      <c r="C33" s="167">
        <v>23.016999999999999</v>
      </c>
      <c r="D33" s="167">
        <v>23.016999999999999</v>
      </c>
    </row>
    <row r="34" spans="2:4" ht="18.75" x14ac:dyDescent="0.25">
      <c r="B34" s="47">
        <v>13</v>
      </c>
      <c r="C34" s="167">
        <v>22.388000000000002</v>
      </c>
      <c r="D34" s="167">
        <v>22.388000000000002</v>
      </c>
    </row>
    <row r="35" spans="2:4" ht="18.75" x14ac:dyDescent="0.25">
      <c r="B35" s="47">
        <v>14</v>
      </c>
      <c r="C35" s="167">
        <v>21.405000000000001</v>
      </c>
      <c r="D35" s="167">
        <v>21.405000000000001</v>
      </c>
    </row>
    <row r="36" spans="2:4" ht="18.75" x14ac:dyDescent="0.25">
      <c r="B36" s="47">
        <v>15</v>
      </c>
      <c r="C36" s="167">
        <v>23.323</v>
      </c>
      <c r="D36" s="167">
        <v>23.323</v>
      </c>
    </row>
    <row r="37" spans="2:4" ht="18.75" x14ac:dyDescent="0.25">
      <c r="B37" s="47">
        <v>16</v>
      </c>
      <c r="C37" s="167">
        <v>20.341999999999999</v>
      </c>
      <c r="D37" s="167">
        <v>20.341999999999999</v>
      </c>
    </row>
    <row r="38" spans="2:4" ht="18.75" x14ac:dyDescent="0.25">
      <c r="B38" s="47">
        <v>17</v>
      </c>
      <c r="C38" s="167">
        <v>22.081</v>
      </c>
      <c r="D38" s="167">
        <v>22.081</v>
      </c>
    </row>
    <row r="39" spans="2:4" ht="18.75" x14ac:dyDescent="0.25">
      <c r="B39" s="47">
        <v>18</v>
      </c>
      <c r="C39" s="167">
        <v>22.783999999999999</v>
      </c>
      <c r="D39" s="167">
        <v>22.783999999999999</v>
      </c>
    </row>
    <row r="40" spans="2:4" ht="18.75" x14ac:dyDescent="0.25">
      <c r="B40" s="47">
        <v>19</v>
      </c>
      <c r="C40" s="167">
        <v>23.026</v>
      </c>
      <c r="D40" s="167">
        <v>23.026</v>
      </c>
    </row>
    <row r="41" spans="2:4" ht="18.75" x14ac:dyDescent="0.25">
      <c r="B41" s="47">
        <v>20</v>
      </c>
      <c r="C41" s="167">
        <v>21.911000000000001</v>
      </c>
      <c r="D41" s="167">
        <v>21.911000000000001</v>
      </c>
    </row>
    <row r="42" spans="2:4" ht="18.75" x14ac:dyDescent="0.25">
      <c r="B42" s="47">
        <v>21</v>
      </c>
      <c r="C42" s="167">
        <v>22.942</v>
      </c>
      <c r="D42" s="167">
        <v>22.942</v>
      </c>
    </row>
    <row r="43" spans="2:4" ht="18.75" x14ac:dyDescent="0.25">
      <c r="B43" s="47">
        <v>22</v>
      </c>
      <c r="C43" s="167">
        <v>22.186</v>
      </c>
      <c r="D43" s="167">
        <v>22.186</v>
      </c>
    </row>
    <row r="44" spans="2:4" ht="18.75" x14ac:dyDescent="0.25">
      <c r="B44" s="47">
        <v>23</v>
      </c>
      <c r="C44" s="167">
        <v>22.13</v>
      </c>
      <c r="D44" s="167">
        <v>22.13</v>
      </c>
    </row>
    <row r="45" spans="2:4" ht="18.75" x14ac:dyDescent="0.25">
      <c r="B45" s="47"/>
      <c r="C45" s="167"/>
      <c r="D45" s="167"/>
    </row>
    <row r="46" spans="2:4" ht="33.75" customHeight="1" x14ac:dyDescent="0.25">
      <c r="B46" s="48" t="s">
        <v>46</v>
      </c>
      <c r="C46" s="170">
        <f>AVERAGE(C22:C45)</f>
        <v>22.072695652173913</v>
      </c>
      <c r="D46" s="170"/>
    </row>
    <row r="47" spans="2:4" ht="31.5" x14ac:dyDescent="0.25">
      <c r="B47" s="50" t="s">
        <v>47</v>
      </c>
      <c r="C47" s="49">
        <f>_xlfn.STDEV.S(C21:C45)</f>
        <v>0.87041242931236307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5" zoomScale="60" zoomScaleNormal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'FOM303-32-Imprimir'!C12</f>
        <v>46024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'FOM303-32-Imprimir'!E12</f>
        <v>46024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21.556000000000001</v>
      </c>
      <c r="D21" s="167">
        <v>21.556000000000001</v>
      </c>
    </row>
    <row r="22" spans="2:7" ht="18.75" x14ac:dyDescent="0.25">
      <c r="B22" s="47">
        <v>1</v>
      </c>
      <c r="C22" s="167">
        <v>21.568999999999999</v>
      </c>
      <c r="D22" s="167">
        <v>21.568999999999999</v>
      </c>
    </row>
    <row r="23" spans="2:7" ht="18.75" x14ac:dyDescent="0.25">
      <c r="B23" s="47">
        <v>2</v>
      </c>
      <c r="C23" s="167">
        <v>21.788</v>
      </c>
      <c r="D23" s="167">
        <v>21.788</v>
      </c>
    </row>
    <row r="24" spans="2:7" ht="18.75" x14ac:dyDescent="0.25">
      <c r="B24" s="47">
        <v>3</v>
      </c>
      <c r="C24" s="167">
        <v>21.449000000000002</v>
      </c>
      <c r="D24" s="167">
        <v>21.449000000000002</v>
      </c>
    </row>
    <row r="25" spans="2:7" ht="18.75" x14ac:dyDescent="0.25">
      <c r="B25" s="47">
        <v>4</v>
      </c>
      <c r="C25" s="167">
        <v>21.620999999999999</v>
      </c>
      <c r="D25" s="167">
        <v>21.620999999999999</v>
      </c>
    </row>
    <row r="26" spans="2:7" ht="18.75" x14ac:dyDescent="0.25">
      <c r="B26" s="47">
        <v>5</v>
      </c>
      <c r="C26" s="167">
        <v>21.605</v>
      </c>
      <c r="D26" s="167">
        <v>21.605</v>
      </c>
    </row>
    <row r="27" spans="2:7" ht="18.75" x14ac:dyDescent="0.25">
      <c r="B27" s="47">
        <v>6</v>
      </c>
      <c r="C27" s="167">
        <v>20.928999999999998</v>
      </c>
      <c r="D27" s="167">
        <v>20.928999999999998</v>
      </c>
    </row>
    <row r="28" spans="2:7" ht="18.75" x14ac:dyDescent="0.25">
      <c r="B28" s="47">
        <v>7</v>
      </c>
      <c r="C28" s="167">
        <v>21.338999999999999</v>
      </c>
      <c r="D28" s="167">
        <v>21.338999999999999</v>
      </c>
    </row>
    <row r="29" spans="2:7" ht="18.75" x14ac:dyDescent="0.25">
      <c r="B29" s="47">
        <v>8</v>
      </c>
      <c r="C29" s="167">
        <v>21.503</v>
      </c>
      <c r="D29" s="167">
        <v>21.503</v>
      </c>
    </row>
    <row r="30" spans="2:7" ht="18.75" x14ac:dyDescent="0.25">
      <c r="B30" s="47">
        <v>9</v>
      </c>
      <c r="C30" s="167">
        <v>22.571999999999999</v>
      </c>
      <c r="D30" s="167">
        <v>22.571999999999999</v>
      </c>
    </row>
    <row r="31" spans="2:7" ht="18.75" x14ac:dyDescent="0.25">
      <c r="B31" s="47">
        <v>10</v>
      </c>
      <c r="C31" s="167">
        <v>21.279</v>
      </c>
      <c r="D31" s="167">
        <v>21.279</v>
      </c>
    </row>
    <row r="32" spans="2:7" ht="18.75" x14ac:dyDescent="0.25">
      <c r="B32" s="47">
        <v>11</v>
      </c>
      <c r="C32" s="167">
        <v>20.420999999999999</v>
      </c>
      <c r="D32" s="167">
        <v>20.420999999999999</v>
      </c>
    </row>
    <row r="33" spans="2:4" ht="18.75" x14ac:dyDescent="0.25">
      <c r="B33" s="47">
        <v>12</v>
      </c>
      <c r="C33" s="167">
        <v>20.449000000000002</v>
      </c>
      <c r="D33" s="167">
        <v>20.449000000000002</v>
      </c>
    </row>
    <row r="34" spans="2:4" ht="18.75" x14ac:dyDescent="0.25">
      <c r="B34" s="47">
        <v>13</v>
      </c>
      <c r="C34" s="167">
        <v>21.143999999999998</v>
      </c>
      <c r="D34" s="167">
        <v>21.143999999999998</v>
      </c>
    </row>
    <row r="35" spans="2:4" ht="18.75" x14ac:dyDescent="0.25">
      <c r="B35" s="47">
        <v>14</v>
      </c>
      <c r="C35" s="167">
        <v>21.401</v>
      </c>
      <c r="D35" s="167">
        <v>21.401</v>
      </c>
    </row>
    <row r="36" spans="2:4" ht="18.75" x14ac:dyDescent="0.25">
      <c r="B36" s="47">
        <v>15</v>
      </c>
      <c r="C36" s="167">
        <v>20.853999999999999</v>
      </c>
      <c r="D36" s="167">
        <v>20.853999999999999</v>
      </c>
    </row>
    <row r="37" spans="2:4" ht="18.75" x14ac:dyDescent="0.25">
      <c r="B37" s="47">
        <v>16</v>
      </c>
      <c r="C37" s="167">
        <v>22.651</v>
      </c>
      <c r="D37" s="167">
        <v>22.651</v>
      </c>
    </row>
    <row r="38" spans="2:4" ht="18.75" x14ac:dyDescent="0.25">
      <c r="B38" s="47">
        <v>17</v>
      </c>
      <c r="C38" s="167">
        <v>22.850999999999999</v>
      </c>
      <c r="D38" s="167">
        <v>22.850999999999999</v>
      </c>
    </row>
    <row r="39" spans="2:4" ht="18.75" x14ac:dyDescent="0.25">
      <c r="B39" s="47">
        <v>18</v>
      </c>
      <c r="C39" s="167">
        <v>22.393999999999998</v>
      </c>
      <c r="D39" s="167">
        <v>22.393999999999998</v>
      </c>
    </row>
    <row r="40" spans="2:4" ht="18.75" x14ac:dyDescent="0.25">
      <c r="B40" s="47">
        <v>19</v>
      </c>
      <c r="C40" s="167">
        <v>22.515999999999998</v>
      </c>
      <c r="D40" s="167">
        <v>22.515999999999998</v>
      </c>
    </row>
    <row r="41" spans="2:4" ht="18.75" x14ac:dyDescent="0.25">
      <c r="B41" s="47">
        <v>20</v>
      </c>
      <c r="C41" s="167">
        <v>22.483000000000001</v>
      </c>
      <c r="D41" s="167">
        <v>22.483000000000001</v>
      </c>
    </row>
    <row r="42" spans="2:4" ht="18.75" x14ac:dyDescent="0.25">
      <c r="B42" s="47">
        <v>21</v>
      </c>
      <c r="C42" s="167">
        <v>22.138000000000002</v>
      </c>
      <c r="D42" s="167">
        <v>22.138000000000002</v>
      </c>
    </row>
    <row r="43" spans="2:4" ht="18.75" x14ac:dyDescent="0.25">
      <c r="B43" s="47">
        <v>22</v>
      </c>
      <c r="C43" s="167">
        <v>22.718</v>
      </c>
      <c r="D43" s="167">
        <v>22.718</v>
      </c>
    </row>
    <row r="44" spans="2:4" ht="18.75" x14ac:dyDescent="0.25">
      <c r="B44" s="47">
        <v>23</v>
      </c>
      <c r="C44" s="167">
        <v>21.692</v>
      </c>
      <c r="D44" s="167">
        <v>21.692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21.711565217391307</v>
      </c>
      <c r="D46" s="170"/>
    </row>
    <row r="47" spans="2:4" ht="31.5" x14ac:dyDescent="0.25">
      <c r="B47" s="50" t="s">
        <v>47</v>
      </c>
      <c r="C47" s="49">
        <f>_xlfn.STDEV.S(C21:C45)</f>
        <v>0.70271504006690488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'FOM303-32-Imprimir'!C13</f>
        <v>46025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'FOM303-32-Imprimir'!E13</f>
        <v>46025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22.27</v>
      </c>
      <c r="D21" s="167">
        <v>22.27</v>
      </c>
    </row>
    <row r="22" spans="2:7" ht="18.75" x14ac:dyDescent="0.25">
      <c r="B22" s="47">
        <v>1</v>
      </c>
      <c r="C22" s="167">
        <v>20.620999999999999</v>
      </c>
      <c r="D22" s="167">
        <v>20.620999999999999</v>
      </c>
    </row>
    <row r="23" spans="2:7" ht="18.75" x14ac:dyDescent="0.25">
      <c r="B23" s="47">
        <v>2</v>
      </c>
      <c r="C23" s="167">
        <v>20.91</v>
      </c>
      <c r="D23" s="167">
        <v>20.91</v>
      </c>
    </row>
    <row r="24" spans="2:7" ht="18.75" x14ac:dyDescent="0.25">
      <c r="B24" s="47">
        <v>3</v>
      </c>
      <c r="C24" s="167">
        <v>20.905000000000001</v>
      </c>
      <c r="D24" s="167">
        <v>20.905000000000001</v>
      </c>
    </row>
    <row r="25" spans="2:7" ht="18.75" x14ac:dyDescent="0.25">
      <c r="B25" s="47">
        <v>4</v>
      </c>
      <c r="C25" s="167">
        <v>21.387</v>
      </c>
      <c r="D25" s="167">
        <v>21.387</v>
      </c>
    </row>
    <row r="26" spans="2:7" ht="18.75" x14ac:dyDescent="0.25">
      <c r="B26" s="47">
        <v>5</v>
      </c>
      <c r="C26" s="167">
        <v>22.405999999999999</v>
      </c>
      <c r="D26" s="167">
        <v>22.405999999999999</v>
      </c>
    </row>
    <row r="27" spans="2:7" ht="18.75" x14ac:dyDescent="0.25">
      <c r="B27" s="47">
        <v>6</v>
      </c>
      <c r="C27" s="167">
        <v>21.207000000000001</v>
      </c>
      <c r="D27" s="167">
        <v>21.207000000000001</v>
      </c>
    </row>
    <row r="28" spans="2:7" ht="18.75" x14ac:dyDescent="0.25">
      <c r="B28" s="47">
        <v>7</v>
      </c>
      <c r="C28" s="167">
        <v>23.178999999999998</v>
      </c>
      <c r="D28" s="167">
        <v>23.178999999999998</v>
      </c>
    </row>
    <row r="29" spans="2:7" ht="18.75" x14ac:dyDescent="0.25">
      <c r="B29" s="47">
        <v>8</v>
      </c>
      <c r="C29" s="167">
        <v>22.896999999999998</v>
      </c>
      <c r="D29" s="167">
        <v>22.896999999999998</v>
      </c>
    </row>
    <row r="30" spans="2:7" ht="18.75" x14ac:dyDescent="0.25">
      <c r="B30" s="47">
        <v>9</v>
      </c>
      <c r="C30" s="167">
        <v>22.524000000000001</v>
      </c>
      <c r="D30" s="167">
        <v>22.524000000000001</v>
      </c>
    </row>
    <row r="31" spans="2:7" ht="18.75" x14ac:dyDescent="0.25">
      <c r="B31" s="47">
        <v>10</v>
      </c>
      <c r="C31" s="167">
        <v>23.16</v>
      </c>
      <c r="D31" s="167">
        <v>23.16</v>
      </c>
    </row>
    <row r="32" spans="2:7" ht="18.75" x14ac:dyDescent="0.25">
      <c r="B32" s="47">
        <v>11</v>
      </c>
      <c r="C32" s="167">
        <v>24.027000000000001</v>
      </c>
      <c r="D32" s="167">
        <v>24.027000000000001</v>
      </c>
    </row>
    <row r="33" spans="2:4" ht="18.75" x14ac:dyDescent="0.25">
      <c r="B33" s="47">
        <v>12</v>
      </c>
      <c r="C33" s="167">
        <v>23.798999999999999</v>
      </c>
      <c r="D33" s="167">
        <v>23.798999999999999</v>
      </c>
    </row>
    <row r="34" spans="2:4" ht="18.75" x14ac:dyDescent="0.25">
      <c r="B34" s="47">
        <v>13</v>
      </c>
      <c r="C34" s="167">
        <v>24.396999999999998</v>
      </c>
      <c r="D34" s="167">
        <v>24.396999999999998</v>
      </c>
    </row>
    <row r="35" spans="2:4" ht="18.75" x14ac:dyDescent="0.25">
      <c r="B35" s="47">
        <v>14</v>
      </c>
      <c r="C35" s="167">
        <v>22.016999999999999</v>
      </c>
      <c r="D35" s="167">
        <v>22.016999999999999</v>
      </c>
    </row>
    <row r="36" spans="2:4" ht="18.75" x14ac:dyDescent="0.25">
      <c r="B36" s="47">
        <v>15</v>
      </c>
      <c r="C36" s="167">
        <v>22.213000000000001</v>
      </c>
      <c r="D36" s="167">
        <v>22.213000000000001</v>
      </c>
    </row>
    <row r="37" spans="2:4" ht="18.75" x14ac:dyDescent="0.25">
      <c r="B37" s="47">
        <v>16</v>
      </c>
      <c r="C37" s="167">
        <v>22.811</v>
      </c>
      <c r="D37" s="167">
        <v>22.811</v>
      </c>
    </row>
    <row r="38" spans="2:4" ht="18.75" x14ac:dyDescent="0.25">
      <c r="B38" s="47">
        <v>17</v>
      </c>
      <c r="C38" s="167">
        <v>22.058</v>
      </c>
      <c r="D38" s="167">
        <v>22.058</v>
      </c>
    </row>
    <row r="39" spans="2:4" ht="18.75" x14ac:dyDescent="0.25">
      <c r="B39" s="47">
        <v>18</v>
      </c>
      <c r="C39" s="167">
        <v>21.686</v>
      </c>
      <c r="D39" s="167">
        <v>21.686</v>
      </c>
    </row>
    <row r="40" spans="2:4" ht="18.75" x14ac:dyDescent="0.25">
      <c r="B40" s="47">
        <v>19</v>
      </c>
      <c r="C40" s="167">
        <v>21.786999999999999</v>
      </c>
      <c r="D40" s="167">
        <v>21.786999999999999</v>
      </c>
    </row>
    <row r="41" spans="2:4" ht="18.75" x14ac:dyDescent="0.25">
      <c r="B41" s="47">
        <v>20</v>
      </c>
      <c r="C41" s="167">
        <v>21.777000000000001</v>
      </c>
      <c r="D41" s="167">
        <v>21.777000000000001</v>
      </c>
    </row>
    <row r="42" spans="2:4" ht="18.75" x14ac:dyDescent="0.25">
      <c r="B42" s="47">
        <v>21</v>
      </c>
      <c r="C42" s="167">
        <v>21.940999999999999</v>
      </c>
      <c r="D42" s="167">
        <v>21.940999999999999</v>
      </c>
    </row>
    <row r="43" spans="2:4" ht="18.75" x14ac:dyDescent="0.25">
      <c r="B43" s="47">
        <v>22</v>
      </c>
      <c r="C43" s="167">
        <v>22.527999999999999</v>
      </c>
      <c r="D43" s="167">
        <v>22.527999999999999</v>
      </c>
    </row>
    <row r="44" spans="2:4" ht="18.75" x14ac:dyDescent="0.25">
      <c r="B44" s="47">
        <v>23</v>
      </c>
      <c r="C44" s="167">
        <v>22.318000000000001</v>
      </c>
      <c r="D44" s="167">
        <v>22.318000000000001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22.284999999999997</v>
      </c>
      <c r="D46" s="170"/>
    </row>
    <row r="47" spans="2:4" ht="31.5" x14ac:dyDescent="0.25">
      <c r="B47" s="50" t="s">
        <v>47</v>
      </c>
      <c r="C47" s="49">
        <f>_xlfn.STDEV.S(C22:C45)</f>
        <v>0.99497455426576775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2:D22"/>
    <mergeCell ref="C23:D23"/>
    <mergeCell ref="C24:D24"/>
    <mergeCell ref="C25:D25"/>
    <mergeCell ref="C26:D26"/>
    <mergeCell ref="C21:D21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'FOM303-32-Imprimir'!C14</f>
        <v>46026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'FOM303-32-Imprimir'!E14</f>
        <v>46026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21.87</v>
      </c>
      <c r="D21" s="167">
        <v>21.87</v>
      </c>
    </row>
    <row r="22" spans="2:7" ht="18.75" x14ac:dyDescent="0.25">
      <c r="B22" s="47">
        <v>1</v>
      </c>
      <c r="C22" s="167">
        <v>22.451000000000001</v>
      </c>
      <c r="D22" s="167">
        <v>22.451000000000001</v>
      </c>
    </row>
    <row r="23" spans="2:7" ht="18.75" x14ac:dyDescent="0.25">
      <c r="B23" s="47">
        <v>2</v>
      </c>
      <c r="C23" s="167">
        <v>22.297000000000001</v>
      </c>
      <c r="D23" s="167">
        <v>22.297000000000001</v>
      </c>
    </row>
    <row r="24" spans="2:7" ht="18.75" x14ac:dyDescent="0.25">
      <c r="B24" s="47">
        <v>3</v>
      </c>
      <c r="C24" s="167">
        <v>22.082999999999998</v>
      </c>
      <c r="D24" s="167">
        <v>22.082999999999998</v>
      </c>
    </row>
    <row r="25" spans="2:7" ht="18.75" x14ac:dyDescent="0.25">
      <c r="B25" s="47">
        <v>4</v>
      </c>
      <c r="C25" s="167">
        <v>21.690999999999999</v>
      </c>
      <c r="D25" s="167">
        <v>21.690999999999999</v>
      </c>
    </row>
    <row r="26" spans="2:7" ht="18.75" x14ac:dyDescent="0.25">
      <c r="B26" s="47">
        <v>5</v>
      </c>
      <c r="C26" s="167">
        <v>21.734999999999999</v>
      </c>
      <c r="D26" s="167">
        <v>21.734999999999999</v>
      </c>
    </row>
    <row r="27" spans="2:7" ht="18.75" x14ac:dyDescent="0.25">
      <c r="B27" s="47">
        <v>6</v>
      </c>
      <c r="C27" s="167">
        <v>21.808</v>
      </c>
      <c r="D27" s="167">
        <v>21.808</v>
      </c>
    </row>
    <row r="28" spans="2:7" ht="18.75" x14ac:dyDescent="0.25">
      <c r="B28" s="47">
        <v>7</v>
      </c>
      <c r="C28" s="167">
        <v>21.681000000000001</v>
      </c>
      <c r="D28" s="167">
        <v>21.681000000000001</v>
      </c>
    </row>
    <row r="29" spans="2:7" ht="18.75" x14ac:dyDescent="0.25">
      <c r="B29" s="47">
        <v>8</v>
      </c>
      <c r="C29" s="167">
        <v>21.202999999999999</v>
      </c>
      <c r="D29" s="167">
        <v>21.202999999999999</v>
      </c>
    </row>
    <row r="30" spans="2:7" ht="18.75" x14ac:dyDescent="0.25">
      <c r="B30" s="47">
        <v>9</v>
      </c>
      <c r="C30" s="167">
        <v>22.471</v>
      </c>
      <c r="D30" s="167">
        <v>22.471</v>
      </c>
    </row>
    <row r="31" spans="2:7" ht="18.75" x14ac:dyDescent="0.25">
      <c r="B31" s="47">
        <v>10</v>
      </c>
      <c r="C31" s="167">
        <v>22.164000000000001</v>
      </c>
      <c r="D31" s="167">
        <v>22.164000000000001</v>
      </c>
    </row>
    <row r="32" spans="2:7" ht="18.75" x14ac:dyDescent="0.25">
      <c r="B32" s="47">
        <v>11</v>
      </c>
      <c r="C32" s="167">
        <v>21.901</v>
      </c>
      <c r="D32" s="167">
        <v>21.901</v>
      </c>
    </row>
    <row r="33" spans="2:4" ht="18.75" x14ac:dyDescent="0.25">
      <c r="B33" s="47">
        <v>12</v>
      </c>
      <c r="C33" s="167">
        <v>21.542000000000002</v>
      </c>
      <c r="D33" s="167">
        <v>21.542000000000002</v>
      </c>
    </row>
    <row r="34" spans="2:4" ht="18.75" x14ac:dyDescent="0.25">
      <c r="B34" s="47">
        <v>13</v>
      </c>
      <c r="C34" s="167">
        <v>23.896999999999998</v>
      </c>
      <c r="D34" s="167">
        <v>23.896999999999998</v>
      </c>
    </row>
    <row r="35" spans="2:4" ht="18.75" x14ac:dyDescent="0.25">
      <c r="B35" s="47">
        <v>14</v>
      </c>
      <c r="C35" s="167">
        <v>22.68</v>
      </c>
      <c r="D35" s="167">
        <v>22.68</v>
      </c>
    </row>
    <row r="36" spans="2:4" ht="18.75" x14ac:dyDescent="0.25">
      <c r="B36" s="47">
        <v>15</v>
      </c>
      <c r="C36" s="167">
        <v>22.056999999999999</v>
      </c>
      <c r="D36" s="167">
        <v>22.056999999999999</v>
      </c>
    </row>
    <row r="37" spans="2:4" ht="18.75" x14ac:dyDescent="0.25">
      <c r="B37" s="47">
        <v>16</v>
      </c>
      <c r="C37" s="167">
        <v>23.969000000000001</v>
      </c>
      <c r="D37" s="167">
        <v>23.969000000000001</v>
      </c>
    </row>
    <row r="38" spans="2:4" ht="18.75" x14ac:dyDescent="0.25">
      <c r="B38" s="47">
        <v>17</v>
      </c>
      <c r="C38" s="167">
        <v>23.81</v>
      </c>
      <c r="D38" s="167">
        <v>23.81</v>
      </c>
    </row>
    <row r="39" spans="2:4" ht="18.75" x14ac:dyDescent="0.25">
      <c r="B39" s="47">
        <v>18</v>
      </c>
      <c r="C39" s="167">
        <v>21.937999999999999</v>
      </c>
      <c r="D39" s="167">
        <v>21.937999999999999</v>
      </c>
    </row>
    <row r="40" spans="2:4" ht="18.75" x14ac:dyDescent="0.25">
      <c r="B40" s="47">
        <v>19</v>
      </c>
      <c r="C40" s="167">
        <v>22.327999999999999</v>
      </c>
      <c r="D40" s="167">
        <v>22.327999999999999</v>
      </c>
    </row>
    <row r="41" spans="2:4" ht="18.75" x14ac:dyDescent="0.25">
      <c r="B41" s="47">
        <v>20</v>
      </c>
      <c r="C41" s="167">
        <v>23.08</v>
      </c>
      <c r="D41" s="167">
        <v>23.08</v>
      </c>
    </row>
    <row r="42" spans="2:4" ht="18.75" x14ac:dyDescent="0.25">
      <c r="B42" s="47">
        <v>21</v>
      </c>
      <c r="C42" s="167">
        <v>22.166</v>
      </c>
      <c r="D42" s="167">
        <v>22.166</v>
      </c>
    </row>
    <row r="43" spans="2:4" ht="18.75" x14ac:dyDescent="0.25">
      <c r="B43" s="47">
        <v>22</v>
      </c>
      <c r="C43" s="167">
        <v>23.004000000000001</v>
      </c>
      <c r="D43" s="167">
        <v>23.004000000000001</v>
      </c>
    </row>
    <row r="44" spans="2:4" ht="18.75" x14ac:dyDescent="0.25">
      <c r="B44" s="47">
        <v>23</v>
      </c>
      <c r="C44" s="167">
        <v>22.196000000000002</v>
      </c>
      <c r="D44" s="167">
        <v>22.196000000000002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22.354434782608699</v>
      </c>
      <c r="D46" s="170"/>
    </row>
    <row r="47" spans="2:4" ht="31.5" x14ac:dyDescent="0.25">
      <c r="B47" s="50" t="s">
        <v>47</v>
      </c>
      <c r="C47" s="49">
        <f>_xlfn.STDEV.S(C21:C45)</f>
        <v>0.74047641831928479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'FOM303-32-Imprimir'!C15</f>
        <v>46027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'FOM303-32-Imprimir'!E15</f>
        <v>46027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21.445</v>
      </c>
      <c r="D21" s="167">
        <v>21.445</v>
      </c>
    </row>
    <row r="22" spans="2:7" ht="18.75" x14ac:dyDescent="0.25">
      <c r="B22" s="47">
        <v>1</v>
      </c>
      <c r="C22" s="167">
        <v>21.704000000000001</v>
      </c>
      <c r="D22" s="167">
        <v>21.704000000000001</v>
      </c>
    </row>
    <row r="23" spans="2:7" ht="18.75" x14ac:dyDescent="0.25">
      <c r="B23" s="47">
        <v>2</v>
      </c>
      <c r="C23" s="167">
        <v>22.105</v>
      </c>
      <c r="D23" s="167">
        <v>22.105</v>
      </c>
    </row>
    <row r="24" spans="2:7" ht="18.75" x14ac:dyDescent="0.25">
      <c r="B24" s="47">
        <v>3</v>
      </c>
      <c r="C24" s="167">
        <v>22.346</v>
      </c>
      <c r="D24" s="167">
        <v>22.346</v>
      </c>
    </row>
    <row r="25" spans="2:7" ht="18.75" x14ac:dyDescent="0.25">
      <c r="B25" s="47">
        <v>4</v>
      </c>
      <c r="C25" s="167">
        <v>21.757000000000001</v>
      </c>
      <c r="D25" s="167">
        <v>21.757000000000001</v>
      </c>
    </row>
    <row r="26" spans="2:7" ht="18.75" x14ac:dyDescent="0.25">
      <c r="B26" s="47">
        <v>5</v>
      </c>
      <c r="C26" s="167">
        <v>22.15</v>
      </c>
      <c r="D26" s="167">
        <v>22.15</v>
      </c>
    </row>
    <row r="27" spans="2:7" ht="18.75" x14ac:dyDescent="0.25">
      <c r="B27" s="47">
        <v>6</v>
      </c>
      <c r="C27" s="167">
        <v>22.204999999999998</v>
      </c>
      <c r="D27" s="167">
        <v>22.204999999999998</v>
      </c>
    </row>
    <row r="28" spans="2:7" ht="18.75" x14ac:dyDescent="0.25">
      <c r="B28" s="47">
        <v>7</v>
      </c>
      <c r="C28" s="167">
        <v>22.920999999999999</v>
      </c>
      <c r="D28" s="167">
        <v>22.920999999999999</v>
      </c>
    </row>
    <row r="29" spans="2:7" ht="18.75" x14ac:dyDescent="0.25">
      <c r="B29" s="47">
        <v>8</v>
      </c>
      <c r="C29" s="167">
        <v>22.369</v>
      </c>
      <c r="D29" s="167">
        <v>22.369</v>
      </c>
    </row>
    <row r="30" spans="2:7" ht="18.75" x14ac:dyDescent="0.25">
      <c r="B30" s="47">
        <v>9</v>
      </c>
      <c r="C30" s="167">
        <v>24.045000000000002</v>
      </c>
      <c r="D30" s="167">
        <v>24.045000000000002</v>
      </c>
    </row>
    <row r="31" spans="2:7" ht="18.75" x14ac:dyDescent="0.25">
      <c r="B31" s="47">
        <v>10</v>
      </c>
      <c r="C31" s="167">
        <v>23.262</v>
      </c>
      <c r="D31" s="167">
        <v>23.262</v>
      </c>
    </row>
    <row r="32" spans="2:7" ht="18.75" x14ac:dyDescent="0.25">
      <c r="B32" s="47">
        <v>11</v>
      </c>
      <c r="C32" s="167">
        <v>24.686</v>
      </c>
      <c r="D32" s="167">
        <v>24.686</v>
      </c>
    </row>
    <row r="33" spans="2:4" ht="18.75" x14ac:dyDescent="0.25">
      <c r="B33" s="47">
        <v>12</v>
      </c>
      <c r="C33" s="167">
        <v>24.79</v>
      </c>
      <c r="D33" s="167">
        <v>24.79</v>
      </c>
    </row>
    <row r="34" spans="2:4" ht="18.75" x14ac:dyDescent="0.25">
      <c r="B34" s="47">
        <v>13</v>
      </c>
      <c r="C34" s="167">
        <v>24.581</v>
      </c>
      <c r="D34" s="167">
        <v>24.581</v>
      </c>
    </row>
    <row r="35" spans="2:4" ht="18.75" x14ac:dyDescent="0.25">
      <c r="B35" s="47">
        <v>14</v>
      </c>
      <c r="C35" s="167">
        <v>22.462</v>
      </c>
      <c r="D35" s="167">
        <v>22.462</v>
      </c>
    </row>
    <row r="36" spans="2:4" ht="18.75" x14ac:dyDescent="0.25">
      <c r="B36" s="47">
        <v>15</v>
      </c>
      <c r="C36" s="167">
        <v>23.218</v>
      </c>
      <c r="D36" s="167">
        <v>23.218</v>
      </c>
    </row>
    <row r="37" spans="2:4" ht="18.75" x14ac:dyDescent="0.25">
      <c r="B37" s="47">
        <v>16</v>
      </c>
      <c r="C37" s="167">
        <v>23.725000000000001</v>
      </c>
      <c r="D37" s="167">
        <v>23.725000000000001</v>
      </c>
    </row>
    <row r="38" spans="2:4" ht="18.75" x14ac:dyDescent="0.25">
      <c r="B38" s="47">
        <v>17</v>
      </c>
      <c r="C38" s="167">
        <v>22.515000000000001</v>
      </c>
      <c r="D38" s="167">
        <v>22.515000000000001</v>
      </c>
    </row>
    <row r="39" spans="2:4" ht="18.75" x14ac:dyDescent="0.25">
      <c r="B39" s="47">
        <v>18</v>
      </c>
      <c r="C39" s="167">
        <v>22.021000000000001</v>
      </c>
      <c r="D39" s="167">
        <v>22.021000000000001</v>
      </c>
    </row>
    <row r="40" spans="2:4" ht="18.75" x14ac:dyDescent="0.25">
      <c r="B40" s="47">
        <v>19</v>
      </c>
      <c r="C40" s="167">
        <v>21.997</v>
      </c>
      <c r="D40" s="167">
        <v>21.997</v>
      </c>
    </row>
    <row r="41" spans="2:4" ht="18.75" x14ac:dyDescent="0.25">
      <c r="B41" s="47">
        <v>20</v>
      </c>
      <c r="C41" s="167">
        <v>22.664999999999999</v>
      </c>
      <c r="D41" s="167">
        <v>22.664999999999999</v>
      </c>
    </row>
    <row r="42" spans="2:4" ht="18.75" x14ac:dyDescent="0.25">
      <c r="B42" s="47">
        <v>21</v>
      </c>
      <c r="C42" s="167">
        <v>21.651</v>
      </c>
      <c r="D42" s="167">
        <v>21.651</v>
      </c>
    </row>
    <row r="43" spans="2:4" ht="18.75" x14ac:dyDescent="0.25">
      <c r="B43" s="47">
        <v>22</v>
      </c>
      <c r="C43" s="167">
        <v>22.137</v>
      </c>
      <c r="D43" s="167">
        <v>22.137</v>
      </c>
    </row>
    <row r="44" spans="2:4" ht="18.75" x14ac:dyDescent="0.25">
      <c r="B44" s="47">
        <v>23</v>
      </c>
      <c r="C44" s="167">
        <v>22.204000000000001</v>
      </c>
      <c r="D44" s="167">
        <v>22.204000000000001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22.761565217391308</v>
      </c>
      <c r="D46" s="170"/>
    </row>
    <row r="47" spans="2:4" ht="31.5" x14ac:dyDescent="0.25">
      <c r="B47" s="50" t="s">
        <v>47</v>
      </c>
      <c r="C47" s="49">
        <f>_xlfn.STDEV.S(C21:C45)</f>
        <v>0.99226317858706725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'FOM303-32-Imprimir'!C16</f>
        <v>46028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'FOM303-32-Imprimir'!E16</f>
        <v>46028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22.28</v>
      </c>
      <c r="D21" s="167">
        <v>22.28</v>
      </c>
    </row>
    <row r="22" spans="2:7" ht="18.75" x14ac:dyDescent="0.25">
      <c r="B22" s="47">
        <v>1</v>
      </c>
      <c r="C22" s="167">
        <v>21.663</v>
      </c>
      <c r="D22" s="167">
        <v>21.663</v>
      </c>
    </row>
    <row r="23" spans="2:7" ht="18.75" x14ac:dyDescent="0.25">
      <c r="B23" s="47">
        <v>2</v>
      </c>
      <c r="C23" s="167">
        <v>22.062999999999999</v>
      </c>
      <c r="D23" s="167">
        <v>22.062999999999999</v>
      </c>
    </row>
    <row r="24" spans="2:7" ht="18.75" x14ac:dyDescent="0.25">
      <c r="B24" s="47">
        <v>3</v>
      </c>
      <c r="C24" s="167">
        <v>22.029</v>
      </c>
      <c r="D24" s="167">
        <v>22.029</v>
      </c>
    </row>
    <row r="25" spans="2:7" ht="18.75" x14ac:dyDescent="0.25">
      <c r="B25" s="47">
        <v>4</v>
      </c>
      <c r="C25" s="167">
        <v>22.446999999999999</v>
      </c>
      <c r="D25" s="167">
        <v>22.446999999999999</v>
      </c>
    </row>
    <row r="26" spans="2:7" ht="18.75" x14ac:dyDescent="0.25">
      <c r="B26" s="47">
        <v>5</v>
      </c>
      <c r="C26" s="167">
        <v>21.34</v>
      </c>
      <c r="D26" s="167">
        <v>21.34</v>
      </c>
    </row>
    <row r="27" spans="2:7" ht="18.75" x14ac:dyDescent="0.25">
      <c r="B27" s="47">
        <v>6</v>
      </c>
      <c r="C27" s="167">
        <v>21.736999999999998</v>
      </c>
      <c r="D27" s="167">
        <v>21.736999999999998</v>
      </c>
    </row>
    <row r="28" spans="2:7" ht="18.75" x14ac:dyDescent="0.25">
      <c r="B28" s="47">
        <v>7</v>
      </c>
      <c r="C28" s="167">
        <v>22.434999999999999</v>
      </c>
      <c r="D28" s="167">
        <v>22.434999999999999</v>
      </c>
    </row>
    <row r="29" spans="2:7" ht="18.75" x14ac:dyDescent="0.25">
      <c r="B29" s="47">
        <v>8</v>
      </c>
      <c r="C29" s="167">
        <v>23.559000000000001</v>
      </c>
      <c r="D29" s="167">
        <v>23.559000000000001</v>
      </c>
    </row>
    <row r="30" spans="2:7" ht="18.75" x14ac:dyDescent="0.25">
      <c r="B30" s="47">
        <v>9</v>
      </c>
      <c r="C30" s="167">
        <v>22.288</v>
      </c>
      <c r="D30" s="167">
        <v>22.288</v>
      </c>
    </row>
    <row r="31" spans="2:7" ht="18.75" x14ac:dyDescent="0.25">
      <c r="B31" s="47">
        <v>10</v>
      </c>
      <c r="C31" s="167">
        <v>24.466000000000001</v>
      </c>
      <c r="D31" s="167">
        <v>24.466000000000001</v>
      </c>
    </row>
    <row r="32" spans="2:7" ht="18.75" x14ac:dyDescent="0.25">
      <c r="B32" s="47">
        <v>11</v>
      </c>
      <c r="C32" s="167">
        <v>22.797000000000001</v>
      </c>
      <c r="D32" s="167">
        <v>22.797000000000001</v>
      </c>
    </row>
    <row r="33" spans="2:4" ht="18.75" x14ac:dyDescent="0.25">
      <c r="B33" s="47">
        <v>12</v>
      </c>
      <c r="C33" s="167">
        <v>22.7</v>
      </c>
      <c r="D33" s="167">
        <v>22.7</v>
      </c>
    </row>
    <row r="34" spans="2:4" ht="18.75" x14ac:dyDescent="0.25">
      <c r="B34" s="47">
        <v>13</v>
      </c>
      <c r="C34" s="167">
        <v>23.911999999999999</v>
      </c>
      <c r="D34" s="167">
        <v>23.911999999999999</v>
      </c>
    </row>
    <row r="35" spans="2:4" ht="18.75" x14ac:dyDescent="0.25">
      <c r="B35" s="47">
        <v>14</v>
      </c>
      <c r="C35" s="167">
        <v>22.649000000000001</v>
      </c>
      <c r="D35" s="167">
        <v>22.649000000000001</v>
      </c>
    </row>
    <row r="36" spans="2:4" ht="18.75" x14ac:dyDescent="0.25">
      <c r="B36" s="47">
        <v>15</v>
      </c>
      <c r="C36" s="167">
        <v>23.779</v>
      </c>
      <c r="D36" s="167">
        <v>23.779</v>
      </c>
    </row>
    <row r="37" spans="2:4" ht="18.75" x14ac:dyDescent="0.25">
      <c r="B37" s="47">
        <v>16</v>
      </c>
      <c r="C37" s="167">
        <v>22.399000000000001</v>
      </c>
      <c r="D37" s="167">
        <v>22.399000000000001</v>
      </c>
    </row>
    <row r="38" spans="2:4" ht="18.75" x14ac:dyDescent="0.25">
      <c r="B38" s="47">
        <v>17</v>
      </c>
      <c r="C38" s="167">
        <v>22.131</v>
      </c>
      <c r="D38" s="167">
        <v>22.131</v>
      </c>
    </row>
    <row r="39" spans="2:4" ht="18.75" x14ac:dyDescent="0.25">
      <c r="B39" s="47">
        <v>18</v>
      </c>
      <c r="C39" s="167">
        <v>22.141999999999999</v>
      </c>
      <c r="D39" s="167">
        <v>22.141999999999999</v>
      </c>
    </row>
    <row r="40" spans="2:4" ht="18.75" x14ac:dyDescent="0.25">
      <c r="B40" s="47">
        <v>19</v>
      </c>
      <c r="C40" s="167">
        <v>21.815999999999999</v>
      </c>
      <c r="D40" s="167">
        <v>21.815999999999999</v>
      </c>
    </row>
    <row r="41" spans="2:4" ht="18.75" x14ac:dyDescent="0.25">
      <c r="B41" s="47">
        <v>20</v>
      </c>
      <c r="C41" s="167">
        <v>22.202999999999999</v>
      </c>
      <c r="D41" s="167">
        <v>22.202999999999999</v>
      </c>
    </row>
    <row r="42" spans="2:4" ht="18.75" x14ac:dyDescent="0.25">
      <c r="B42" s="47">
        <v>21</v>
      </c>
      <c r="C42" s="167">
        <v>21.908000000000001</v>
      </c>
      <c r="D42" s="167">
        <v>21.908000000000001</v>
      </c>
    </row>
    <row r="43" spans="2:4" ht="18.75" x14ac:dyDescent="0.25">
      <c r="B43" s="47">
        <v>22</v>
      </c>
      <c r="C43" s="167">
        <v>21.777000000000001</v>
      </c>
      <c r="D43" s="167">
        <v>21.777000000000001</v>
      </c>
    </row>
    <row r="44" spans="2:4" ht="18.75" x14ac:dyDescent="0.25">
      <c r="B44" s="47">
        <v>23</v>
      </c>
      <c r="C44" s="167">
        <v>21.655000000000001</v>
      </c>
      <c r="D44" s="167">
        <v>21.655000000000001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22.430217391304346</v>
      </c>
      <c r="D46" s="170"/>
    </row>
    <row r="47" spans="2:4" ht="31.5" x14ac:dyDescent="0.25">
      <c r="B47" s="50" t="s">
        <v>47</v>
      </c>
      <c r="C47" s="49">
        <f>_xlfn.STDEV.S(C21:C45)</f>
        <v>0.78538805026098646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'FOM303-32-Imprimir'!C17</f>
        <v>46029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'FOM303-32-Imprimir'!E17</f>
        <v>46029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22.146000000000001</v>
      </c>
      <c r="D21" s="167">
        <v>22.146000000000001</v>
      </c>
    </row>
    <row r="22" spans="2:7" ht="18.75" x14ac:dyDescent="0.25">
      <c r="B22" s="47">
        <v>1</v>
      </c>
      <c r="C22" s="167">
        <v>21.321000000000002</v>
      </c>
      <c r="D22" s="167">
        <v>21.321000000000002</v>
      </c>
    </row>
    <row r="23" spans="2:7" ht="18.75" x14ac:dyDescent="0.25">
      <c r="B23" s="47">
        <v>2</v>
      </c>
      <c r="C23" s="167">
        <v>21.623000000000001</v>
      </c>
      <c r="D23" s="167">
        <v>21.623000000000001</v>
      </c>
    </row>
    <row r="24" spans="2:7" ht="18.75" x14ac:dyDescent="0.25">
      <c r="B24" s="47">
        <v>3</v>
      </c>
      <c r="C24" s="167">
        <v>21.867999999999999</v>
      </c>
      <c r="D24" s="167">
        <v>21.867999999999999</v>
      </c>
    </row>
    <row r="25" spans="2:7" ht="18.75" x14ac:dyDescent="0.25">
      <c r="B25" s="47">
        <v>4</v>
      </c>
      <c r="C25" s="167">
        <v>23.073</v>
      </c>
      <c r="D25" s="167">
        <v>23.073</v>
      </c>
    </row>
    <row r="26" spans="2:7" ht="18.75" x14ac:dyDescent="0.25">
      <c r="B26" s="47">
        <v>5</v>
      </c>
      <c r="C26" s="167">
        <v>23.78</v>
      </c>
      <c r="D26" s="167">
        <v>23.78</v>
      </c>
    </row>
    <row r="27" spans="2:7" ht="18.75" x14ac:dyDescent="0.25">
      <c r="B27" s="47">
        <v>6</v>
      </c>
      <c r="C27" s="167">
        <v>23.934000000000001</v>
      </c>
      <c r="D27" s="167">
        <v>23.934000000000001</v>
      </c>
    </row>
    <row r="28" spans="2:7" ht="18.75" x14ac:dyDescent="0.25">
      <c r="B28" s="47">
        <v>7</v>
      </c>
      <c r="C28" s="167">
        <v>21.757000000000001</v>
      </c>
      <c r="D28" s="167">
        <v>21.757000000000001</v>
      </c>
    </row>
    <row r="29" spans="2:7" ht="18.75" x14ac:dyDescent="0.25">
      <c r="B29" s="47">
        <v>8</v>
      </c>
      <c r="C29" s="167">
        <v>22.163</v>
      </c>
      <c r="D29" s="167">
        <v>22.163</v>
      </c>
    </row>
    <row r="30" spans="2:7" ht="18.75" x14ac:dyDescent="0.25">
      <c r="B30" s="47">
        <v>9</v>
      </c>
      <c r="C30" s="167">
        <v>23.966999999999999</v>
      </c>
      <c r="D30" s="167">
        <v>23.966999999999999</v>
      </c>
    </row>
    <row r="31" spans="2:7" ht="18.75" x14ac:dyDescent="0.25">
      <c r="B31" s="47">
        <v>10</v>
      </c>
      <c r="C31" s="167">
        <v>24.338000000000001</v>
      </c>
      <c r="D31" s="167">
        <v>24.338000000000001</v>
      </c>
    </row>
    <row r="32" spans="2:7" ht="18.75" x14ac:dyDescent="0.25">
      <c r="B32" s="47">
        <v>11</v>
      </c>
      <c r="C32" s="167">
        <v>24.155000000000001</v>
      </c>
      <c r="D32" s="167">
        <v>24.155000000000001</v>
      </c>
    </row>
    <row r="33" spans="2:4" ht="18.75" x14ac:dyDescent="0.25">
      <c r="B33" s="47">
        <v>12</v>
      </c>
      <c r="C33" s="167">
        <v>23.33</v>
      </c>
      <c r="D33" s="167">
        <v>23.33</v>
      </c>
    </row>
    <row r="34" spans="2:4" ht="18.75" x14ac:dyDescent="0.25">
      <c r="B34" s="47">
        <v>13</v>
      </c>
      <c r="C34" s="167">
        <v>22.486000000000001</v>
      </c>
      <c r="D34" s="167">
        <v>22.486000000000001</v>
      </c>
    </row>
    <row r="35" spans="2:4" ht="18.75" x14ac:dyDescent="0.25">
      <c r="B35" s="47">
        <v>14</v>
      </c>
      <c r="C35" s="167">
        <v>20.513999999999999</v>
      </c>
      <c r="D35" s="167">
        <v>20.513999999999999</v>
      </c>
    </row>
    <row r="36" spans="2:4" ht="18.75" x14ac:dyDescent="0.25">
      <c r="B36" s="47">
        <v>15</v>
      </c>
      <c r="C36" s="167">
        <v>22.114000000000001</v>
      </c>
      <c r="D36" s="167">
        <v>22.114000000000001</v>
      </c>
    </row>
    <row r="37" spans="2:4" ht="18.75" x14ac:dyDescent="0.25">
      <c r="B37" s="47">
        <v>16</v>
      </c>
      <c r="C37" s="167">
        <v>23.872</v>
      </c>
      <c r="D37" s="167">
        <v>23.872</v>
      </c>
    </row>
    <row r="38" spans="2:4" ht="18.75" x14ac:dyDescent="0.25">
      <c r="B38" s="47">
        <v>17</v>
      </c>
      <c r="C38" s="167">
        <v>22.852</v>
      </c>
      <c r="D38" s="167">
        <v>22.852</v>
      </c>
    </row>
    <row r="39" spans="2:4" ht="18.75" x14ac:dyDescent="0.25">
      <c r="B39" s="47">
        <v>18</v>
      </c>
      <c r="C39" s="167">
        <v>22.132000000000001</v>
      </c>
      <c r="D39" s="167">
        <v>22.132000000000001</v>
      </c>
    </row>
    <row r="40" spans="2:4" ht="18.75" x14ac:dyDescent="0.25">
      <c r="B40" s="47">
        <v>19</v>
      </c>
      <c r="C40" s="167">
        <v>22.190999999999999</v>
      </c>
      <c r="D40" s="167">
        <v>22.190999999999999</v>
      </c>
    </row>
    <row r="41" spans="2:4" ht="18.75" x14ac:dyDescent="0.25">
      <c r="B41" s="47">
        <v>20</v>
      </c>
      <c r="C41" s="167">
        <v>22.693000000000001</v>
      </c>
      <c r="D41" s="167">
        <v>22.693000000000001</v>
      </c>
    </row>
    <row r="42" spans="2:4" ht="18.75" x14ac:dyDescent="0.25">
      <c r="B42" s="47">
        <v>21</v>
      </c>
      <c r="C42" s="167">
        <v>22.175000000000001</v>
      </c>
      <c r="D42" s="167">
        <v>22.175000000000001</v>
      </c>
    </row>
    <row r="43" spans="2:4" ht="18.75" x14ac:dyDescent="0.25">
      <c r="B43" s="47">
        <v>22</v>
      </c>
      <c r="C43" s="167">
        <v>22.405999999999999</v>
      </c>
      <c r="D43" s="167">
        <v>22.405999999999999</v>
      </c>
    </row>
    <row r="44" spans="2:4" ht="18.75" x14ac:dyDescent="0.25">
      <c r="B44" s="47">
        <v>23</v>
      </c>
      <c r="C44" s="167">
        <v>22.097000000000001</v>
      </c>
      <c r="D44" s="167">
        <v>22.097000000000001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22.645260869565213</v>
      </c>
      <c r="D46" s="170"/>
    </row>
    <row r="47" spans="2:4" ht="31.5" x14ac:dyDescent="0.25">
      <c r="B47" s="50" t="s">
        <v>47</v>
      </c>
      <c r="C47" s="49">
        <f>_xlfn.STDEV.S(C21:C45)</f>
        <v>0.99134984739371212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'FOM303-32-Imprimir'!C18</f>
        <v>46030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'FOM303-32-Imprimir'!E18</f>
        <v>46030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21.934999999999999</v>
      </c>
      <c r="D21" s="167">
        <v>21.934999999999999</v>
      </c>
    </row>
    <row r="22" spans="2:7" ht="18.75" x14ac:dyDescent="0.25">
      <c r="B22" s="47">
        <v>1</v>
      </c>
      <c r="C22" s="167">
        <v>22.041</v>
      </c>
      <c r="D22" s="167">
        <v>22.041</v>
      </c>
    </row>
    <row r="23" spans="2:7" ht="18.75" x14ac:dyDescent="0.25">
      <c r="B23" s="47">
        <v>2</v>
      </c>
      <c r="C23" s="167">
        <v>22.227</v>
      </c>
      <c r="D23" s="167">
        <v>22.227</v>
      </c>
    </row>
    <row r="24" spans="2:7" ht="18.75" x14ac:dyDescent="0.25">
      <c r="B24" s="47">
        <v>3</v>
      </c>
      <c r="C24" s="167">
        <v>21.821000000000002</v>
      </c>
      <c r="D24" s="167">
        <v>21.821000000000002</v>
      </c>
    </row>
    <row r="25" spans="2:7" ht="18.75" x14ac:dyDescent="0.25">
      <c r="B25" s="47">
        <v>4</v>
      </c>
      <c r="C25" s="167">
        <v>22.109000000000002</v>
      </c>
      <c r="D25" s="167">
        <v>22.109000000000002</v>
      </c>
    </row>
    <row r="26" spans="2:7" ht="18.75" x14ac:dyDescent="0.25">
      <c r="B26" s="47">
        <v>5</v>
      </c>
      <c r="C26" s="167">
        <v>21.617000000000001</v>
      </c>
      <c r="D26" s="167">
        <v>21.617000000000001</v>
      </c>
    </row>
    <row r="27" spans="2:7" ht="18.75" x14ac:dyDescent="0.25">
      <c r="B27" s="47">
        <v>6</v>
      </c>
      <c r="C27" s="167">
        <v>21.634</v>
      </c>
      <c r="D27" s="167">
        <v>21.634</v>
      </c>
    </row>
    <row r="28" spans="2:7" ht="18.75" x14ac:dyDescent="0.25">
      <c r="B28" s="47">
        <v>7</v>
      </c>
      <c r="C28" s="167">
        <v>22.443000000000001</v>
      </c>
      <c r="D28" s="167">
        <v>22.443000000000001</v>
      </c>
    </row>
    <row r="29" spans="2:7" ht="18.75" x14ac:dyDescent="0.25">
      <c r="B29" s="47">
        <v>8</v>
      </c>
      <c r="C29" s="167">
        <v>22.321999999999999</v>
      </c>
      <c r="D29" s="167">
        <v>22.321999999999999</v>
      </c>
    </row>
    <row r="30" spans="2:7" ht="18.75" x14ac:dyDescent="0.25">
      <c r="B30" s="47">
        <v>9</v>
      </c>
      <c r="C30" s="167">
        <v>21.914999999999999</v>
      </c>
      <c r="D30" s="167">
        <v>21.914999999999999</v>
      </c>
    </row>
    <row r="31" spans="2:7" ht="18.75" x14ac:dyDescent="0.25">
      <c r="B31" s="47">
        <v>10</v>
      </c>
      <c r="C31" s="167">
        <v>23.962</v>
      </c>
      <c r="D31" s="167">
        <v>23.962</v>
      </c>
    </row>
    <row r="32" spans="2:7" ht="18.75" x14ac:dyDescent="0.25">
      <c r="B32" s="47">
        <v>11</v>
      </c>
      <c r="C32" s="167">
        <v>21.469000000000001</v>
      </c>
      <c r="D32" s="167">
        <v>21.469000000000001</v>
      </c>
    </row>
    <row r="33" spans="2:4" ht="18.75" x14ac:dyDescent="0.25">
      <c r="B33" s="47">
        <v>12</v>
      </c>
      <c r="C33" s="167">
        <v>21.152999999999999</v>
      </c>
      <c r="D33" s="167">
        <v>21.152999999999999</v>
      </c>
    </row>
    <row r="34" spans="2:4" ht="18.75" x14ac:dyDescent="0.25">
      <c r="B34" s="47">
        <v>13</v>
      </c>
      <c r="C34" s="167">
        <v>20.846</v>
      </c>
      <c r="D34" s="167">
        <v>20.846</v>
      </c>
    </row>
    <row r="35" spans="2:4" ht="18.75" x14ac:dyDescent="0.25">
      <c r="B35" s="47">
        <v>14</v>
      </c>
      <c r="C35" s="167">
        <v>22.353000000000002</v>
      </c>
      <c r="D35" s="167">
        <v>22.353000000000002</v>
      </c>
    </row>
    <row r="36" spans="2:4" ht="18.75" x14ac:dyDescent="0.25">
      <c r="B36" s="47">
        <v>15</v>
      </c>
      <c r="C36" s="167">
        <v>22.018999999999998</v>
      </c>
      <c r="D36" s="167">
        <v>22.018999999999998</v>
      </c>
    </row>
    <row r="37" spans="2:4" ht="18.75" x14ac:dyDescent="0.25">
      <c r="B37" s="47">
        <v>16</v>
      </c>
      <c r="C37" s="167">
        <v>21.100999999999999</v>
      </c>
      <c r="D37" s="167">
        <v>21.100999999999999</v>
      </c>
    </row>
    <row r="38" spans="2:4" ht="18.75" x14ac:dyDescent="0.25">
      <c r="B38" s="47">
        <v>17</v>
      </c>
      <c r="C38" s="167">
        <v>22.675999999999998</v>
      </c>
      <c r="D38" s="167">
        <v>22.675999999999998</v>
      </c>
    </row>
    <row r="39" spans="2:4" ht="18.75" x14ac:dyDescent="0.25">
      <c r="B39" s="47">
        <v>18</v>
      </c>
      <c r="C39" s="167">
        <v>22.959</v>
      </c>
      <c r="D39" s="167">
        <v>22.959</v>
      </c>
    </row>
    <row r="40" spans="2:4" ht="18.75" x14ac:dyDescent="0.25">
      <c r="B40" s="47">
        <v>19</v>
      </c>
      <c r="C40" s="167">
        <v>22.494</v>
      </c>
      <c r="D40" s="167">
        <v>22.494</v>
      </c>
    </row>
    <row r="41" spans="2:4" ht="18.75" x14ac:dyDescent="0.25">
      <c r="B41" s="47">
        <v>20</v>
      </c>
      <c r="C41" s="167">
        <v>21.620999999999999</v>
      </c>
      <c r="D41" s="167">
        <v>21.620999999999999</v>
      </c>
    </row>
    <row r="42" spans="2:4" ht="18.75" x14ac:dyDescent="0.25">
      <c r="B42" s="47">
        <v>21</v>
      </c>
      <c r="C42" s="167">
        <v>22.699000000000002</v>
      </c>
      <c r="D42" s="167">
        <v>22.699000000000002</v>
      </c>
    </row>
    <row r="43" spans="2:4" ht="18.75" x14ac:dyDescent="0.25">
      <c r="B43" s="47">
        <v>22</v>
      </c>
      <c r="C43" s="167">
        <v>21.923999999999999</v>
      </c>
      <c r="D43" s="167">
        <v>21.923999999999999</v>
      </c>
    </row>
    <row r="44" spans="2:4" ht="18.75" x14ac:dyDescent="0.25">
      <c r="B44" s="47">
        <v>23</v>
      </c>
      <c r="C44" s="167">
        <v>22.29</v>
      </c>
      <c r="D44" s="167">
        <v>22.29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22.073695652173914</v>
      </c>
      <c r="D46" s="170"/>
    </row>
    <row r="47" spans="2:4" ht="31.5" x14ac:dyDescent="0.25">
      <c r="B47" s="50" t="s">
        <v>47</v>
      </c>
      <c r="C47" s="49">
        <f>_xlfn.STDEV.S(C21:C45)</f>
        <v>0.66053232265753825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'FOM303-32-Imprimir'!C19</f>
        <v>46031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'FOM303-32-Imprimir'!E19</f>
        <v>46031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22.335000000000001</v>
      </c>
      <c r="D21" s="167">
        <v>22.335000000000001</v>
      </c>
    </row>
    <row r="22" spans="2:7" ht="18.75" x14ac:dyDescent="0.25">
      <c r="B22" s="47">
        <v>1</v>
      </c>
      <c r="C22" s="167">
        <v>21.7</v>
      </c>
      <c r="D22" s="167">
        <v>21.7</v>
      </c>
    </row>
    <row r="23" spans="2:7" ht="18.75" x14ac:dyDescent="0.25">
      <c r="B23" s="47">
        <v>2</v>
      </c>
      <c r="C23" s="167">
        <v>22.206</v>
      </c>
      <c r="D23" s="167">
        <v>22.206</v>
      </c>
    </row>
    <row r="24" spans="2:7" ht="18.75" x14ac:dyDescent="0.25">
      <c r="B24" s="47">
        <v>3</v>
      </c>
      <c r="C24" s="167">
        <v>22.087</v>
      </c>
      <c r="D24" s="167">
        <v>22.087</v>
      </c>
    </row>
    <row r="25" spans="2:7" ht="18.75" x14ac:dyDescent="0.25">
      <c r="B25" s="47">
        <v>4</v>
      </c>
      <c r="C25" s="167">
        <v>21.988</v>
      </c>
      <c r="D25" s="167">
        <v>21.988</v>
      </c>
    </row>
    <row r="26" spans="2:7" ht="18.75" x14ac:dyDescent="0.25">
      <c r="B26" s="47">
        <v>5</v>
      </c>
      <c r="C26" s="167">
        <v>22.439</v>
      </c>
      <c r="D26" s="167">
        <v>22.439</v>
      </c>
    </row>
    <row r="27" spans="2:7" ht="18.75" x14ac:dyDescent="0.25">
      <c r="B27" s="47">
        <v>6</v>
      </c>
      <c r="C27" s="167">
        <v>21.027000000000001</v>
      </c>
      <c r="D27" s="167">
        <v>21.027000000000001</v>
      </c>
    </row>
    <row r="28" spans="2:7" ht="18.75" x14ac:dyDescent="0.25">
      <c r="B28" s="47">
        <v>7</v>
      </c>
      <c r="C28" s="167">
        <v>21.576000000000001</v>
      </c>
      <c r="D28" s="167">
        <v>21.576000000000001</v>
      </c>
    </row>
    <row r="29" spans="2:7" ht="18.75" x14ac:dyDescent="0.25">
      <c r="B29" s="47">
        <v>8</v>
      </c>
      <c r="C29" s="167">
        <v>22.254000000000001</v>
      </c>
      <c r="D29" s="167">
        <v>22.254000000000001</v>
      </c>
    </row>
    <row r="30" spans="2:7" ht="18.75" x14ac:dyDescent="0.25">
      <c r="B30" s="47">
        <v>9</v>
      </c>
      <c r="C30" s="167">
        <v>22.381</v>
      </c>
      <c r="D30" s="167">
        <v>22.381</v>
      </c>
    </row>
    <row r="31" spans="2:7" ht="18.75" x14ac:dyDescent="0.25">
      <c r="B31" s="47">
        <v>10</v>
      </c>
      <c r="C31" s="167">
        <v>22.69</v>
      </c>
      <c r="D31" s="167">
        <v>22.69</v>
      </c>
    </row>
    <row r="32" spans="2:7" ht="18.75" x14ac:dyDescent="0.25">
      <c r="B32" s="47">
        <v>11</v>
      </c>
      <c r="C32" s="167">
        <v>22.98</v>
      </c>
      <c r="D32" s="167">
        <v>22.98</v>
      </c>
    </row>
    <row r="33" spans="2:4" ht="18.75" x14ac:dyDescent="0.25">
      <c r="B33" s="47">
        <v>12</v>
      </c>
      <c r="C33" s="167">
        <v>22.484000000000002</v>
      </c>
      <c r="D33" s="167">
        <v>22.484000000000002</v>
      </c>
    </row>
    <row r="34" spans="2:4" ht="18.75" x14ac:dyDescent="0.25">
      <c r="B34" s="47">
        <v>13</v>
      </c>
      <c r="C34" s="167">
        <v>22.125</v>
      </c>
      <c r="D34" s="167">
        <v>22.125</v>
      </c>
    </row>
    <row r="35" spans="2:4" ht="18.75" x14ac:dyDescent="0.25">
      <c r="B35" s="47">
        <v>14</v>
      </c>
      <c r="C35" s="167">
        <v>23.645</v>
      </c>
      <c r="D35" s="167">
        <v>23.645</v>
      </c>
    </row>
    <row r="36" spans="2:4" ht="18.75" x14ac:dyDescent="0.25">
      <c r="B36" s="47">
        <v>15</v>
      </c>
      <c r="C36" s="167">
        <v>24.045000000000002</v>
      </c>
      <c r="D36" s="167">
        <v>24.045000000000002</v>
      </c>
    </row>
    <row r="37" spans="2:4" ht="18.75" x14ac:dyDescent="0.25">
      <c r="B37" s="47">
        <v>16</v>
      </c>
      <c r="C37" s="167">
        <v>21.995999999999999</v>
      </c>
      <c r="D37" s="167">
        <v>21.995999999999999</v>
      </c>
    </row>
    <row r="38" spans="2:4" ht="18.75" x14ac:dyDescent="0.25">
      <c r="B38" s="47">
        <v>17</v>
      </c>
      <c r="C38" s="167">
        <v>22.44</v>
      </c>
      <c r="D38" s="167">
        <v>22.44</v>
      </c>
    </row>
    <row r="39" spans="2:4" ht="18.75" x14ac:dyDescent="0.25">
      <c r="B39" s="47">
        <v>18</v>
      </c>
      <c r="C39" s="167">
        <v>22.001000000000001</v>
      </c>
      <c r="D39" s="167">
        <v>22.001000000000001</v>
      </c>
    </row>
    <row r="40" spans="2:4" ht="18.75" x14ac:dyDescent="0.25">
      <c r="B40" s="47">
        <v>19</v>
      </c>
      <c r="C40" s="167">
        <v>22.381</v>
      </c>
      <c r="D40" s="167">
        <v>22.381</v>
      </c>
    </row>
    <row r="41" spans="2:4" ht="18.75" x14ac:dyDescent="0.25">
      <c r="B41" s="47">
        <v>20</v>
      </c>
      <c r="C41" s="167">
        <v>22.321999999999999</v>
      </c>
      <c r="D41" s="167">
        <v>22.321999999999999</v>
      </c>
    </row>
    <row r="42" spans="2:4" ht="18.75" x14ac:dyDescent="0.25">
      <c r="B42" s="47">
        <v>21</v>
      </c>
      <c r="C42" s="167">
        <v>22.048999999999999</v>
      </c>
      <c r="D42" s="167">
        <v>22.048999999999999</v>
      </c>
    </row>
    <row r="43" spans="2:4" ht="18.75" x14ac:dyDescent="0.25">
      <c r="B43" s="47">
        <v>22</v>
      </c>
      <c r="C43" s="167">
        <v>22.064</v>
      </c>
      <c r="D43" s="167">
        <v>22.064</v>
      </c>
    </row>
    <row r="44" spans="2:4" ht="18.75" x14ac:dyDescent="0.25">
      <c r="B44" s="47">
        <v>23</v>
      </c>
      <c r="C44" s="167">
        <v>22.21</v>
      </c>
      <c r="D44" s="167">
        <v>22.21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22.308260869565213</v>
      </c>
      <c r="D46" s="170"/>
    </row>
    <row r="47" spans="2:4" ht="31.5" x14ac:dyDescent="0.25">
      <c r="B47" s="50" t="s">
        <v>47</v>
      </c>
      <c r="C47" s="49">
        <f>_xlfn.STDEV.S(C21:C45)</f>
        <v>0.60976323363003515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'FOM303-32-Imprimir'!C20</f>
        <v>46032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'FOM303-32-Imprimir'!E20</f>
        <v>46032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22.315999999999999</v>
      </c>
      <c r="D21" s="167">
        <v>22.315999999999999</v>
      </c>
    </row>
    <row r="22" spans="2:7" ht="18.75" x14ac:dyDescent="0.25">
      <c r="B22" s="47">
        <v>1</v>
      </c>
      <c r="C22" s="167">
        <v>21.626999999999999</v>
      </c>
      <c r="D22" s="167">
        <v>21.626999999999999</v>
      </c>
    </row>
    <row r="23" spans="2:7" ht="18.75" x14ac:dyDescent="0.25">
      <c r="B23" s="47">
        <v>2</v>
      </c>
      <c r="C23" s="167">
        <v>22.321999999999999</v>
      </c>
      <c r="D23" s="167">
        <v>22.321999999999999</v>
      </c>
    </row>
    <row r="24" spans="2:7" ht="18.75" x14ac:dyDescent="0.25">
      <c r="B24" s="47">
        <v>3</v>
      </c>
      <c r="C24" s="167">
        <v>22.167999999999999</v>
      </c>
      <c r="D24" s="167">
        <v>22.167999999999999</v>
      </c>
    </row>
    <row r="25" spans="2:7" ht="18.75" x14ac:dyDescent="0.25">
      <c r="B25" s="47">
        <v>4</v>
      </c>
      <c r="C25" s="167">
        <v>22.242000000000001</v>
      </c>
      <c r="D25" s="167">
        <v>22.242000000000001</v>
      </c>
    </row>
    <row r="26" spans="2:7" ht="18.75" x14ac:dyDescent="0.25">
      <c r="B26" s="47">
        <v>5</v>
      </c>
      <c r="C26" s="167">
        <v>22.16</v>
      </c>
      <c r="D26" s="167">
        <v>22.16</v>
      </c>
    </row>
    <row r="27" spans="2:7" ht="18.75" x14ac:dyDescent="0.25">
      <c r="B27" s="47">
        <v>6</v>
      </c>
      <c r="C27" s="167">
        <v>21.611000000000001</v>
      </c>
      <c r="D27" s="167">
        <v>21.611000000000001</v>
      </c>
    </row>
    <row r="28" spans="2:7" ht="18.75" x14ac:dyDescent="0.25">
      <c r="B28" s="47">
        <v>7</v>
      </c>
      <c r="C28" s="167">
        <v>21.951000000000001</v>
      </c>
      <c r="D28" s="167">
        <v>21.951000000000001</v>
      </c>
    </row>
    <row r="29" spans="2:7" ht="18.75" x14ac:dyDescent="0.25">
      <c r="B29" s="47">
        <v>8</v>
      </c>
      <c r="C29" s="167">
        <v>22.074999999999999</v>
      </c>
      <c r="D29" s="167">
        <v>22.074999999999999</v>
      </c>
    </row>
    <row r="30" spans="2:7" ht="18.75" x14ac:dyDescent="0.25">
      <c r="B30" s="47">
        <v>9</v>
      </c>
      <c r="C30" s="167">
        <v>21.651</v>
      </c>
      <c r="D30" s="167">
        <v>21.651</v>
      </c>
    </row>
    <row r="31" spans="2:7" ht="18.75" x14ac:dyDescent="0.25">
      <c r="B31" s="47">
        <v>10</v>
      </c>
      <c r="C31" s="167">
        <v>23.870999999999999</v>
      </c>
      <c r="D31" s="167">
        <v>23.870999999999999</v>
      </c>
    </row>
    <row r="32" spans="2:7" ht="18.75" x14ac:dyDescent="0.25">
      <c r="B32" s="47">
        <v>11</v>
      </c>
      <c r="C32" s="167">
        <v>24.228999999999999</v>
      </c>
      <c r="D32" s="167">
        <v>24.228999999999999</v>
      </c>
    </row>
    <row r="33" spans="2:4" ht="18.75" x14ac:dyDescent="0.25">
      <c r="B33" s="47">
        <v>12</v>
      </c>
      <c r="C33" s="167">
        <v>23.442</v>
      </c>
      <c r="D33" s="167">
        <v>23.442</v>
      </c>
    </row>
    <row r="34" spans="2:4" ht="18.75" x14ac:dyDescent="0.25">
      <c r="B34" s="47">
        <v>13</v>
      </c>
      <c r="C34" s="167">
        <v>22.018000000000001</v>
      </c>
      <c r="D34" s="167">
        <v>22.018000000000001</v>
      </c>
    </row>
    <row r="35" spans="2:4" ht="18.75" x14ac:dyDescent="0.25">
      <c r="B35" s="47">
        <v>14</v>
      </c>
      <c r="C35" s="167">
        <v>23.818999999999999</v>
      </c>
      <c r="D35" s="167">
        <v>23.818999999999999</v>
      </c>
    </row>
    <row r="36" spans="2:4" ht="18.75" x14ac:dyDescent="0.25">
      <c r="B36" s="47">
        <v>15</v>
      </c>
      <c r="C36" s="167">
        <v>23.789000000000001</v>
      </c>
      <c r="D36" s="167">
        <v>23.789000000000001</v>
      </c>
    </row>
    <row r="37" spans="2:4" ht="18.75" x14ac:dyDescent="0.25">
      <c r="B37" s="47">
        <v>16</v>
      </c>
      <c r="C37" s="167">
        <v>23.898</v>
      </c>
      <c r="D37" s="167">
        <v>23.898</v>
      </c>
    </row>
    <row r="38" spans="2:4" ht="18.75" x14ac:dyDescent="0.25">
      <c r="B38" s="47">
        <v>17</v>
      </c>
      <c r="C38" s="167">
        <v>23.834</v>
      </c>
      <c r="D38" s="167">
        <v>23.834</v>
      </c>
    </row>
    <row r="39" spans="2:4" ht="18.75" x14ac:dyDescent="0.25">
      <c r="B39" s="47">
        <v>18</v>
      </c>
      <c r="C39" s="167">
        <v>22.893999999999998</v>
      </c>
      <c r="D39" s="167">
        <v>22.893999999999998</v>
      </c>
    </row>
    <row r="40" spans="2:4" ht="18.75" x14ac:dyDescent="0.25">
      <c r="B40" s="47">
        <v>19</v>
      </c>
      <c r="C40" s="167">
        <v>22.585000000000001</v>
      </c>
      <c r="D40" s="167">
        <v>22.585000000000001</v>
      </c>
    </row>
    <row r="41" spans="2:4" ht="18.75" x14ac:dyDescent="0.25">
      <c r="B41" s="47">
        <v>20</v>
      </c>
      <c r="C41" s="167">
        <v>22.617000000000001</v>
      </c>
      <c r="D41" s="167">
        <v>22.617000000000001</v>
      </c>
    </row>
    <row r="42" spans="2:4" ht="18.75" x14ac:dyDescent="0.25">
      <c r="B42" s="47">
        <v>21</v>
      </c>
      <c r="C42" s="167">
        <v>22.904</v>
      </c>
      <c r="D42" s="167">
        <v>22.904</v>
      </c>
    </row>
    <row r="43" spans="2:4" ht="18.75" x14ac:dyDescent="0.25">
      <c r="B43" s="47">
        <v>22</v>
      </c>
      <c r="C43" s="167">
        <v>22.061</v>
      </c>
      <c r="D43" s="167">
        <v>22.061</v>
      </c>
    </row>
    <row r="44" spans="2:4" ht="18.75" x14ac:dyDescent="0.25">
      <c r="B44" s="47">
        <v>23</v>
      </c>
      <c r="C44" s="167">
        <v>22.100999999999999</v>
      </c>
      <c r="D44" s="167">
        <v>22.100999999999999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22.689956521739127</v>
      </c>
      <c r="D46" s="170"/>
    </row>
    <row r="47" spans="2:4" ht="31.5" x14ac:dyDescent="0.25">
      <c r="B47" s="50" t="s">
        <v>47</v>
      </c>
      <c r="C47" s="49">
        <f>_xlfn.STDEV.S(C21:C45)</f>
        <v>0.83922183482287815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'FOM303-32-Imprimir'!C21</f>
        <v>46033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'FOM303-32-Imprimir'!E21</f>
        <v>46033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22.599</v>
      </c>
      <c r="D21" s="167">
        <v>22.599</v>
      </c>
    </row>
    <row r="22" spans="2:7" ht="18.75" x14ac:dyDescent="0.25">
      <c r="B22" s="47">
        <v>1</v>
      </c>
      <c r="C22" s="167">
        <v>21.931000000000001</v>
      </c>
      <c r="D22" s="167">
        <v>21.931000000000001</v>
      </c>
    </row>
    <row r="23" spans="2:7" ht="18.75" x14ac:dyDescent="0.25">
      <c r="B23" s="47">
        <v>2</v>
      </c>
      <c r="C23" s="167">
        <v>22.663</v>
      </c>
      <c r="D23" s="167">
        <v>22.663</v>
      </c>
    </row>
    <row r="24" spans="2:7" ht="18.75" x14ac:dyDescent="0.25">
      <c r="B24" s="47">
        <v>3</v>
      </c>
      <c r="C24" s="167">
        <v>21.873000000000001</v>
      </c>
      <c r="D24" s="167">
        <v>21.873000000000001</v>
      </c>
    </row>
    <row r="25" spans="2:7" ht="18.75" x14ac:dyDescent="0.25">
      <c r="B25" s="47">
        <v>4</v>
      </c>
      <c r="C25" s="167">
        <v>22.518999999999998</v>
      </c>
      <c r="D25" s="167">
        <v>22.518999999999998</v>
      </c>
    </row>
    <row r="26" spans="2:7" ht="18.75" x14ac:dyDescent="0.25">
      <c r="B26" s="47">
        <v>5</v>
      </c>
      <c r="C26" s="167">
        <v>21.797000000000001</v>
      </c>
      <c r="D26" s="167">
        <v>21.797000000000001</v>
      </c>
    </row>
    <row r="27" spans="2:7" ht="18.75" x14ac:dyDescent="0.25">
      <c r="B27" s="47">
        <v>6</v>
      </c>
      <c r="C27" s="167">
        <v>22.37</v>
      </c>
      <c r="D27" s="167">
        <v>22.37</v>
      </c>
    </row>
    <row r="28" spans="2:7" ht="18.75" x14ac:dyDescent="0.25">
      <c r="B28" s="47">
        <v>7</v>
      </c>
      <c r="C28" s="167">
        <v>22.603999999999999</v>
      </c>
      <c r="D28" s="167">
        <v>22.603999999999999</v>
      </c>
    </row>
    <row r="29" spans="2:7" ht="18.75" x14ac:dyDescent="0.25">
      <c r="B29" s="47">
        <v>8</v>
      </c>
      <c r="C29" s="167">
        <v>22.597000000000001</v>
      </c>
      <c r="D29" s="167">
        <v>22.597000000000001</v>
      </c>
    </row>
    <row r="30" spans="2:7" ht="18.75" x14ac:dyDescent="0.25">
      <c r="B30" s="47">
        <v>9</v>
      </c>
      <c r="C30" s="167">
        <v>24.218</v>
      </c>
      <c r="D30" s="167">
        <v>24.218</v>
      </c>
    </row>
    <row r="31" spans="2:7" ht="18.75" x14ac:dyDescent="0.25">
      <c r="B31" s="47">
        <v>10</v>
      </c>
      <c r="C31" s="167">
        <v>23.646999999999998</v>
      </c>
      <c r="D31" s="167">
        <v>23.646999999999998</v>
      </c>
    </row>
    <row r="32" spans="2:7" ht="18.75" x14ac:dyDescent="0.25">
      <c r="B32" s="47">
        <v>11</v>
      </c>
      <c r="C32" s="167">
        <v>22.695</v>
      </c>
      <c r="D32" s="167">
        <v>22.695</v>
      </c>
    </row>
    <row r="33" spans="2:4" ht="18.75" x14ac:dyDescent="0.25">
      <c r="B33" s="47">
        <v>12</v>
      </c>
      <c r="C33" s="167">
        <v>21.808</v>
      </c>
      <c r="D33" s="167">
        <v>21.808</v>
      </c>
    </row>
    <row r="34" spans="2:4" ht="18.75" x14ac:dyDescent="0.25">
      <c r="B34" s="47">
        <v>13</v>
      </c>
      <c r="C34" s="167">
        <v>22.712</v>
      </c>
      <c r="D34" s="167">
        <v>22.712</v>
      </c>
    </row>
    <row r="35" spans="2:4" ht="18.75" x14ac:dyDescent="0.25">
      <c r="B35" s="47">
        <v>14</v>
      </c>
      <c r="C35" s="167">
        <v>22.094999999999999</v>
      </c>
      <c r="D35" s="167">
        <v>22.094999999999999</v>
      </c>
    </row>
    <row r="36" spans="2:4" ht="18.75" x14ac:dyDescent="0.25">
      <c r="B36" s="47">
        <v>15</v>
      </c>
      <c r="C36" s="167">
        <v>22.18</v>
      </c>
      <c r="D36" s="167">
        <v>22.18</v>
      </c>
    </row>
    <row r="37" spans="2:4" ht="18.75" x14ac:dyDescent="0.25">
      <c r="B37" s="47">
        <v>16</v>
      </c>
      <c r="C37" s="167">
        <v>23.821999999999999</v>
      </c>
      <c r="D37" s="167">
        <v>23.821999999999999</v>
      </c>
    </row>
    <row r="38" spans="2:4" ht="18.75" x14ac:dyDescent="0.25">
      <c r="B38" s="47">
        <v>17</v>
      </c>
      <c r="C38" s="167">
        <v>22.869</v>
      </c>
      <c r="D38" s="167">
        <v>22.869</v>
      </c>
    </row>
    <row r="39" spans="2:4" ht="18.75" x14ac:dyDescent="0.25">
      <c r="B39" s="47">
        <v>18</v>
      </c>
      <c r="C39" s="167">
        <v>22.359000000000002</v>
      </c>
      <c r="D39" s="167">
        <v>22.359000000000002</v>
      </c>
    </row>
    <row r="40" spans="2:4" ht="18.75" x14ac:dyDescent="0.25">
      <c r="B40" s="47">
        <v>19</v>
      </c>
      <c r="C40" s="167">
        <v>22.292000000000002</v>
      </c>
      <c r="D40" s="167">
        <v>22.292000000000002</v>
      </c>
    </row>
    <row r="41" spans="2:4" ht="18.75" x14ac:dyDescent="0.25">
      <c r="B41" s="47">
        <v>20</v>
      </c>
      <c r="C41" s="167">
        <v>22.384</v>
      </c>
      <c r="D41" s="167">
        <v>22.384</v>
      </c>
    </row>
    <row r="42" spans="2:4" ht="18.75" x14ac:dyDescent="0.25">
      <c r="B42" s="47">
        <v>21</v>
      </c>
      <c r="C42" s="167">
        <v>22.068999999999999</v>
      </c>
      <c r="D42" s="167">
        <v>22.068999999999999</v>
      </c>
    </row>
    <row r="43" spans="2:4" ht="18.75" x14ac:dyDescent="0.25">
      <c r="B43" s="47">
        <v>22</v>
      </c>
      <c r="C43" s="167">
        <v>22.856000000000002</v>
      </c>
      <c r="D43" s="167">
        <v>22.856000000000002</v>
      </c>
    </row>
    <row r="44" spans="2:4" ht="18.75" x14ac:dyDescent="0.25">
      <c r="B44" s="47">
        <v>23</v>
      </c>
      <c r="C44" s="167">
        <v>22.838999999999999</v>
      </c>
      <c r="D44" s="167">
        <v>22.838999999999999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22.57386956521739</v>
      </c>
      <c r="D46" s="170"/>
    </row>
    <row r="47" spans="2:4" ht="31.5" x14ac:dyDescent="0.25">
      <c r="B47" s="50" t="s">
        <v>47</v>
      </c>
      <c r="C47" s="49">
        <f>_xlfn.STDEV.S(C21:C45)</f>
        <v>0.61267445903483109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'FOM303-32-Imprimir'!C22</f>
        <v>46034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'FOM303-32-Imprimir'!E22</f>
        <v>46034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73">
        <v>22.998000000000001</v>
      </c>
      <c r="D21" s="174">
        <v>22.998000000000001</v>
      </c>
    </row>
    <row r="22" spans="2:7" ht="18.75" x14ac:dyDescent="0.25">
      <c r="B22" s="47">
        <v>1</v>
      </c>
      <c r="C22" s="173">
        <v>22.457000000000001</v>
      </c>
      <c r="D22" s="174">
        <v>22.457000000000001</v>
      </c>
    </row>
    <row r="23" spans="2:7" ht="18.75" x14ac:dyDescent="0.25">
      <c r="B23" s="47">
        <v>2</v>
      </c>
      <c r="C23" s="173">
        <v>22.035</v>
      </c>
      <c r="D23" s="174">
        <v>22.035</v>
      </c>
    </row>
    <row r="24" spans="2:7" ht="18.75" x14ac:dyDescent="0.25">
      <c r="B24" s="47">
        <v>3</v>
      </c>
      <c r="C24" s="173">
        <v>22.227</v>
      </c>
      <c r="D24" s="174">
        <v>22.227</v>
      </c>
    </row>
    <row r="25" spans="2:7" ht="18.75" x14ac:dyDescent="0.25">
      <c r="B25" s="47">
        <v>4</v>
      </c>
      <c r="C25" s="173">
        <v>21.814</v>
      </c>
      <c r="D25" s="174">
        <v>21.814</v>
      </c>
    </row>
    <row r="26" spans="2:7" ht="18.75" x14ac:dyDescent="0.25">
      <c r="B26" s="47">
        <v>5</v>
      </c>
      <c r="C26" s="173">
        <v>21.105</v>
      </c>
      <c r="D26" s="174">
        <v>21.105</v>
      </c>
    </row>
    <row r="27" spans="2:7" ht="18.75" x14ac:dyDescent="0.25">
      <c r="B27" s="47">
        <v>6</v>
      </c>
      <c r="C27" s="173">
        <v>21.234000000000002</v>
      </c>
      <c r="D27" s="174">
        <v>21.234000000000002</v>
      </c>
    </row>
    <row r="28" spans="2:7" ht="18.75" x14ac:dyDescent="0.25">
      <c r="B28" s="47">
        <v>7</v>
      </c>
      <c r="C28" s="173">
        <v>21.573</v>
      </c>
      <c r="D28" s="174">
        <v>21.573</v>
      </c>
    </row>
    <row r="29" spans="2:7" ht="18.75" x14ac:dyDescent="0.25">
      <c r="B29" s="47">
        <v>8</v>
      </c>
      <c r="C29" s="173">
        <v>22.402999999999999</v>
      </c>
      <c r="D29" s="174">
        <v>22.402999999999999</v>
      </c>
    </row>
    <row r="30" spans="2:7" ht="18.75" x14ac:dyDescent="0.25">
      <c r="B30" s="47">
        <v>9</v>
      </c>
      <c r="C30" s="173">
        <v>22.312000000000001</v>
      </c>
      <c r="D30" s="174">
        <v>22.312000000000001</v>
      </c>
    </row>
    <row r="31" spans="2:7" ht="18.75" x14ac:dyDescent="0.25">
      <c r="B31" s="47">
        <v>10</v>
      </c>
      <c r="C31" s="173">
        <v>23.914000000000001</v>
      </c>
      <c r="D31" s="174">
        <v>23.914000000000001</v>
      </c>
    </row>
    <row r="32" spans="2:7" ht="18.75" x14ac:dyDescent="0.25">
      <c r="B32" s="47">
        <v>11</v>
      </c>
      <c r="C32" s="173">
        <v>22.158999999999999</v>
      </c>
      <c r="D32" s="174">
        <v>22.158999999999999</v>
      </c>
    </row>
    <row r="33" spans="2:4" ht="18.75" x14ac:dyDescent="0.25">
      <c r="B33" s="47">
        <v>12</v>
      </c>
      <c r="C33" s="173">
        <v>21.71</v>
      </c>
      <c r="D33" s="174">
        <v>21.71</v>
      </c>
    </row>
    <row r="34" spans="2:4" ht="18.75" x14ac:dyDescent="0.25">
      <c r="B34" s="47">
        <v>13</v>
      </c>
      <c r="C34" s="173">
        <v>23.859000000000002</v>
      </c>
      <c r="D34" s="174">
        <v>23.859000000000002</v>
      </c>
    </row>
    <row r="35" spans="2:4" ht="18.75" x14ac:dyDescent="0.25">
      <c r="B35" s="47">
        <v>14</v>
      </c>
      <c r="C35" s="173">
        <v>23.262</v>
      </c>
      <c r="D35" s="174">
        <v>23.262</v>
      </c>
    </row>
    <row r="36" spans="2:4" ht="18.75" x14ac:dyDescent="0.25">
      <c r="B36" s="47">
        <v>15</v>
      </c>
      <c r="C36" s="173">
        <v>20.271000000000001</v>
      </c>
      <c r="D36" s="174">
        <v>20.271000000000001</v>
      </c>
    </row>
    <row r="37" spans="2:4" ht="18.75" x14ac:dyDescent="0.25">
      <c r="B37" s="47">
        <v>16</v>
      </c>
      <c r="C37" s="173">
        <v>20.555</v>
      </c>
      <c r="D37" s="174">
        <v>20.555</v>
      </c>
    </row>
    <row r="38" spans="2:4" ht="18.75" x14ac:dyDescent="0.25">
      <c r="B38" s="47">
        <v>17</v>
      </c>
      <c r="C38" s="173">
        <v>23.268000000000001</v>
      </c>
      <c r="D38" s="174">
        <v>23.268000000000001</v>
      </c>
    </row>
    <row r="39" spans="2:4" ht="18.75" x14ac:dyDescent="0.25">
      <c r="B39" s="47">
        <v>18</v>
      </c>
      <c r="C39" s="173">
        <v>22.962</v>
      </c>
      <c r="D39" s="174">
        <v>22.962</v>
      </c>
    </row>
    <row r="40" spans="2:4" ht="18.75" x14ac:dyDescent="0.25">
      <c r="B40" s="47">
        <v>19</v>
      </c>
      <c r="C40" s="173">
        <v>22.608000000000001</v>
      </c>
      <c r="D40" s="174">
        <v>22.608000000000001</v>
      </c>
    </row>
    <row r="41" spans="2:4" ht="18.75" x14ac:dyDescent="0.25">
      <c r="B41" s="47">
        <v>20</v>
      </c>
      <c r="C41" s="173">
        <v>22.289000000000001</v>
      </c>
      <c r="D41" s="174">
        <v>22.289000000000001</v>
      </c>
    </row>
    <row r="42" spans="2:4" ht="18.75" x14ac:dyDescent="0.25">
      <c r="B42" s="47">
        <v>21</v>
      </c>
      <c r="C42" s="173">
        <v>21.579000000000001</v>
      </c>
      <c r="D42" s="174">
        <v>21.579000000000001</v>
      </c>
    </row>
    <row r="43" spans="2:4" ht="18.75" x14ac:dyDescent="0.25">
      <c r="B43" s="47">
        <v>22</v>
      </c>
      <c r="C43" s="173">
        <v>21.791</v>
      </c>
      <c r="D43" s="174">
        <v>21.791</v>
      </c>
    </row>
    <row r="44" spans="2:4" ht="18.75" x14ac:dyDescent="0.25">
      <c r="B44" s="47">
        <v>23</v>
      </c>
      <c r="C44" s="173">
        <v>22.114000000000001</v>
      </c>
      <c r="D44" s="174">
        <v>22.114000000000001</v>
      </c>
    </row>
    <row r="45" spans="2:4" ht="18.75" x14ac:dyDescent="0.25">
      <c r="B45" s="47">
        <v>24</v>
      </c>
      <c r="C45" s="173"/>
      <c r="D45" s="174"/>
    </row>
    <row r="46" spans="2:4" ht="33.75" customHeight="1" x14ac:dyDescent="0.25">
      <c r="B46" s="48" t="s">
        <v>46</v>
      </c>
      <c r="C46" s="170">
        <f>AVERAGE(C22:C45)</f>
        <v>22.152217391304347</v>
      </c>
      <c r="D46" s="170"/>
    </row>
    <row r="47" spans="2:4" ht="31.5" x14ac:dyDescent="0.25">
      <c r="B47" s="50" t="s">
        <v>47</v>
      </c>
      <c r="C47" s="49">
        <f>_xlfn.STDEV.S(C21:C45)</f>
        <v>0.91835935843866934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'FOM303-32-Imprimir'!C23</f>
        <v>46035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'FOM303-32-Imprimir'!E23</f>
        <v>46035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ht="12.95" customHeight="1" x14ac:dyDescent="0.25">
      <c r="B17" s="169" t="s">
        <v>44</v>
      </c>
      <c r="C17" s="169" t="s">
        <v>45</v>
      </c>
      <c r="D17" s="169"/>
      <c r="E17" s="32"/>
      <c r="G17" s="32"/>
    </row>
    <row r="18" spans="2:7" ht="12.95" customHeight="1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21.917999999999999</v>
      </c>
      <c r="D21" s="167">
        <v>21.917999999999999</v>
      </c>
    </row>
    <row r="22" spans="2:7" ht="18.75" x14ac:dyDescent="0.25">
      <c r="B22" s="47">
        <v>1</v>
      </c>
      <c r="C22" s="167">
        <v>21.742999999999999</v>
      </c>
      <c r="D22" s="167">
        <v>21.742999999999999</v>
      </c>
    </row>
    <row r="23" spans="2:7" ht="18.75" x14ac:dyDescent="0.25">
      <c r="B23" s="47">
        <v>2</v>
      </c>
      <c r="C23" s="167">
        <v>22.076000000000001</v>
      </c>
      <c r="D23" s="167">
        <v>22.076000000000001</v>
      </c>
    </row>
    <row r="24" spans="2:7" ht="18.75" x14ac:dyDescent="0.25">
      <c r="B24" s="47">
        <v>3</v>
      </c>
      <c r="C24" s="167">
        <v>21.795000000000002</v>
      </c>
      <c r="D24" s="167">
        <v>21.795000000000002</v>
      </c>
    </row>
    <row r="25" spans="2:7" ht="18.75" x14ac:dyDescent="0.25">
      <c r="B25" s="47">
        <v>4</v>
      </c>
      <c r="C25" s="167">
        <v>21.699000000000002</v>
      </c>
      <c r="D25" s="167">
        <v>21.699000000000002</v>
      </c>
    </row>
    <row r="26" spans="2:7" ht="18.75" x14ac:dyDescent="0.25">
      <c r="B26" s="47">
        <v>5</v>
      </c>
      <c r="C26" s="167">
        <v>21.823</v>
      </c>
      <c r="D26" s="167">
        <v>21.823</v>
      </c>
    </row>
    <row r="27" spans="2:7" ht="18.75" x14ac:dyDescent="0.25">
      <c r="B27" s="47">
        <v>6</v>
      </c>
      <c r="C27" s="167">
        <v>22.167999999999999</v>
      </c>
      <c r="D27" s="167">
        <v>22.167999999999999</v>
      </c>
    </row>
    <row r="28" spans="2:7" ht="18.75" x14ac:dyDescent="0.25">
      <c r="B28" s="47">
        <v>7</v>
      </c>
      <c r="C28" s="167">
        <v>21.399000000000001</v>
      </c>
      <c r="D28" s="167">
        <v>21.399000000000001</v>
      </c>
    </row>
    <row r="29" spans="2:7" ht="18.75" x14ac:dyDescent="0.25">
      <c r="B29" s="47">
        <v>8</v>
      </c>
      <c r="C29" s="167">
        <v>23.279</v>
      </c>
      <c r="D29" s="167">
        <v>23.279</v>
      </c>
    </row>
    <row r="30" spans="2:7" ht="18.75" x14ac:dyDescent="0.25">
      <c r="B30" s="47">
        <v>9</v>
      </c>
      <c r="C30" s="167">
        <v>23.872</v>
      </c>
      <c r="D30" s="167">
        <v>23.872</v>
      </c>
    </row>
    <row r="31" spans="2:7" ht="18.75" x14ac:dyDescent="0.25">
      <c r="B31" s="47">
        <v>10</v>
      </c>
      <c r="C31" s="167">
        <v>21.751000000000001</v>
      </c>
      <c r="D31" s="167">
        <v>21.751000000000001</v>
      </c>
    </row>
    <row r="32" spans="2:7" ht="18.75" x14ac:dyDescent="0.25">
      <c r="B32" s="47">
        <v>11</v>
      </c>
      <c r="C32" s="167">
        <v>23.931000000000001</v>
      </c>
      <c r="D32" s="167">
        <v>23.931000000000001</v>
      </c>
    </row>
    <row r="33" spans="2:4" ht="18.75" x14ac:dyDescent="0.25">
      <c r="B33" s="47">
        <v>12</v>
      </c>
      <c r="C33" s="167">
        <v>23.335999999999999</v>
      </c>
      <c r="D33" s="167">
        <v>23.335999999999999</v>
      </c>
    </row>
    <row r="34" spans="2:4" ht="18.75" x14ac:dyDescent="0.25">
      <c r="B34" s="47">
        <v>13</v>
      </c>
      <c r="C34" s="167">
        <v>21.725999999999999</v>
      </c>
      <c r="D34" s="167">
        <v>21.725999999999999</v>
      </c>
    </row>
    <row r="35" spans="2:4" ht="18.75" x14ac:dyDescent="0.25">
      <c r="B35" s="47">
        <v>14</v>
      </c>
      <c r="C35" s="167">
        <v>22.677</v>
      </c>
      <c r="D35" s="167">
        <v>22.677</v>
      </c>
    </row>
    <row r="36" spans="2:4" ht="18.75" x14ac:dyDescent="0.25">
      <c r="B36" s="47">
        <v>15</v>
      </c>
      <c r="C36" s="167">
        <v>22.161999999999999</v>
      </c>
      <c r="D36" s="167">
        <v>22.161999999999999</v>
      </c>
    </row>
    <row r="37" spans="2:4" ht="18.75" x14ac:dyDescent="0.25">
      <c r="B37" s="47">
        <v>16</v>
      </c>
      <c r="C37" s="167">
        <v>22.11</v>
      </c>
      <c r="D37" s="167">
        <v>22.11</v>
      </c>
    </row>
    <row r="38" spans="2:4" ht="18.75" x14ac:dyDescent="0.25">
      <c r="B38" s="47">
        <v>17</v>
      </c>
      <c r="C38" s="167">
        <v>22.541</v>
      </c>
      <c r="D38" s="167">
        <v>22.541</v>
      </c>
    </row>
    <row r="39" spans="2:4" ht="18.75" x14ac:dyDescent="0.25">
      <c r="B39" s="47">
        <v>18</v>
      </c>
      <c r="C39" s="167">
        <v>22.623000000000001</v>
      </c>
      <c r="D39" s="167">
        <v>22.623000000000001</v>
      </c>
    </row>
    <row r="40" spans="2:4" ht="18.75" x14ac:dyDescent="0.25">
      <c r="B40" s="47">
        <v>19</v>
      </c>
      <c r="C40" s="167">
        <v>22.75</v>
      </c>
      <c r="D40" s="167">
        <v>22.75</v>
      </c>
    </row>
    <row r="41" spans="2:4" ht="18.75" x14ac:dyDescent="0.25">
      <c r="B41" s="47">
        <v>20</v>
      </c>
      <c r="C41" s="167">
        <v>22.446999999999999</v>
      </c>
      <c r="D41" s="167">
        <v>22.446999999999999</v>
      </c>
    </row>
    <row r="42" spans="2:4" ht="18.75" x14ac:dyDescent="0.25">
      <c r="B42" s="47">
        <v>21</v>
      </c>
      <c r="C42" s="167">
        <v>22.577999999999999</v>
      </c>
      <c r="D42" s="167">
        <v>22.577999999999999</v>
      </c>
    </row>
    <row r="43" spans="2:4" ht="18.75" x14ac:dyDescent="0.25">
      <c r="B43" s="47">
        <v>22</v>
      </c>
      <c r="C43" s="167">
        <v>21.812999999999999</v>
      </c>
      <c r="D43" s="167">
        <v>21.812999999999999</v>
      </c>
    </row>
    <row r="44" spans="2:4" ht="18.75" x14ac:dyDescent="0.25">
      <c r="B44" s="47">
        <v>23</v>
      </c>
      <c r="C44" s="167">
        <v>22.280999999999999</v>
      </c>
      <c r="D44" s="167">
        <v>22.280999999999999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22.373043478260865</v>
      </c>
      <c r="D46" s="170"/>
    </row>
    <row r="47" spans="2:4" ht="31.5" x14ac:dyDescent="0.25">
      <c r="B47" s="50" t="s">
        <v>47</v>
      </c>
      <c r="C47" s="49">
        <f>_xlfn.STDEV.S(C21:C45)</f>
        <v>0.68530202270155349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'FOM303-32-Imprimir'!C24</f>
        <v>46036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'FOM303-32-Imprimir'!E24</f>
        <v>46036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21.082999999999998</v>
      </c>
      <c r="D21" s="167">
        <v>21.082999999999998</v>
      </c>
    </row>
    <row r="22" spans="2:7" ht="18.75" x14ac:dyDescent="0.25">
      <c r="B22" s="47">
        <v>1</v>
      </c>
      <c r="C22" s="167">
        <v>21.231999999999999</v>
      </c>
      <c r="D22" s="167">
        <v>21.231999999999999</v>
      </c>
    </row>
    <row r="23" spans="2:7" ht="18.75" x14ac:dyDescent="0.25">
      <c r="B23" s="47">
        <v>2</v>
      </c>
      <c r="C23" s="167">
        <v>21.798999999999999</v>
      </c>
      <c r="D23" s="167">
        <v>21.798999999999999</v>
      </c>
    </row>
    <row r="24" spans="2:7" ht="18.75" x14ac:dyDescent="0.25">
      <c r="B24" s="47">
        <v>3</v>
      </c>
      <c r="C24" s="167">
        <v>22.68</v>
      </c>
      <c r="D24" s="167">
        <v>22.68</v>
      </c>
    </row>
    <row r="25" spans="2:7" ht="18.75" x14ac:dyDescent="0.25">
      <c r="B25" s="47">
        <v>4</v>
      </c>
      <c r="C25" s="167">
        <v>21.91</v>
      </c>
      <c r="D25" s="167">
        <v>21.91</v>
      </c>
    </row>
    <row r="26" spans="2:7" ht="18.75" x14ac:dyDescent="0.25">
      <c r="B26" s="47">
        <v>5</v>
      </c>
      <c r="C26" s="167">
        <v>22.18</v>
      </c>
      <c r="D26" s="167">
        <v>22.18</v>
      </c>
    </row>
    <row r="27" spans="2:7" ht="18.75" x14ac:dyDescent="0.25">
      <c r="B27" s="47">
        <v>6</v>
      </c>
      <c r="C27" s="167">
        <v>21.81</v>
      </c>
      <c r="D27" s="167">
        <v>21.81</v>
      </c>
    </row>
    <row r="28" spans="2:7" ht="18.75" x14ac:dyDescent="0.25">
      <c r="B28" s="47">
        <v>7</v>
      </c>
      <c r="C28" s="167">
        <v>21.492000000000001</v>
      </c>
      <c r="D28" s="167">
        <v>21.492000000000001</v>
      </c>
    </row>
    <row r="29" spans="2:7" ht="18.75" x14ac:dyDescent="0.25">
      <c r="B29" s="47">
        <v>8</v>
      </c>
      <c r="C29" s="167">
        <v>23.869</v>
      </c>
      <c r="D29" s="167">
        <v>23.869</v>
      </c>
    </row>
    <row r="30" spans="2:7" ht="18.75" x14ac:dyDescent="0.25">
      <c r="B30" s="47">
        <v>9</v>
      </c>
      <c r="C30" s="167">
        <v>23.532</v>
      </c>
      <c r="D30" s="167">
        <v>23.532</v>
      </c>
    </row>
    <row r="31" spans="2:7" ht="18.75" x14ac:dyDescent="0.25">
      <c r="B31" s="47">
        <v>10</v>
      </c>
      <c r="C31" s="167">
        <v>22.911000000000001</v>
      </c>
      <c r="D31" s="167">
        <v>22.911000000000001</v>
      </c>
    </row>
    <row r="32" spans="2:7" ht="18.75" x14ac:dyDescent="0.25">
      <c r="B32" s="47">
        <v>11</v>
      </c>
      <c r="C32" s="167">
        <v>22.690999999999999</v>
      </c>
      <c r="D32" s="167">
        <v>22.690999999999999</v>
      </c>
    </row>
    <row r="33" spans="2:4" ht="18.75" x14ac:dyDescent="0.25">
      <c r="B33" s="47">
        <v>12</v>
      </c>
      <c r="C33" s="167">
        <v>20.716000000000001</v>
      </c>
      <c r="D33" s="167">
        <v>20.716000000000001</v>
      </c>
    </row>
    <row r="34" spans="2:4" ht="18.75" x14ac:dyDescent="0.25">
      <c r="B34" s="47">
        <v>13</v>
      </c>
      <c r="C34" s="167">
        <v>21.134</v>
      </c>
      <c r="D34" s="167">
        <v>21.134</v>
      </c>
    </row>
    <row r="35" spans="2:4" ht="18.75" x14ac:dyDescent="0.25">
      <c r="B35" s="47">
        <v>14</v>
      </c>
      <c r="C35" s="167">
        <v>20.978999999999999</v>
      </c>
      <c r="D35" s="167">
        <v>20.978999999999999</v>
      </c>
    </row>
    <row r="36" spans="2:4" ht="18.75" x14ac:dyDescent="0.25">
      <c r="B36" s="47">
        <v>15</v>
      </c>
      <c r="C36" s="167">
        <v>22.155000000000001</v>
      </c>
      <c r="D36" s="167">
        <v>22.155000000000001</v>
      </c>
    </row>
    <row r="37" spans="2:4" ht="18.75" x14ac:dyDescent="0.25">
      <c r="B37" s="47">
        <v>16</v>
      </c>
      <c r="C37" s="167">
        <v>23.928000000000001</v>
      </c>
      <c r="D37" s="167">
        <v>23.928000000000001</v>
      </c>
    </row>
    <row r="38" spans="2:4" ht="18.75" x14ac:dyDescent="0.25">
      <c r="B38" s="47">
        <v>17</v>
      </c>
      <c r="C38" s="167">
        <v>22.896999999999998</v>
      </c>
      <c r="D38" s="167">
        <v>22.896999999999998</v>
      </c>
    </row>
    <row r="39" spans="2:4" ht="18.75" x14ac:dyDescent="0.25">
      <c r="B39" s="47">
        <v>18</v>
      </c>
      <c r="C39" s="167">
        <v>22.495999999999999</v>
      </c>
      <c r="D39" s="167">
        <v>22.495999999999999</v>
      </c>
    </row>
    <row r="40" spans="2:4" ht="18.75" x14ac:dyDescent="0.25">
      <c r="B40" s="47">
        <v>19</v>
      </c>
      <c r="C40" s="167">
        <v>21.968</v>
      </c>
      <c r="D40" s="167">
        <v>21.968</v>
      </c>
    </row>
    <row r="41" spans="2:4" ht="18.75" x14ac:dyDescent="0.25">
      <c r="B41" s="47">
        <v>20</v>
      </c>
      <c r="C41" s="167">
        <v>22.645</v>
      </c>
      <c r="D41" s="167">
        <v>22.645</v>
      </c>
    </row>
    <row r="42" spans="2:4" ht="18.75" x14ac:dyDescent="0.25">
      <c r="B42" s="47">
        <v>21</v>
      </c>
      <c r="C42" s="167">
        <v>22.199000000000002</v>
      </c>
      <c r="D42" s="167">
        <v>22.199000000000002</v>
      </c>
    </row>
    <row r="43" spans="2:4" ht="18.75" x14ac:dyDescent="0.25">
      <c r="B43" s="47">
        <v>22</v>
      </c>
      <c r="C43" s="167">
        <v>21.837</v>
      </c>
      <c r="D43" s="167">
        <v>21.837</v>
      </c>
    </row>
    <row r="44" spans="2:4" ht="18.75" x14ac:dyDescent="0.25">
      <c r="B44" s="47">
        <v>23</v>
      </c>
      <c r="C44" s="167">
        <v>21.43</v>
      </c>
      <c r="D44" s="167">
        <v>21.43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22.195217391304347</v>
      </c>
      <c r="D46" s="170"/>
    </row>
    <row r="47" spans="2:4" ht="31.5" x14ac:dyDescent="0.25">
      <c r="B47" s="50" t="s">
        <v>47</v>
      </c>
      <c r="C47" s="49">
        <f>_xlfn.STDEV.S(C21:C45)</f>
        <v>0.88280286402975061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'FOM303-32-Imprimir'!C25</f>
        <v>46037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'FOM303-32-Imprimir'!E25</f>
        <v>46037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21.376999999999999</v>
      </c>
      <c r="D21" s="167">
        <v>21.376999999999999</v>
      </c>
    </row>
    <row r="22" spans="2:7" ht="18.75" x14ac:dyDescent="0.25">
      <c r="B22" s="47">
        <v>1</v>
      </c>
      <c r="C22" s="167">
        <v>22.146000000000001</v>
      </c>
      <c r="D22" s="167">
        <v>22.146000000000001</v>
      </c>
    </row>
    <row r="23" spans="2:7" ht="18.75" x14ac:dyDescent="0.25">
      <c r="B23" s="47">
        <v>2</v>
      </c>
      <c r="C23" s="167">
        <v>21.370999999999999</v>
      </c>
      <c r="D23" s="167">
        <v>21.370999999999999</v>
      </c>
    </row>
    <row r="24" spans="2:7" ht="18.75" x14ac:dyDescent="0.25">
      <c r="B24" s="47">
        <v>3</v>
      </c>
      <c r="C24" s="167">
        <v>21.282</v>
      </c>
      <c r="D24" s="167">
        <v>21.282</v>
      </c>
    </row>
    <row r="25" spans="2:7" ht="18.75" x14ac:dyDescent="0.25">
      <c r="B25" s="47">
        <v>4</v>
      </c>
      <c r="C25" s="167">
        <v>21.885999999999999</v>
      </c>
      <c r="D25" s="167">
        <v>21.885999999999999</v>
      </c>
    </row>
    <row r="26" spans="2:7" ht="18.75" x14ac:dyDescent="0.25">
      <c r="B26" s="47">
        <v>5</v>
      </c>
      <c r="C26" s="167">
        <v>21.954000000000001</v>
      </c>
      <c r="D26" s="167">
        <v>21.954000000000001</v>
      </c>
    </row>
    <row r="27" spans="2:7" ht="18.75" x14ac:dyDescent="0.25">
      <c r="B27" s="47">
        <v>6</v>
      </c>
      <c r="C27" s="167">
        <v>22.295000000000002</v>
      </c>
      <c r="D27" s="167">
        <v>22.295000000000002</v>
      </c>
    </row>
    <row r="28" spans="2:7" ht="18.75" x14ac:dyDescent="0.25">
      <c r="B28" s="47">
        <v>7</v>
      </c>
      <c r="C28" s="167">
        <v>22.065999999999999</v>
      </c>
      <c r="D28" s="167">
        <v>22.065999999999999</v>
      </c>
    </row>
    <row r="29" spans="2:7" ht="18.75" x14ac:dyDescent="0.25">
      <c r="B29" s="47">
        <v>8</v>
      </c>
      <c r="C29" s="167">
        <v>21.613</v>
      </c>
      <c r="D29" s="167">
        <v>21.613</v>
      </c>
    </row>
    <row r="30" spans="2:7" ht="18.75" x14ac:dyDescent="0.25">
      <c r="B30" s="47">
        <v>9</v>
      </c>
      <c r="C30" s="167">
        <v>23.268000000000001</v>
      </c>
      <c r="D30" s="167">
        <v>23.268000000000001</v>
      </c>
    </row>
    <row r="31" spans="2:7" ht="18.75" x14ac:dyDescent="0.25">
      <c r="B31" s="47">
        <v>10</v>
      </c>
      <c r="C31" s="167">
        <v>20.667999999999999</v>
      </c>
      <c r="D31" s="167">
        <v>20.667999999999999</v>
      </c>
    </row>
    <row r="32" spans="2:7" ht="18.75" x14ac:dyDescent="0.25">
      <c r="B32" s="47">
        <v>11</v>
      </c>
      <c r="C32" s="167">
        <v>22.001999999999999</v>
      </c>
      <c r="D32" s="167">
        <v>22.001999999999999</v>
      </c>
    </row>
    <row r="33" spans="2:4" ht="18.75" x14ac:dyDescent="0.25">
      <c r="B33" s="47">
        <v>12</v>
      </c>
      <c r="C33" s="167">
        <v>20.994</v>
      </c>
      <c r="D33" s="167">
        <v>20.994</v>
      </c>
    </row>
    <row r="34" spans="2:4" ht="18.75" x14ac:dyDescent="0.25">
      <c r="B34" s="47">
        <v>13</v>
      </c>
      <c r="C34" s="167">
        <v>21.474</v>
      </c>
      <c r="D34" s="167">
        <v>21.474</v>
      </c>
    </row>
    <row r="35" spans="2:4" ht="18.75" x14ac:dyDescent="0.25">
      <c r="B35" s="47">
        <v>14</v>
      </c>
      <c r="C35" s="167">
        <v>20.978999999999999</v>
      </c>
      <c r="D35" s="167">
        <v>20.978999999999999</v>
      </c>
    </row>
    <row r="36" spans="2:4" ht="18.75" x14ac:dyDescent="0.25">
      <c r="B36" s="47">
        <v>15</v>
      </c>
      <c r="C36" s="167">
        <v>21.219000000000001</v>
      </c>
      <c r="D36" s="167">
        <v>21.219000000000001</v>
      </c>
    </row>
    <row r="37" spans="2:4" ht="18.75" x14ac:dyDescent="0.25">
      <c r="B37" s="47">
        <v>16</v>
      </c>
      <c r="C37" s="167">
        <v>20.931000000000001</v>
      </c>
      <c r="D37" s="167">
        <v>20.931000000000001</v>
      </c>
    </row>
    <row r="38" spans="2:4" ht="18.75" x14ac:dyDescent="0.25">
      <c r="B38" s="47">
        <v>17</v>
      </c>
      <c r="C38" s="167">
        <v>23.277999999999999</v>
      </c>
      <c r="D38" s="167">
        <v>23.277999999999999</v>
      </c>
    </row>
    <row r="39" spans="2:4" ht="18.75" x14ac:dyDescent="0.25">
      <c r="B39" s="47">
        <v>18</v>
      </c>
      <c r="C39" s="167">
        <v>22.376000000000001</v>
      </c>
      <c r="D39" s="167">
        <v>22.376000000000001</v>
      </c>
    </row>
    <row r="40" spans="2:4" ht="18.75" x14ac:dyDescent="0.25">
      <c r="B40" s="47">
        <v>19</v>
      </c>
      <c r="C40" s="167">
        <v>21.466000000000001</v>
      </c>
      <c r="D40" s="167">
        <v>21.466000000000001</v>
      </c>
    </row>
    <row r="41" spans="2:4" ht="18.75" x14ac:dyDescent="0.25">
      <c r="B41" s="47">
        <v>20</v>
      </c>
      <c r="C41" s="167">
        <v>22.032</v>
      </c>
      <c r="D41" s="167">
        <v>22.032</v>
      </c>
    </row>
    <row r="42" spans="2:4" ht="18.75" x14ac:dyDescent="0.25">
      <c r="B42" s="47">
        <v>21</v>
      </c>
      <c r="C42" s="167">
        <v>21.724</v>
      </c>
      <c r="D42" s="167">
        <v>21.724</v>
      </c>
    </row>
    <row r="43" spans="2:4" ht="18.75" x14ac:dyDescent="0.25">
      <c r="B43" s="47">
        <v>22</v>
      </c>
      <c r="C43" s="167">
        <v>21.984999999999999</v>
      </c>
      <c r="D43" s="167">
        <v>21.984999999999999</v>
      </c>
    </row>
    <row r="44" spans="2:4" ht="18.75" x14ac:dyDescent="0.25">
      <c r="B44" s="47">
        <v>23</v>
      </c>
      <c r="C44" s="167">
        <v>21.31</v>
      </c>
      <c r="D44" s="167">
        <v>21.31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21.752999999999997</v>
      </c>
      <c r="D46" s="170"/>
    </row>
    <row r="47" spans="2:4" ht="31.5" x14ac:dyDescent="0.25">
      <c r="B47" s="50" t="s">
        <v>47</v>
      </c>
      <c r="C47" s="49">
        <f>_xlfn.STDEV.S(C21:C45)</f>
        <v>0.65939001236430417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'FOM303-32-Imprimir'!C26</f>
        <v>46038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'FOM303-32-Imprimir'!E26</f>
        <v>46038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22.059000000000001</v>
      </c>
      <c r="D21" s="167">
        <v>22.059000000000001</v>
      </c>
    </row>
    <row r="22" spans="2:7" ht="18.75" x14ac:dyDescent="0.25">
      <c r="B22" s="47">
        <v>1</v>
      </c>
      <c r="C22" s="167">
        <v>21.911999999999999</v>
      </c>
      <c r="D22" s="167">
        <v>21.911999999999999</v>
      </c>
    </row>
    <row r="23" spans="2:7" ht="18.75" x14ac:dyDescent="0.25">
      <c r="B23" s="47">
        <v>2</v>
      </c>
      <c r="C23" s="167">
        <v>21.971</v>
      </c>
      <c r="D23" s="167">
        <v>21.971</v>
      </c>
    </row>
    <row r="24" spans="2:7" ht="18.75" x14ac:dyDescent="0.25">
      <c r="B24" s="47">
        <v>3</v>
      </c>
      <c r="C24" s="167">
        <v>22.324999999999999</v>
      </c>
      <c r="D24" s="167">
        <v>22.324999999999999</v>
      </c>
    </row>
    <row r="25" spans="2:7" ht="18.75" x14ac:dyDescent="0.25">
      <c r="B25" s="47">
        <v>4</v>
      </c>
      <c r="C25" s="167">
        <v>21.728000000000002</v>
      </c>
      <c r="D25" s="167">
        <v>21.728000000000002</v>
      </c>
    </row>
    <row r="26" spans="2:7" ht="18.75" x14ac:dyDescent="0.25">
      <c r="B26" s="47">
        <v>5</v>
      </c>
      <c r="C26" s="167">
        <v>21.798999999999999</v>
      </c>
      <c r="D26" s="167">
        <v>21.798999999999999</v>
      </c>
    </row>
    <row r="27" spans="2:7" ht="18.75" x14ac:dyDescent="0.25">
      <c r="B27" s="47">
        <v>6</v>
      </c>
      <c r="C27" s="167">
        <v>22.585000000000001</v>
      </c>
      <c r="D27" s="167">
        <v>22.585000000000001</v>
      </c>
    </row>
    <row r="28" spans="2:7" ht="18.75" x14ac:dyDescent="0.25">
      <c r="B28" s="47">
        <v>7</v>
      </c>
      <c r="C28" s="167">
        <v>21.960999999999999</v>
      </c>
      <c r="D28" s="167">
        <v>21.960999999999999</v>
      </c>
    </row>
    <row r="29" spans="2:7" ht="18.75" x14ac:dyDescent="0.25">
      <c r="B29" s="47">
        <v>8</v>
      </c>
      <c r="C29" s="167">
        <v>23.413</v>
      </c>
      <c r="D29" s="167">
        <v>23.413</v>
      </c>
    </row>
    <row r="30" spans="2:7" ht="18.75" x14ac:dyDescent="0.25">
      <c r="B30" s="47">
        <v>9</v>
      </c>
      <c r="C30" s="167">
        <v>20.786000000000001</v>
      </c>
      <c r="D30" s="167">
        <v>20.786000000000001</v>
      </c>
    </row>
    <row r="31" spans="2:7" ht="18.75" x14ac:dyDescent="0.25">
      <c r="B31" s="47">
        <v>10</v>
      </c>
      <c r="C31" s="167">
        <v>20.593</v>
      </c>
      <c r="D31" s="167">
        <v>20.593</v>
      </c>
    </row>
    <row r="32" spans="2:7" ht="18.75" x14ac:dyDescent="0.25">
      <c r="B32" s="47">
        <v>11</v>
      </c>
      <c r="C32" s="167">
        <v>21.161999999999999</v>
      </c>
      <c r="D32" s="167">
        <v>21.161999999999999</v>
      </c>
    </row>
    <row r="33" spans="2:4" ht="18.75" x14ac:dyDescent="0.25">
      <c r="B33" s="47">
        <v>12</v>
      </c>
      <c r="C33" s="167">
        <v>20.995999999999999</v>
      </c>
      <c r="D33" s="167">
        <v>20.995999999999999</v>
      </c>
    </row>
    <row r="34" spans="2:4" ht="18.75" x14ac:dyDescent="0.25">
      <c r="B34" s="47">
        <v>13</v>
      </c>
      <c r="C34" s="167">
        <v>20.721</v>
      </c>
      <c r="D34" s="167">
        <v>20.721</v>
      </c>
    </row>
    <row r="35" spans="2:4" ht="18.75" x14ac:dyDescent="0.25">
      <c r="B35" s="47">
        <v>14</v>
      </c>
      <c r="C35" s="167">
        <v>22.052</v>
      </c>
      <c r="D35" s="167">
        <v>22.052</v>
      </c>
    </row>
    <row r="36" spans="2:4" ht="18.75" x14ac:dyDescent="0.25">
      <c r="B36" s="47">
        <v>15</v>
      </c>
      <c r="C36" s="167">
        <v>22.431000000000001</v>
      </c>
      <c r="D36" s="167">
        <v>22.431000000000001</v>
      </c>
    </row>
    <row r="37" spans="2:4" ht="18.75" x14ac:dyDescent="0.25">
      <c r="B37" s="47">
        <v>16</v>
      </c>
      <c r="C37" s="167">
        <v>21.584</v>
      </c>
      <c r="D37" s="167">
        <v>21.584</v>
      </c>
    </row>
    <row r="38" spans="2:4" ht="18.75" x14ac:dyDescent="0.25">
      <c r="B38" s="47">
        <v>17</v>
      </c>
      <c r="C38" s="167">
        <v>21.683</v>
      </c>
      <c r="D38" s="167">
        <v>21.683</v>
      </c>
    </row>
    <row r="39" spans="2:4" ht="18.75" x14ac:dyDescent="0.25">
      <c r="B39" s="47">
        <v>18</v>
      </c>
      <c r="C39" s="167">
        <v>23.634</v>
      </c>
      <c r="D39" s="167">
        <v>23.634</v>
      </c>
    </row>
    <row r="40" spans="2:4" ht="18.75" x14ac:dyDescent="0.25">
      <c r="B40" s="47">
        <v>19</v>
      </c>
      <c r="C40" s="167">
        <v>23.347000000000001</v>
      </c>
      <c r="D40" s="167">
        <v>23.347000000000001</v>
      </c>
    </row>
    <row r="41" spans="2:4" ht="18.75" x14ac:dyDescent="0.25">
      <c r="B41" s="47">
        <v>20</v>
      </c>
      <c r="C41" s="167">
        <v>23.324999999999999</v>
      </c>
      <c r="D41" s="167">
        <v>23.324999999999999</v>
      </c>
    </row>
    <row r="42" spans="2:4" ht="18.75" x14ac:dyDescent="0.25">
      <c r="B42" s="47">
        <v>21</v>
      </c>
      <c r="C42" s="167">
        <v>23.256</v>
      </c>
      <c r="D42" s="167">
        <v>23.256</v>
      </c>
    </row>
    <row r="43" spans="2:4" ht="18.75" x14ac:dyDescent="0.25">
      <c r="B43" s="47">
        <v>22</v>
      </c>
      <c r="C43" s="167">
        <v>23.218</v>
      </c>
      <c r="D43" s="167">
        <v>23.218</v>
      </c>
    </row>
    <row r="44" spans="2:4" ht="18.75" x14ac:dyDescent="0.25">
      <c r="B44" s="47">
        <v>23</v>
      </c>
      <c r="C44" s="167">
        <v>23.219000000000001</v>
      </c>
      <c r="D44" s="167">
        <v>23.219000000000001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22.160913043478264</v>
      </c>
      <c r="D46" s="170"/>
    </row>
    <row r="47" spans="2:4" ht="31.5" x14ac:dyDescent="0.25">
      <c r="B47" s="50" t="s">
        <v>47</v>
      </c>
      <c r="C47" s="49">
        <f>_xlfn.STDEV.S(C21:C45)</f>
        <v>0.9332479826399035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'FOM303-32-Imprimir'!C27</f>
        <v>46039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'FOM303-32-Imprimir'!E27</f>
        <v>46039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22.675999999999998</v>
      </c>
      <c r="D21" s="167">
        <v>22.675999999999998</v>
      </c>
    </row>
    <row r="22" spans="2:7" ht="18.75" x14ac:dyDescent="0.25">
      <c r="B22" s="47">
        <v>1</v>
      </c>
      <c r="C22" s="167">
        <v>22.94</v>
      </c>
      <c r="D22" s="167">
        <v>22.94</v>
      </c>
    </row>
    <row r="23" spans="2:7" ht="18.75" x14ac:dyDescent="0.25">
      <c r="B23" s="47">
        <v>2</v>
      </c>
      <c r="C23" s="167">
        <v>23.434000000000001</v>
      </c>
      <c r="D23" s="167">
        <v>23.434000000000001</v>
      </c>
    </row>
    <row r="24" spans="2:7" ht="18.75" x14ac:dyDescent="0.25">
      <c r="B24" s="47">
        <v>3</v>
      </c>
      <c r="C24" s="167">
        <v>22.481999999999999</v>
      </c>
      <c r="D24" s="167">
        <v>22.481999999999999</v>
      </c>
    </row>
    <row r="25" spans="2:7" ht="18.75" x14ac:dyDescent="0.25">
      <c r="B25" s="47">
        <v>4</v>
      </c>
      <c r="C25" s="167">
        <v>23.1</v>
      </c>
      <c r="D25" s="167">
        <v>23.1</v>
      </c>
    </row>
    <row r="26" spans="2:7" ht="18.75" x14ac:dyDescent="0.25">
      <c r="B26" s="47">
        <v>5</v>
      </c>
      <c r="C26" s="167">
        <v>23.475000000000001</v>
      </c>
      <c r="D26" s="167">
        <v>23.475000000000001</v>
      </c>
    </row>
    <row r="27" spans="2:7" ht="18.75" x14ac:dyDescent="0.25">
      <c r="B27" s="47">
        <v>6</v>
      </c>
      <c r="C27" s="167">
        <v>22.132000000000001</v>
      </c>
      <c r="D27" s="167">
        <v>22.132000000000001</v>
      </c>
    </row>
    <row r="28" spans="2:7" ht="18.75" x14ac:dyDescent="0.25">
      <c r="B28" s="47">
        <v>7</v>
      </c>
      <c r="C28" s="167">
        <v>23.585000000000001</v>
      </c>
      <c r="D28" s="167">
        <v>23.585000000000001</v>
      </c>
    </row>
    <row r="29" spans="2:7" ht="18.75" x14ac:dyDescent="0.25">
      <c r="B29" s="47">
        <v>8</v>
      </c>
      <c r="C29" s="167">
        <v>23.673999999999999</v>
      </c>
      <c r="D29" s="167">
        <v>23.673999999999999</v>
      </c>
    </row>
    <row r="30" spans="2:7" ht="18.75" x14ac:dyDescent="0.25">
      <c r="B30" s="47">
        <v>9</v>
      </c>
      <c r="C30" s="167">
        <v>21.73</v>
      </c>
      <c r="D30" s="167">
        <v>21.73</v>
      </c>
    </row>
    <row r="31" spans="2:7" ht="18.75" x14ac:dyDescent="0.25">
      <c r="B31" s="47">
        <v>10</v>
      </c>
      <c r="C31" s="167">
        <v>22.61</v>
      </c>
      <c r="D31" s="167">
        <v>22.61</v>
      </c>
    </row>
    <row r="32" spans="2:7" ht="18.75" x14ac:dyDescent="0.25">
      <c r="B32" s="47">
        <v>11</v>
      </c>
      <c r="C32" s="167">
        <v>23.120999999999999</v>
      </c>
      <c r="D32" s="167">
        <v>23.120999999999999</v>
      </c>
    </row>
    <row r="33" spans="2:4" ht="18.75" x14ac:dyDescent="0.25">
      <c r="B33" s="47">
        <v>12</v>
      </c>
      <c r="C33" s="167">
        <v>23.850999999999999</v>
      </c>
      <c r="D33" s="167">
        <v>23.850999999999999</v>
      </c>
    </row>
    <row r="34" spans="2:4" ht="18.75" x14ac:dyDescent="0.25">
      <c r="B34" s="47">
        <v>13</v>
      </c>
      <c r="C34" s="167">
        <v>24.388000000000002</v>
      </c>
      <c r="D34" s="167">
        <v>24.388000000000002</v>
      </c>
    </row>
    <row r="35" spans="2:4" ht="18.75" x14ac:dyDescent="0.25">
      <c r="B35" s="47">
        <v>14</v>
      </c>
      <c r="C35" s="167">
        <v>24.138000000000002</v>
      </c>
      <c r="D35" s="167">
        <v>24.138000000000002</v>
      </c>
    </row>
    <row r="36" spans="2:4" ht="18.75" x14ac:dyDescent="0.25">
      <c r="B36" s="47">
        <v>15</v>
      </c>
      <c r="C36" s="167">
        <v>23.312000000000001</v>
      </c>
      <c r="D36" s="167">
        <v>23.312000000000001</v>
      </c>
    </row>
    <row r="37" spans="2:4" ht="18.75" x14ac:dyDescent="0.25">
      <c r="B37" s="47">
        <v>16</v>
      </c>
      <c r="C37" s="167">
        <v>22.658000000000001</v>
      </c>
      <c r="D37" s="167">
        <v>22.658000000000001</v>
      </c>
    </row>
    <row r="38" spans="2:4" ht="18.75" x14ac:dyDescent="0.25">
      <c r="B38" s="47">
        <v>17</v>
      </c>
      <c r="C38" s="167">
        <v>21.274000000000001</v>
      </c>
      <c r="D38" s="167">
        <v>21.274000000000001</v>
      </c>
    </row>
    <row r="39" spans="2:4" ht="18.75" x14ac:dyDescent="0.25">
      <c r="B39" s="47">
        <v>18</v>
      </c>
      <c r="C39" s="167">
        <v>23.748999999999999</v>
      </c>
      <c r="D39" s="167">
        <v>23.748999999999999</v>
      </c>
    </row>
    <row r="40" spans="2:4" ht="18.75" x14ac:dyDescent="0.25">
      <c r="B40" s="47">
        <v>19</v>
      </c>
      <c r="C40" s="167">
        <v>23.475000000000001</v>
      </c>
      <c r="D40" s="167">
        <v>23.475000000000001</v>
      </c>
    </row>
    <row r="41" spans="2:4" ht="18.75" x14ac:dyDescent="0.25">
      <c r="B41" s="47">
        <v>20</v>
      </c>
      <c r="C41" s="167">
        <v>23.314</v>
      </c>
      <c r="D41" s="167">
        <v>23.314</v>
      </c>
    </row>
    <row r="42" spans="2:4" ht="18.75" x14ac:dyDescent="0.25">
      <c r="B42" s="47">
        <v>21</v>
      </c>
      <c r="C42" s="167">
        <v>23.24</v>
      </c>
      <c r="D42" s="167">
        <v>23.24</v>
      </c>
    </row>
    <row r="43" spans="2:4" ht="18.75" x14ac:dyDescent="0.25">
      <c r="B43" s="47">
        <v>22</v>
      </c>
      <c r="C43" s="167">
        <v>22.055</v>
      </c>
      <c r="D43" s="167">
        <v>22.055</v>
      </c>
    </row>
    <row r="44" spans="2:4" ht="18.75" x14ac:dyDescent="0.25">
      <c r="B44" s="47">
        <v>23</v>
      </c>
      <c r="C44" s="167">
        <v>22.86</v>
      </c>
      <c r="D44" s="167">
        <v>22.86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23.069434782608699</v>
      </c>
      <c r="D46" s="170"/>
    </row>
    <row r="47" spans="2:4" ht="31.5" x14ac:dyDescent="0.25">
      <c r="B47" s="50" t="s">
        <v>47</v>
      </c>
      <c r="C47" s="49">
        <f>_xlfn.STDEV.S(C21:C45)</f>
        <v>0.75347152966418907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'FOM303-32-Imprimir'!C28</f>
        <v>46040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'FOM303-32-Imprimir'!E28</f>
        <v>46040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thickBot="1" x14ac:dyDescent="0.3"/>
    <row r="17" spans="2:7" x14ac:dyDescent="0.25">
      <c r="B17" s="175" t="s">
        <v>44</v>
      </c>
      <c r="C17" s="175" t="s">
        <v>45</v>
      </c>
      <c r="D17" s="177"/>
      <c r="E17" s="32"/>
      <c r="G17" s="32"/>
    </row>
    <row r="18" spans="2:7" x14ac:dyDescent="0.25">
      <c r="B18" s="176"/>
      <c r="C18" s="176"/>
      <c r="D18" s="178"/>
      <c r="E18" s="32"/>
      <c r="G18" s="32"/>
    </row>
    <row r="19" spans="2:7" ht="18.75" customHeight="1" x14ac:dyDescent="0.25">
      <c r="B19" s="176"/>
      <c r="C19" s="176"/>
      <c r="D19" s="178"/>
    </row>
    <row r="20" spans="2:7" x14ac:dyDescent="0.25">
      <c r="B20" s="176"/>
      <c r="C20" s="176"/>
      <c r="D20" s="178"/>
    </row>
    <row r="21" spans="2:7" ht="18.600000000000001" customHeight="1" x14ac:dyDescent="0.25">
      <c r="B21" s="12">
        <v>0</v>
      </c>
      <c r="C21" s="167">
        <v>23.318999999999999</v>
      </c>
      <c r="D21" s="167">
        <v>23.318999999999999</v>
      </c>
    </row>
    <row r="22" spans="2:7" ht="18.600000000000001" customHeight="1" x14ac:dyDescent="0.25">
      <c r="B22" s="13">
        <v>1</v>
      </c>
      <c r="C22" s="167">
        <v>23.21</v>
      </c>
      <c r="D22" s="167">
        <v>23.21</v>
      </c>
    </row>
    <row r="23" spans="2:7" ht="18.600000000000001" customHeight="1" x14ac:dyDescent="0.25">
      <c r="B23" s="13">
        <v>2</v>
      </c>
      <c r="C23" s="167">
        <v>23.204000000000001</v>
      </c>
      <c r="D23" s="167">
        <v>23.204000000000001</v>
      </c>
    </row>
    <row r="24" spans="2:7" ht="18.600000000000001" customHeight="1" x14ac:dyDescent="0.25">
      <c r="B24" s="14">
        <v>3</v>
      </c>
      <c r="C24" s="167">
        <v>23.248999999999999</v>
      </c>
      <c r="D24" s="167">
        <v>23.248999999999999</v>
      </c>
    </row>
    <row r="25" spans="2:7" ht="18.600000000000001" customHeight="1" x14ac:dyDescent="0.25">
      <c r="B25" s="13">
        <v>4</v>
      </c>
      <c r="C25" s="167">
        <v>22.375</v>
      </c>
      <c r="D25" s="167">
        <v>22.375</v>
      </c>
    </row>
    <row r="26" spans="2:7" ht="18.600000000000001" customHeight="1" x14ac:dyDescent="0.25">
      <c r="B26" s="13">
        <v>5</v>
      </c>
      <c r="C26" s="167">
        <v>23.102</v>
      </c>
      <c r="D26" s="167">
        <v>23.102</v>
      </c>
    </row>
    <row r="27" spans="2:7" ht="18.600000000000001" customHeight="1" x14ac:dyDescent="0.25">
      <c r="B27" s="13">
        <v>6</v>
      </c>
      <c r="C27" s="167">
        <v>22.596</v>
      </c>
      <c r="D27" s="167">
        <v>22.596</v>
      </c>
    </row>
    <row r="28" spans="2:7" ht="18.600000000000001" customHeight="1" x14ac:dyDescent="0.25">
      <c r="B28" s="14">
        <v>7</v>
      </c>
      <c r="C28" s="167">
        <v>22.914000000000001</v>
      </c>
      <c r="D28" s="167">
        <v>22.914000000000001</v>
      </c>
    </row>
    <row r="29" spans="2:7" ht="18.600000000000001" customHeight="1" x14ac:dyDescent="0.25">
      <c r="B29" s="13">
        <v>8</v>
      </c>
      <c r="C29" s="167">
        <v>23.614999999999998</v>
      </c>
      <c r="D29" s="167">
        <v>23.614999999999998</v>
      </c>
    </row>
    <row r="30" spans="2:7" ht="18.600000000000001" customHeight="1" x14ac:dyDescent="0.25">
      <c r="B30" s="13">
        <v>9</v>
      </c>
      <c r="C30" s="167">
        <v>23.619</v>
      </c>
      <c r="D30" s="167">
        <v>23.619</v>
      </c>
    </row>
    <row r="31" spans="2:7" ht="18.600000000000001" customHeight="1" x14ac:dyDescent="0.25">
      <c r="B31" s="14">
        <v>10</v>
      </c>
      <c r="C31" s="167">
        <v>22.614999999999998</v>
      </c>
      <c r="D31" s="167">
        <v>22.614999999999998</v>
      </c>
    </row>
    <row r="32" spans="2:7" ht="18.600000000000001" customHeight="1" x14ac:dyDescent="0.25">
      <c r="B32" s="13">
        <v>11</v>
      </c>
      <c r="C32" s="167">
        <v>20.692</v>
      </c>
      <c r="D32" s="167">
        <v>20.692</v>
      </c>
    </row>
    <row r="33" spans="2:4" ht="18.600000000000001" customHeight="1" x14ac:dyDescent="0.25">
      <c r="B33" s="13">
        <v>12</v>
      </c>
      <c r="C33" s="167">
        <v>21.053000000000001</v>
      </c>
      <c r="D33" s="167">
        <v>21.053000000000001</v>
      </c>
    </row>
    <row r="34" spans="2:4" ht="18.600000000000001" customHeight="1" x14ac:dyDescent="0.25">
      <c r="B34" s="14">
        <v>13</v>
      </c>
      <c r="C34" s="167">
        <v>20.994</v>
      </c>
      <c r="D34" s="167">
        <v>20.994</v>
      </c>
    </row>
    <row r="35" spans="2:4" ht="18.600000000000001" customHeight="1" x14ac:dyDescent="0.25">
      <c r="B35" s="13">
        <v>14</v>
      </c>
      <c r="C35" s="167">
        <v>21.515999999999998</v>
      </c>
      <c r="D35" s="167">
        <v>21.515999999999998</v>
      </c>
    </row>
    <row r="36" spans="2:4" ht="18.600000000000001" customHeight="1" x14ac:dyDescent="0.25">
      <c r="B36" s="13">
        <v>15</v>
      </c>
      <c r="C36" s="167">
        <v>21.858000000000001</v>
      </c>
      <c r="D36" s="167">
        <v>21.858000000000001</v>
      </c>
    </row>
    <row r="37" spans="2:4" ht="18.600000000000001" customHeight="1" x14ac:dyDescent="0.25">
      <c r="B37" s="14">
        <v>16</v>
      </c>
      <c r="C37" s="167">
        <v>21.204999999999998</v>
      </c>
      <c r="D37" s="167">
        <v>21.204999999999998</v>
      </c>
    </row>
    <row r="38" spans="2:4" ht="18.600000000000001" customHeight="1" x14ac:dyDescent="0.25">
      <c r="B38" s="13">
        <v>17</v>
      </c>
      <c r="C38" s="167">
        <v>21.661999999999999</v>
      </c>
      <c r="D38" s="167">
        <v>21.661999999999999</v>
      </c>
    </row>
    <row r="39" spans="2:4" ht="18.600000000000001" customHeight="1" x14ac:dyDescent="0.25">
      <c r="B39" s="13">
        <v>18</v>
      </c>
      <c r="C39" s="167">
        <v>23.681000000000001</v>
      </c>
      <c r="D39" s="167">
        <v>23.681000000000001</v>
      </c>
    </row>
    <row r="40" spans="2:4" ht="18.600000000000001" customHeight="1" x14ac:dyDescent="0.25">
      <c r="B40" s="14">
        <v>19</v>
      </c>
      <c r="C40" s="167">
        <v>23.382999999999999</v>
      </c>
      <c r="D40" s="167">
        <v>23.382999999999999</v>
      </c>
    </row>
    <row r="41" spans="2:4" ht="18.600000000000001" customHeight="1" x14ac:dyDescent="0.25">
      <c r="B41" s="13">
        <v>20</v>
      </c>
      <c r="C41" s="167">
        <v>23.181999999999999</v>
      </c>
      <c r="D41" s="167">
        <v>23.181999999999999</v>
      </c>
    </row>
    <row r="42" spans="2:4" ht="18.600000000000001" customHeight="1" x14ac:dyDescent="0.25">
      <c r="B42" s="13">
        <v>21</v>
      </c>
      <c r="C42" s="167">
        <v>22.44</v>
      </c>
      <c r="D42" s="167">
        <v>22.44</v>
      </c>
    </row>
    <row r="43" spans="2:4" ht="18.600000000000001" customHeight="1" x14ac:dyDescent="0.25">
      <c r="B43" s="14">
        <v>22</v>
      </c>
      <c r="C43" s="167">
        <v>22.962</v>
      </c>
      <c r="D43" s="167">
        <v>22.962</v>
      </c>
    </row>
    <row r="44" spans="2:4" ht="18.600000000000001" customHeight="1" x14ac:dyDescent="0.25">
      <c r="B44" s="13">
        <v>23</v>
      </c>
      <c r="C44" s="167">
        <v>23.510999999999999</v>
      </c>
      <c r="D44" s="167">
        <v>23.510999999999999</v>
      </c>
    </row>
    <row r="45" spans="2:4" ht="18.75" x14ac:dyDescent="0.25">
      <c r="B45" s="15">
        <v>24</v>
      </c>
      <c r="C45" s="183"/>
      <c r="D45" s="184"/>
    </row>
    <row r="46" spans="2:4" ht="33.75" customHeight="1" x14ac:dyDescent="0.25">
      <c r="B46" s="17" t="s">
        <v>46</v>
      </c>
      <c r="C46" s="179">
        <f>AVERAGE(C22:C45)</f>
        <v>22.549478260869567</v>
      </c>
      <c r="D46" s="180"/>
    </row>
    <row r="47" spans="2:4" ht="31.5" x14ac:dyDescent="0.25">
      <c r="B47" s="22" t="s">
        <v>47</v>
      </c>
      <c r="C47" s="24">
        <f>_xlfn.STDEV.S(C21:C45)</f>
        <v>0.94197502870837557</v>
      </c>
      <c r="D47" s="16" t="s">
        <v>48</v>
      </c>
    </row>
    <row r="48" spans="2:4" ht="16.5" thickBot="1" x14ac:dyDescent="0.3">
      <c r="B48" s="18" t="s">
        <v>49</v>
      </c>
      <c r="C48" s="181" t="str">
        <f>IF(ABS(C47)&gt;=2.5,"NO CUMPLE CON DS T°C DEL SHELTER"," CUMPLE CON DS T°C DEL SHELTER")</f>
        <v xml:space="preserve"> CUMPLE CON DS T°C DEL SHELTER</v>
      </c>
      <c r="D48" s="182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'FOM303-32-Imprimir'!C29</f>
        <v>46041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'FOM303-32-Imprimir'!E29</f>
        <v>46041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21.83</v>
      </c>
      <c r="D21" s="167">
        <v>21.83</v>
      </c>
    </row>
    <row r="22" spans="2:7" ht="18.75" x14ac:dyDescent="0.25">
      <c r="B22" s="47">
        <v>1</v>
      </c>
      <c r="C22" s="167">
        <v>23.212</v>
      </c>
      <c r="D22" s="167">
        <v>23.212</v>
      </c>
    </row>
    <row r="23" spans="2:7" ht="18.75" x14ac:dyDescent="0.25">
      <c r="B23" s="47">
        <v>2</v>
      </c>
      <c r="C23" s="167">
        <v>23.402999999999999</v>
      </c>
      <c r="D23" s="167">
        <v>23.402999999999999</v>
      </c>
    </row>
    <row r="24" spans="2:7" ht="18.75" x14ac:dyDescent="0.25">
      <c r="B24" s="47">
        <v>3</v>
      </c>
      <c r="C24" s="167">
        <v>22.631</v>
      </c>
      <c r="D24" s="167">
        <v>22.631</v>
      </c>
    </row>
    <row r="25" spans="2:7" ht="18.75" x14ac:dyDescent="0.25">
      <c r="B25" s="47">
        <v>4</v>
      </c>
      <c r="C25" s="167">
        <v>21.855</v>
      </c>
      <c r="D25" s="167">
        <v>21.855</v>
      </c>
    </row>
    <row r="26" spans="2:7" ht="18.75" x14ac:dyDescent="0.25">
      <c r="B26" s="47">
        <v>5</v>
      </c>
      <c r="C26" s="167">
        <v>22.370999999999999</v>
      </c>
      <c r="D26" s="167">
        <v>22.370999999999999</v>
      </c>
    </row>
    <row r="27" spans="2:7" ht="18.75" x14ac:dyDescent="0.25">
      <c r="B27" s="47">
        <v>6</v>
      </c>
      <c r="C27" s="167">
        <v>22.762</v>
      </c>
      <c r="D27" s="167">
        <v>22.762</v>
      </c>
    </row>
    <row r="28" spans="2:7" ht="18.75" x14ac:dyDescent="0.25">
      <c r="B28" s="47">
        <v>7</v>
      </c>
      <c r="C28" s="167">
        <v>23.471</v>
      </c>
      <c r="D28" s="167">
        <v>23.471</v>
      </c>
    </row>
    <row r="29" spans="2:7" ht="18.75" x14ac:dyDescent="0.25">
      <c r="B29" s="47">
        <v>8</v>
      </c>
      <c r="C29" s="167">
        <v>21.427</v>
      </c>
      <c r="D29" s="167">
        <v>21.427</v>
      </c>
    </row>
    <row r="30" spans="2:7" ht="18.75" x14ac:dyDescent="0.25">
      <c r="B30" s="47">
        <v>9</v>
      </c>
      <c r="C30" s="167">
        <v>24.238</v>
      </c>
      <c r="D30" s="167">
        <v>24.238</v>
      </c>
    </row>
    <row r="31" spans="2:7" ht="18.75" x14ac:dyDescent="0.25">
      <c r="B31" s="47">
        <v>10</v>
      </c>
      <c r="C31" s="167">
        <v>23.792999999999999</v>
      </c>
      <c r="D31" s="167">
        <v>23.792999999999999</v>
      </c>
    </row>
    <row r="32" spans="2:7" ht="18.75" x14ac:dyDescent="0.25">
      <c r="B32" s="47">
        <v>11</v>
      </c>
      <c r="C32" s="167">
        <v>23.687999999999999</v>
      </c>
      <c r="D32" s="167">
        <v>23.687999999999999</v>
      </c>
    </row>
    <row r="33" spans="2:4" ht="18.75" x14ac:dyDescent="0.25">
      <c r="B33" s="47">
        <v>12</v>
      </c>
      <c r="C33" s="167">
        <v>23.943000000000001</v>
      </c>
      <c r="D33" s="167">
        <v>23.943000000000001</v>
      </c>
    </row>
    <row r="34" spans="2:4" ht="18.75" x14ac:dyDescent="0.25">
      <c r="B34" s="47">
        <v>13</v>
      </c>
      <c r="C34" s="167">
        <v>23.983000000000001</v>
      </c>
      <c r="D34" s="167">
        <v>23.983000000000001</v>
      </c>
    </row>
    <row r="35" spans="2:4" ht="18.75" x14ac:dyDescent="0.25">
      <c r="B35" s="47">
        <v>14</v>
      </c>
      <c r="C35" s="167">
        <v>23.786999999999999</v>
      </c>
      <c r="D35" s="167">
        <v>23.786999999999999</v>
      </c>
    </row>
    <row r="36" spans="2:4" ht="18.75" x14ac:dyDescent="0.25">
      <c r="B36" s="47">
        <v>15</v>
      </c>
      <c r="C36" s="167">
        <v>21.477</v>
      </c>
      <c r="D36" s="167">
        <v>21.477</v>
      </c>
    </row>
    <row r="37" spans="2:4" ht="18.75" x14ac:dyDescent="0.25">
      <c r="B37" s="47">
        <v>16</v>
      </c>
      <c r="C37" s="167">
        <v>20.725000000000001</v>
      </c>
      <c r="D37" s="167">
        <v>20.725000000000001</v>
      </c>
    </row>
    <row r="38" spans="2:4" ht="18.75" x14ac:dyDescent="0.25">
      <c r="B38" s="47">
        <v>17</v>
      </c>
      <c r="C38" s="167">
        <v>22.625</v>
      </c>
      <c r="D38" s="167">
        <v>22.625</v>
      </c>
    </row>
    <row r="39" spans="2:4" ht="18.75" x14ac:dyDescent="0.25">
      <c r="B39" s="47">
        <v>18</v>
      </c>
      <c r="C39" s="167">
        <v>23.56</v>
      </c>
      <c r="D39" s="167">
        <v>23.56</v>
      </c>
    </row>
    <row r="40" spans="2:4" ht="18.75" x14ac:dyDescent="0.25">
      <c r="B40" s="47">
        <v>19</v>
      </c>
      <c r="C40" s="167">
        <v>23.3</v>
      </c>
      <c r="D40" s="167">
        <v>23.3</v>
      </c>
    </row>
    <row r="41" spans="2:4" ht="18.75" x14ac:dyDescent="0.25">
      <c r="B41" s="47">
        <v>20</v>
      </c>
      <c r="C41" s="167">
        <v>23.199000000000002</v>
      </c>
      <c r="D41" s="167">
        <v>23.199000000000002</v>
      </c>
    </row>
    <row r="42" spans="2:4" ht="18.75" x14ac:dyDescent="0.25">
      <c r="B42" s="47">
        <v>21</v>
      </c>
      <c r="C42" s="167">
        <v>23.157</v>
      </c>
      <c r="D42" s="167">
        <v>23.157</v>
      </c>
    </row>
    <row r="43" spans="2:4" ht="18.75" x14ac:dyDescent="0.25">
      <c r="B43" s="47">
        <v>22</v>
      </c>
      <c r="C43" s="167">
        <v>22.734000000000002</v>
      </c>
      <c r="D43" s="167">
        <v>22.734000000000002</v>
      </c>
    </row>
    <row r="44" spans="2:4" ht="18.75" x14ac:dyDescent="0.25">
      <c r="B44" s="47">
        <v>23</v>
      </c>
      <c r="C44" s="167">
        <v>22.064</v>
      </c>
      <c r="D44" s="167">
        <v>22.064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22.930652173913042</v>
      </c>
      <c r="D46" s="170"/>
    </row>
    <row r="47" spans="2:4" ht="31.5" x14ac:dyDescent="0.25">
      <c r="B47" s="50" t="s">
        <v>47</v>
      </c>
      <c r="C47" s="49">
        <f>_xlfn.STDEV.S(C21:C45)</f>
        <v>0.93282105927299264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'FOM303-32-Imprimir'!C30</f>
        <v>46042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'FOM303-32-Imprimir'!E30</f>
        <v>46042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23.425999999999998</v>
      </c>
      <c r="D21" s="167">
        <v>23.425999999999998</v>
      </c>
    </row>
    <row r="22" spans="2:7" ht="18.75" x14ac:dyDescent="0.25">
      <c r="B22" s="47">
        <v>1</v>
      </c>
      <c r="C22" s="167">
        <v>23.288</v>
      </c>
      <c r="D22" s="167">
        <v>23.288</v>
      </c>
    </row>
    <row r="23" spans="2:7" ht="18.75" x14ac:dyDescent="0.25">
      <c r="B23" s="47">
        <v>2</v>
      </c>
      <c r="C23" s="167">
        <v>21.71</v>
      </c>
      <c r="D23" s="167">
        <v>21.71</v>
      </c>
    </row>
    <row r="24" spans="2:7" ht="18.75" x14ac:dyDescent="0.25">
      <c r="B24" s="47">
        <v>3</v>
      </c>
      <c r="C24" s="167">
        <v>23.466000000000001</v>
      </c>
      <c r="D24" s="167">
        <v>23.466000000000001</v>
      </c>
    </row>
    <row r="25" spans="2:7" ht="18.75" x14ac:dyDescent="0.25">
      <c r="B25" s="47">
        <v>4</v>
      </c>
      <c r="C25" s="167">
        <v>22.49</v>
      </c>
      <c r="D25" s="167">
        <v>22.49</v>
      </c>
    </row>
    <row r="26" spans="2:7" ht="18.75" x14ac:dyDescent="0.25">
      <c r="B26" s="47">
        <v>5</v>
      </c>
      <c r="C26" s="167">
        <v>22.917999999999999</v>
      </c>
      <c r="D26" s="167">
        <v>22.917999999999999</v>
      </c>
    </row>
    <row r="27" spans="2:7" ht="18.75" x14ac:dyDescent="0.25">
      <c r="B27" s="47">
        <v>6</v>
      </c>
      <c r="C27" s="167">
        <v>22.15</v>
      </c>
      <c r="D27" s="167">
        <v>22.15</v>
      </c>
    </row>
    <row r="28" spans="2:7" ht="18.75" x14ac:dyDescent="0.25">
      <c r="B28" s="47">
        <v>7</v>
      </c>
      <c r="C28" s="167">
        <v>22.623999999999999</v>
      </c>
      <c r="D28" s="167">
        <v>22.623999999999999</v>
      </c>
    </row>
    <row r="29" spans="2:7" ht="18.75" x14ac:dyDescent="0.25">
      <c r="B29" s="47">
        <v>8</v>
      </c>
      <c r="C29" s="167">
        <v>21.762</v>
      </c>
      <c r="D29" s="167">
        <v>21.762</v>
      </c>
    </row>
    <row r="30" spans="2:7" ht="18.75" x14ac:dyDescent="0.25">
      <c r="B30" s="47">
        <v>9</v>
      </c>
      <c r="C30" s="167">
        <v>23.841000000000001</v>
      </c>
      <c r="D30" s="167">
        <v>23.841000000000001</v>
      </c>
    </row>
    <row r="31" spans="2:7" ht="18.75" x14ac:dyDescent="0.25">
      <c r="B31" s="47">
        <v>10</v>
      </c>
      <c r="C31" s="167">
        <v>23.96</v>
      </c>
      <c r="D31" s="167">
        <v>23.96</v>
      </c>
    </row>
    <row r="32" spans="2:7" ht="18.75" x14ac:dyDescent="0.25">
      <c r="B32" s="47">
        <v>11</v>
      </c>
      <c r="C32" s="167">
        <v>23.863</v>
      </c>
      <c r="D32" s="167">
        <v>23.863</v>
      </c>
    </row>
    <row r="33" spans="2:4" ht="18.75" x14ac:dyDescent="0.25">
      <c r="B33" s="47">
        <v>12</v>
      </c>
      <c r="C33" s="167">
        <v>24.04</v>
      </c>
      <c r="D33" s="167">
        <v>24.04</v>
      </c>
    </row>
    <row r="34" spans="2:4" ht="18.75" x14ac:dyDescent="0.25">
      <c r="B34" s="47">
        <v>13</v>
      </c>
      <c r="C34" s="167">
        <v>23.696000000000002</v>
      </c>
      <c r="D34" s="167">
        <v>23.696000000000002</v>
      </c>
    </row>
    <row r="35" spans="2:4" ht="18.75" x14ac:dyDescent="0.25">
      <c r="B35" s="47">
        <v>14</v>
      </c>
      <c r="C35" s="167">
        <v>22.763999999999999</v>
      </c>
      <c r="D35" s="167">
        <v>22.763999999999999</v>
      </c>
    </row>
    <row r="36" spans="2:4" ht="18.75" x14ac:dyDescent="0.25">
      <c r="B36" s="47">
        <v>15</v>
      </c>
      <c r="C36" s="167">
        <v>22.995999999999999</v>
      </c>
      <c r="D36" s="167">
        <v>22.995999999999999</v>
      </c>
    </row>
    <row r="37" spans="2:4" ht="18.75" x14ac:dyDescent="0.25">
      <c r="B37" s="47">
        <v>16</v>
      </c>
      <c r="C37" s="167">
        <v>22.303000000000001</v>
      </c>
      <c r="D37" s="167">
        <v>22.303000000000001</v>
      </c>
    </row>
    <row r="38" spans="2:4" ht="18.75" x14ac:dyDescent="0.25">
      <c r="B38" s="47">
        <v>17</v>
      </c>
      <c r="C38" s="167">
        <v>21.73</v>
      </c>
      <c r="D38" s="167">
        <v>21.73</v>
      </c>
    </row>
    <row r="39" spans="2:4" ht="18.75" x14ac:dyDescent="0.25">
      <c r="B39" s="47">
        <v>18</v>
      </c>
      <c r="C39" s="167">
        <v>22.738</v>
      </c>
      <c r="D39" s="167">
        <v>22.738</v>
      </c>
    </row>
    <row r="40" spans="2:4" ht="18.75" x14ac:dyDescent="0.25">
      <c r="B40" s="47">
        <v>19</v>
      </c>
      <c r="C40" s="167">
        <v>23.542000000000002</v>
      </c>
      <c r="D40" s="167">
        <v>23.542000000000002</v>
      </c>
    </row>
    <row r="41" spans="2:4" ht="18.75" x14ac:dyDescent="0.25">
      <c r="B41" s="47">
        <v>20</v>
      </c>
      <c r="C41" s="167">
        <v>23.452999999999999</v>
      </c>
      <c r="D41" s="167">
        <v>23.452999999999999</v>
      </c>
    </row>
    <row r="42" spans="2:4" ht="18.75" x14ac:dyDescent="0.25">
      <c r="B42" s="47">
        <v>21</v>
      </c>
      <c r="C42" s="167">
        <v>23.373000000000001</v>
      </c>
      <c r="D42" s="167">
        <v>23.373000000000001</v>
      </c>
    </row>
    <row r="43" spans="2:4" ht="18.75" x14ac:dyDescent="0.25">
      <c r="B43" s="47">
        <v>22</v>
      </c>
      <c r="C43" s="167">
        <v>23.376000000000001</v>
      </c>
      <c r="D43" s="167">
        <v>23.376000000000001</v>
      </c>
    </row>
    <row r="44" spans="2:4" ht="18.75" x14ac:dyDescent="0.25">
      <c r="B44" s="47">
        <v>23</v>
      </c>
      <c r="C44" s="167">
        <v>23.382000000000001</v>
      </c>
      <c r="D44" s="167">
        <v>23.382000000000001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23.02021739130435</v>
      </c>
      <c r="D46" s="170"/>
    </row>
    <row r="47" spans="2:4" ht="31.5" x14ac:dyDescent="0.25">
      <c r="B47" s="50" t="s">
        <v>47</v>
      </c>
      <c r="C47" s="49">
        <f>_xlfn.STDEV.S(C21:C45)</f>
        <v>0.71821259493393685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'FOM303-32-Imprimir'!C31</f>
        <v>46043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'FOM303-32-Imprimir'!E31</f>
        <v>46043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23.268999999999998</v>
      </c>
      <c r="D21" s="167">
        <v>23.268999999999998</v>
      </c>
    </row>
    <row r="22" spans="2:7" ht="18.75" x14ac:dyDescent="0.25">
      <c r="B22" s="47">
        <v>1</v>
      </c>
      <c r="C22" s="167">
        <v>23.172999999999998</v>
      </c>
      <c r="D22" s="167">
        <v>23.172999999999998</v>
      </c>
    </row>
    <row r="23" spans="2:7" ht="18.75" x14ac:dyDescent="0.25">
      <c r="B23" s="47">
        <v>2</v>
      </c>
      <c r="C23" s="167">
        <v>22.661000000000001</v>
      </c>
      <c r="D23" s="167">
        <v>22.661000000000001</v>
      </c>
    </row>
    <row r="24" spans="2:7" ht="18.75" x14ac:dyDescent="0.25">
      <c r="B24" s="47">
        <v>3</v>
      </c>
      <c r="C24" s="167">
        <v>23.042000000000002</v>
      </c>
      <c r="D24" s="167">
        <v>23.042000000000002</v>
      </c>
    </row>
    <row r="25" spans="2:7" ht="18.75" x14ac:dyDescent="0.25">
      <c r="B25" s="47">
        <v>4</v>
      </c>
      <c r="C25" s="167">
        <v>23.102</v>
      </c>
      <c r="D25" s="167">
        <v>23.102</v>
      </c>
    </row>
    <row r="26" spans="2:7" ht="18.75" x14ac:dyDescent="0.25">
      <c r="B26" s="47">
        <v>5</v>
      </c>
      <c r="C26" s="167">
        <v>23.555</v>
      </c>
      <c r="D26" s="167">
        <v>23.555</v>
      </c>
    </row>
    <row r="27" spans="2:7" ht="18.75" x14ac:dyDescent="0.25">
      <c r="B27" s="47">
        <v>6</v>
      </c>
      <c r="C27" s="167">
        <v>22.419</v>
      </c>
      <c r="D27" s="167">
        <v>22.419</v>
      </c>
    </row>
    <row r="28" spans="2:7" ht="18.75" x14ac:dyDescent="0.25">
      <c r="B28" s="47">
        <v>7</v>
      </c>
      <c r="C28" s="167">
        <v>23.001999999999999</v>
      </c>
      <c r="D28" s="167">
        <v>23.001999999999999</v>
      </c>
    </row>
    <row r="29" spans="2:7" ht="18.75" x14ac:dyDescent="0.25">
      <c r="B29" s="47">
        <v>8</v>
      </c>
      <c r="C29" s="167">
        <v>23.248000000000001</v>
      </c>
      <c r="D29" s="167">
        <v>23.248000000000001</v>
      </c>
    </row>
    <row r="30" spans="2:7" ht="18.75" x14ac:dyDescent="0.25">
      <c r="B30" s="47">
        <v>9</v>
      </c>
      <c r="C30" s="167">
        <v>23.079000000000001</v>
      </c>
      <c r="D30" s="167">
        <v>23.079000000000001</v>
      </c>
    </row>
    <row r="31" spans="2:7" ht="18.75" x14ac:dyDescent="0.25">
      <c r="B31" s="47">
        <v>10</v>
      </c>
      <c r="C31" s="167">
        <v>24.224</v>
      </c>
      <c r="D31" s="167">
        <v>24.224</v>
      </c>
    </row>
    <row r="32" spans="2:7" ht="18.75" x14ac:dyDescent="0.25">
      <c r="B32" s="47">
        <v>11</v>
      </c>
      <c r="C32" s="167">
        <v>24.16</v>
      </c>
      <c r="D32" s="167">
        <v>24.16</v>
      </c>
    </row>
    <row r="33" spans="2:4" ht="18.75" x14ac:dyDescent="0.25">
      <c r="B33" s="47">
        <v>12</v>
      </c>
      <c r="C33" s="167">
        <v>23.844999999999999</v>
      </c>
      <c r="D33" s="167">
        <v>23.844999999999999</v>
      </c>
    </row>
    <row r="34" spans="2:4" ht="18.75" x14ac:dyDescent="0.25">
      <c r="B34" s="47">
        <v>13</v>
      </c>
      <c r="C34" s="167">
        <v>23.879000000000001</v>
      </c>
      <c r="D34" s="167">
        <v>23.879000000000001</v>
      </c>
    </row>
    <row r="35" spans="2:4" ht="18.75" x14ac:dyDescent="0.25">
      <c r="B35" s="47">
        <v>14</v>
      </c>
      <c r="C35" s="167">
        <v>23.652000000000001</v>
      </c>
      <c r="D35" s="167">
        <v>23.652000000000001</v>
      </c>
    </row>
    <row r="36" spans="2:4" ht="18.75" x14ac:dyDescent="0.25">
      <c r="B36" s="47">
        <v>15</v>
      </c>
      <c r="C36" s="167">
        <v>24.379000000000001</v>
      </c>
      <c r="D36" s="167">
        <v>24.379000000000001</v>
      </c>
    </row>
    <row r="37" spans="2:4" ht="18.75" x14ac:dyDescent="0.25">
      <c r="B37" s="47">
        <v>16</v>
      </c>
      <c r="C37" s="167">
        <v>22.927</v>
      </c>
      <c r="D37" s="167">
        <v>22.927</v>
      </c>
    </row>
    <row r="38" spans="2:4" ht="18.75" x14ac:dyDescent="0.25">
      <c r="B38" s="47">
        <v>17</v>
      </c>
      <c r="C38" s="167">
        <v>21.436</v>
      </c>
      <c r="D38" s="167">
        <v>21.436</v>
      </c>
    </row>
    <row r="39" spans="2:4" ht="18.75" x14ac:dyDescent="0.25">
      <c r="B39" s="47">
        <v>18</v>
      </c>
      <c r="C39" s="167">
        <v>23.268000000000001</v>
      </c>
      <c r="D39" s="167">
        <v>23.268000000000001</v>
      </c>
    </row>
    <row r="40" spans="2:4" ht="18.75" x14ac:dyDescent="0.25">
      <c r="B40" s="47">
        <v>19</v>
      </c>
      <c r="C40" s="167">
        <v>23.686</v>
      </c>
      <c r="D40" s="167">
        <v>23.686</v>
      </c>
    </row>
    <row r="41" spans="2:4" ht="18.75" x14ac:dyDescent="0.25">
      <c r="B41" s="47">
        <v>20</v>
      </c>
      <c r="C41" s="167">
        <v>23.556000000000001</v>
      </c>
      <c r="D41" s="167">
        <v>23.556000000000001</v>
      </c>
    </row>
    <row r="42" spans="2:4" ht="18.75" x14ac:dyDescent="0.25">
      <c r="B42" s="47">
        <v>21</v>
      </c>
      <c r="C42" s="167">
        <v>23.51</v>
      </c>
      <c r="D42" s="167">
        <v>23.51</v>
      </c>
    </row>
    <row r="43" spans="2:4" ht="18.75" x14ac:dyDescent="0.25">
      <c r="B43" s="47">
        <v>22</v>
      </c>
      <c r="C43" s="167">
        <v>23.411000000000001</v>
      </c>
      <c r="D43" s="167">
        <v>23.411000000000001</v>
      </c>
    </row>
    <row r="44" spans="2:4" ht="18.75" x14ac:dyDescent="0.25">
      <c r="B44" s="47">
        <v>23</v>
      </c>
      <c r="C44" s="167">
        <v>23.286000000000001</v>
      </c>
      <c r="D44" s="167">
        <v>23.286000000000001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23.326086956521738</v>
      </c>
      <c r="D46" s="170"/>
    </row>
    <row r="47" spans="2:4" ht="31.5" x14ac:dyDescent="0.25">
      <c r="B47" s="50" t="s">
        <v>47</v>
      </c>
      <c r="C47" s="49">
        <f>_xlfn.STDEV.S(C21:C45)</f>
        <v>0.6220166696470768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'FOM303-32-Imprimir'!C32</f>
        <v>46044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'FOM303-32-Imprimir'!E32</f>
        <v>46044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23.315000000000001</v>
      </c>
      <c r="D21" s="167">
        <v>23.315000000000001</v>
      </c>
    </row>
    <row r="22" spans="2:7" ht="18.75" x14ac:dyDescent="0.25">
      <c r="B22" s="47">
        <v>1</v>
      </c>
      <c r="C22" s="167">
        <v>21.876999999999999</v>
      </c>
      <c r="D22" s="167">
        <v>21.876999999999999</v>
      </c>
    </row>
    <row r="23" spans="2:7" ht="18.75" x14ac:dyDescent="0.25">
      <c r="B23" s="47">
        <v>2</v>
      </c>
      <c r="C23" s="167">
        <v>23.646999999999998</v>
      </c>
      <c r="D23" s="167">
        <v>23.646999999999998</v>
      </c>
    </row>
    <row r="24" spans="2:7" ht="18.75" x14ac:dyDescent="0.25">
      <c r="B24" s="47">
        <v>3</v>
      </c>
      <c r="C24" s="167">
        <v>23.353999999999999</v>
      </c>
      <c r="D24" s="167">
        <v>23.353999999999999</v>
      </c>
    </row>
    <row r="25" spans="2:7" ht="18.75" x14ac:dyDescent="0.25">
      <c r="B25" s="47">
        <v>4</v>
      </c>
      <c r="C25" s="167">
        <v>22.007999999999999</v>
      </c>
      <c r="D25" s="167">
        <v>22.007999999999999</v>
      </c>
    </row>
    <row r="26" spans="2:7" ht="18.75" x14ac:dyDescent="0.25">
      <c r="B26" s="47">
        <v>5</v>
      </c>
      <c r="C26" s="167">
        <v>23.475999999999999</v>
      </c>
      <c r="D26" s="167">
        <v>23.475999999999999</v>
      </c>
    </row>
    <row r="27" spans="2:7" ht="18.75" x14ac:dyDescent="0.25">
      <c r="B27" s="47">
        <v>6</v>
      </c>
      <c r="C27" s="167">
        <v>22.626000000000001</v>
      </c>
      <c r="D27" s="167">
        <v>22.626000000000001</v>
      </c>
    </row>
    <row r="28" spans="2:7" ht="18.75" x14ac:dyDescent="0.25">
      <c r="B28" s="47">
        <v>7</v>
      </c>
      <c r="C28" s="167">
        <v>23.193999999999999</v>
      </c>
      <c r="D28" s="167">
        <v>23.193999999999999</v>
      </c>
    </row>
    <row r="29" spans="2:7" ht="18.75" x14ac:dyDescent="0.25">
      <c r="B29" s="47">
        <v>8</v>
      </c>
      <c r="C29" s="167">
        <v>23.734999999999999</v>
      </c>
      <c r="D29" s="167">
        <v>23.734999999999999</v>
      </c>
    </row>
    <row r="30" spans="2:7" ht="18.75" x14ac:dyDescent="0.25">
      <c r="B30" s="47">
        <v>9</v>
      </c>
      <c r="C30" s="167">
        <v>22.338000000000001</v>
      </c>
      <c r="D30" s="167">
        <v>22.338000000000001</v>
      </c>
    </row>
    <row r="31" spans="2:7" ht="18.75" x14ac:dyDescent="0.25">
      <c r="B31" s="47">
        <v>10</v>
      </c>
      <c r="C31" s="167">
        <v>23.09</v>
      </c>
      <c r="D31" s="167">
        <v>23.09</v>
      </c>
    </row>
    <row r="32" spans="2:7" ht="18.75" x14ac:dyDescent="0.25">
      <c r="B32" s="47">
        <v>11</v>
      </c>
      <c r="C32" s="167">
        <v>24.265999999999998</v>
      </c>
      <c r="D32" s="167">
        <v>24.265999999999998</v>
      </c>
    </row>
    <row r="33" spans="2:4" ht="18.75" x14ac:dyDescent="0.25">
      <c r="B33" s="47">
        <v>12</v>
      </c>
      <c r="C33" s="167">
        <v>22.870999999999999</v>
      </c>
      <c r="D33" s="167">
        <v>22.870999999999999</v>
      </c>
    </row>
    <row r="34" spans="2:4" ht="18.75" x14ac:dyDescent="0.25">
      <c r="B34" s="47">
        <v>13</v>
      </c>
      <c r="C34" s="167">
        <v>23.128</v>
      </c>
      <c r="D34" s="167">
        <v>23.128</v>
      </c>
    </row>
    <row r="35" spans="2:4" ht="18.75" x14ac:dyDescent="0.25">
      <c r="B35" s="47">
        <v>14</v>
      </c>
      <c r="C35" s="167">
        <v>23.753</v>
      </c>
      <c r="D35" s="167">
        <v>23.753</v>
      </c>
    </row>
    <row r="36" spans="2:4" ht="18.75" x14ac:dyDescent="0.25">
      <c r="B36" s="47">
        <v>15</v>
      </c>
      <c r="C36" s="167">
        <v>23.088999999999999</v>
      </c>
      <c r="D36" s="167">
        <v>23.088999999999999</v>
      </c>
    </row>
    <row r="37" spans="2:4" ht="18.75" x14ac:dyDescent="0.25">
      <c r="B37" s="47">
        <v>16</v>
      </c>
      <c r="C37" s="167">
        <v>23.012</v>
      </c>
      <c r="D37" s="167">
        <v>23.012</v>
      </c>
    </row>
    <row r="38" spans="2:4" ht="18.75" x14ac:dyDescent="0.25">
      <c r="B38" s="47">
        <v>17</v>
      </c>
      <c r="C38" s="167">
        <v>22.488</v>
      </c>
      <c r="D38" s="167">
        <v>22.488</v>
      </c>
    </row>
    <row r="39" spans="2:4" ht="18.75" x14ac:dyDescent="0.25">
      <c r="B39" s="47">
        <v>18</v>
      </c>
      <c r="C39" s="167">
        <v>23.068000000000001</v>
      </c>
      <c r="D39" s="167">
        <v>23.068000000000001</v>
      </c>
    </row>
    <row r="40" spans="2:4" ht="18.75" x14ac:dyDescent="0.25">
      <c r="B40" s="47">
        <v>19</v>
      </c>
      <c r="C40" s="167">
        <v>23.652000000000001</v>
      </c>
      <c r="D40" s="167">
        <v>23.652000000000001</v>
      </c>
    </row>
    <row r="41" spans="2:4" ht="18.75" x14ac:dyDescent="0.25">
      <c r="B41" s="47">
        <v>20</v>
      </c>
      <c r="C41" s="167">
        <v>23.65</v>
      </c>
      <c r="D41" s="167">
        <v>23.65</v>
      </c>
    </row>
    <row r="42" spans="2:4" ht="18.75" x14ac:dyDescent="0.25">
      <c r="B42" s="47">
        <v>21</v>
      </c>
      <c r="C42" s="167">
        <v>23.151</v>
      </c>
      <c r="D42" s="167">
        <v>23.151</v>
      </c>
    </row>
    <row r="43" spans="2:4" ht="18.75" x14ac:dyDescent="0.25">
      <c r="B43" s="47">
        <v>22</v>
      </c>
      <c r="C43" s="167">
        <v>20.826000000000001</v>
      </c>
      <c r="D43" s="167">
        <v>20.826000000000001</v>
      </c>
    </row>
    <row r="44" spans="2:4" ht="18.75" x14ac:dyDescent="0.25">
      <c r="B44" s="47">
        <v>23</v>
      </c>
      <c r="C44" s="167">
        <v>21.881</v>
      </c>
      <c r="D44" s="167">
        <v>21.881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22.964347826086954</v>
      </c>
      <c r="D46" s="170"/>
    </row>
    <row r="47" spans="2:4" ht="31.5" x14ac:dyDescent="0.25">
      <c r="B47" s="50" t="s">
        <v>47</v>
      </c>
      <c r="C47" s="49">
        <f>_xlfn.STDEV.S(C21:C45)</f>
        <v>0.76881724402496621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B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'FOM303-32-Imprimir'!C33</f>
        <v>46045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'FOM303-32-Imprimir'!E33</f>
        <v>46045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22.715</v>
      </c>
      <c r="D21" s="167">
        <v>22.715</v>
      </c>
    </row>
    <row r="22" spans="2:7" ht="18.75" x14ac:dyDescent="0.25">
      <c r="B22" s="47">
        <v>1</v>
      </c>
      <c r="C22" s="167">
        <v>22.748999999999999</v>
      </c>
      <c r="D22" s="167">
        <v>22.748999999999999</v>
      </c>
    </row>
    <row r="23" spans="2:7" ht="18.75" x14ac:dyDescent="0.25">
      <c r="B23" s="47">
        <v>2</v>
      </c>
      <c r="C23" s="167">
        <v>22.109000000000002</v>
      </c>
      <c r="D23" s="167">
        <v>22.109000000000002</v>
      </c>
    </row>
    <row r="24" spans="2:7" ht="18.75" x14ac:dyDescent="0.25">
      <c r="B24" s="47">
        <v>3</v>
      </c>
      <c r="C24" s="167">
        <v>23.706</v>
      </c>
      <c r="D24" s="167">
        <v>23.706</v>
      </c>
    </row>
    <row r="25" spans="2:7" ht="18.75" x14ac:dyDescent="0.25">
      <c r="B25" s="47">
        <v>4</v>
      </c>
      <c r="C25" s="167">
        <v>23.452999999999999</v>
      </c>
      <c r="D25" s="167">
        <v>23.452999999999999</v>
      </c>
    </row>
    <row r="26" spans="2:7" ht="18.75" x14ac:dyDescent="0.25">
      <c r="B26" s="47">
        <v>5</v>
      </c>
      <c r="C26" s="167">
        <v>23.222000000000001</v>
      </c>
      <c r="D26" s="167">
        <v>23.222000000000001</v>
      </c>
    </row>
    <row r="27" spans="2:7" ht="18.75" x14ac:dyDescent="0.25">
      <c r="B27" s="47">
        <v>6</v>
      </c>
      <c r="C27" s="167">
        <v>23.033000000000001</v>
      </c>
      <c r="D27" s="167">
        <v>23.033000000000001</v>
      </c>
    </row>
    <row r="28" spans="2:7" ht="18.75" x14ac:dyDescent="0.25">
      <c r="B28" s="47">
        <v>7</v>
      </c>
      <c r="C28" s="167">
        <v>22.302</v>
      </c>
      <c r="D28" s="167">
        <v>22.302</v>
      </c>
    </row>
    <row r="29" spans="2:7" ht="18.75" x14ac:dyDescent="0.25">
      <c r="B29" s="47">
        <v>8</v>
      </c>
      <c r="C29" s="167">
        <v>21.925999999999998</v>
      </c>
      <c r="D29" s="167">
        <v>21.925999999999998</v>
      </c>
    </row>
    <row r="30" spans="2:7" ht="18.75" x14ac:dyDescent="0.25">
      <c r="B30" s="47">
        <v>9</v>
      </c>
      <c r="C30" s="167">
        <v>21.02</v>
      </c>
      <c r="D30" s="167">
        <v>21.02</v>
      </c>
    </row>
    <row r="31" spans="2:7" ht="18.75" x14ac:dyDescent="0.25">
      <c r="B31" s="47">
        <v>10</v>
      </c>
      <c r="C31" s="167">
        <v>20.632999999999999</v>
      </c>
      <c r="D31" s="167">
        <v>20.632999999999999</v>
      </c>
    </row>
    <row r="32" spans="2:7" ht="18.75" x14ac:dyDescent="0.25">
      <c r="B32" s="47">
        <v>11</v>
      </c>
      <c r="C32" s="167">
        <v>20.434999999999999</v>
      </c>
      <c r="D32" s="167">
        <v>20.434999999999999</v>
      </c>
    </row>
    <row r="33" spans="2:4" ht="18.75" x14ac:dyDescent="0.25">
      <c r="B33" s="47">
        <v>12</v>
      </c>
      <c r="C33" s="167">
        <v>21.556000000000001</v>
      </c>
      <c r="D33" s="167">
        <v>21.556000000000001</v>
      </c>
    </row>
    <row r="34" spans="2:4" ht="18.75" x14ac:dyDescent="0.25">
      <c r="B34" s="47">
        <v>13</v>
      </c>
      <c r="C34" s="167">
        <v>21.472999999999999</v>
      </c>
      <c r="D34" s="167">
        <v>21.472999999999999</v>
      </c>
    </row>
    <row r="35" spans="2:4" ht="18.75" x14ac:dyDescent="0.25">
      <c r="B35" s="47">
        <v>14</v>
      </c>
      <c r="C35" s="167">
        <v>21.408000000000001</v>
      </c>
      <c r="D35" s="167">
        <v>21.408000000000001</v>
      </c>
    </row>
    <row r="36" spans="2:4" ht="18.75" x14ac:dyDescent="0.25">
      <c r="B36" s="47">
        <v>15</v>
      </c>
      <c r="C36" s="167">
        <v>22.661999999999999</v>
      </c>
      <c r="D36" s="167">
        <v>22.661999999999999</v>
      </c>
    </row>
    <row r="37" spans="2:4" ht="18.75" x14ac:dyDescent="0.25">
      <c r="B37" s="47">
        <v>16</v>
      </c>
      <c r="C37" s="167">
        <v>23.189</v>
      </c>
      <c r="D37" s="167">
        <v>23.189</v>
      </c>
    </row>
    <row r="38" spans="2:4" ht="18.75" x14ac:dyDescent="0.25">
      <c r="B38" s="47">
        <v>17</v>
      </c>
      <c r="C38" s="167">
        <v>22.513000000000002</v>
      </c>
      <c r="D38" s="167">
        <v>22.513000000000002</v>
      </c>
    </row>
    <row r="39" spans="2:4" ht="18.75" x14ac:dyDescent="0.25">
      <c r="B39" s="47">
        <v>18</v>
      </c>
      <c r="C39" s="167">
        <v>23.021000000000001</v>
      </c>
      <c r="D39" s="167">
        <v>23.021000000000001</v>
      </c>
    </row>
    <row r="40" spans="2:4" ht="18.75" x14ac:dyDescent="0.25">
      <c r="B40" s="47">
        <v>19</v>
      </c>
      <c r="C40" s="167">
        <v>23.738</v>
      </c>
      <c r="D40" s="167">
        <v>23.738</v>
      </c>
    </row>
    <row r="41" spans="2:4" ht="18.75" x14ac:dyDescent="0.25">
      <c r="B41" s="47">
        <v>20</v>
      </c>
      <c r="C41" s="167">
        <v>23.673999999999999</v>
      </c>
      <c r="D41" s="167">
        <v>23.673999999999999</v>
      </c>
    </row>
    <row r="42" spans="2:4" ht="18.75" x14ac:dyDescent="0.25">
      <c r="B42" s="47">
        <v>21</v>
      </c>
      <c r="C42" s="167">
        <v>23.18</v>
      </c>
      <c r="D42" s="167">
        <v>23.18</v>
      </c>
    </row>
    <row r="43" spans="2:4" ht="18.75" x14ac:dyDescent="0.25">
      <c r="B43" s="47">
        <v>22</v>
      </c>
      <c r="C43" s="167">
        <v>21.446999999999999</v>
      </c>
      <c r="D43" s="167">
        <v>21.446999999999999</v>
      </c>
    </row>
    <row r="44" spans="2:4" ht="18.75" x14ac:dyDescent="0.25">
      <c r="B44" s="47">
        <v>23</v>
      </c>
      <c r="C44" s="167">
        <v>21.263999999999999</v>
      </c>
      <c r="D44" s="167">
        <v>21.263999999999999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22.335347826086956</v>
      </c>
      <c r="D46" s="170"/>
    </row>
    <row r="47" spans="2:4" ht="31.5" x14ac:dyDescent="0.25">
      <c r="B47" s="50" t="s">
        <v>47</v>
      </c>
      <c r="C47" s="49">
        <f>_xlfn.STDEV.S(C21:C45)</f>
        <v>1.0027617371286539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B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'FOM303-32-Imprimir'!C34</f>
        <v>46046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'FOM303-32-Imprimir'!E34</f>
        <v>46046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22.605</v>
      </c>
      <c r="D21" s="167">
        <v>22.605</v>
      </c>
    </row>
    <row r="22" spans="2:7" ht="18.75" x14ac:dyDescent="0.25">
      <c r="B22" s="47">
        <v>1</v>
      </c>
      <c r="C22" s="167">
        <v>22.710999999999999</v>
      </c>
      <c r="D22" s="167">
        <v>22.710999999999999</v>
      </c>
    </row>
    <row r="23" spans="2:7" ht="18.75" x14ac:dyDescent="0.25">
      <c r="B23" s="47">
        <v>2</v>
      </c>
      <c r="C23" s="167">
        <v>23.268000000000001</v>
      </c>
      <c r="D23" s="167">
        <v>23.268000000000001</v>
      </c>
    </row>
    <row r="24" spans="2:7" ht="18.75" x14ac:dyDescent="0.25">
      <c r="B24" s="47">
        <v>3</v>
      </c>
      <c r="C24" s="167">
        <v>22.704999999999998</v>
      </c>
      <c r="D24" s="167">
        <v>22.704999999999998</v>
      </c>
    </row>
    <row r="25" spans="2:7" ht="18.75" x14ac:dyDescent="0.25">
      <c r="B25" s="47">
        <v>4</v>
      </c>
      <c r="C25" s="167">
        <v>22.856999999999999</v>
      </c>
      <c r="D25" s="167">
        <v>22.856999999999999</v>
      </c>
    </row>
    <row r="26" spans="2:7" ht="18.75" x14ac:dyDescent="0.25">
      <c r="B26" s="47">
        <v>5</v>
      </c>
      <c r="C26" s="167">
        <v>22.042000000000002</v>
      </c>
      <c r="D26" s="167">
        <v>22.042000000000002</v>
      </c>
    </row>
    <row r="27" spans="2:7" ht="18.75" x14ac:dyDescent="0.25">
      <c r="B27" s="47">
        <v>6</v>
      </c>
      <c r="C27" s="167">
        <v>20.972000000000001</v>
      </c>
      <c r="D27" s="167">
        <v>20.972000000000001</v>
      </c>
    </row>
    <row r="28" spans="2:7" ht="18.75" x14ac:dyDescent="0.25">
      <c r="B28" s="47">
        <v>7</v>
      </c>
      <c r="C28" s="167">
        <v>20.402000000000001</v>
      </c>
      <c r="D28" s="167">
        <v>20.402000000000001</v>
      </c>
    </row>
    <row r="29" spans="2:7" ht="18.75" x14ac:dyDescent="0.25">
      <c r="B29" s="47">
        <v>8</v>
      </c>
      <c r="C29" s="167">
        <v>20.972999999999999</v>
      </c>
      <c r="D29" s="167">
        <v>20.972999999999999</v>
      </c>
    </row>
    <row r="30" spans="2:7" ht="18.75" x14ac:dyDescent="0.25">
      <c r="B30" s="47">
        <v>9</v>
      </c>
      <c r="C30" s="167">
        <v>21.548999999999999</v>
      </c>
      <c r="D30" s="167">
        <v>21.548999999999999</v>
      </c>
    </row>
    <row r="31" spans="2:7" ht="18.75" x14ac:dyDescent="0.25">
      <c r="B31" s="47">
        <v>10</v>
      </c>
      <c r="C31" s="167">
        <v>22.713999999999999</v>
      </c>
      <c r="D31" s="167">
        <v>22.713999999999999</v>
      </c>
    </row>
    <row r="32" spans="2:7" ht="18.75" x14ac:dyDescent="0.25">
      <c r="B32" s="47">
        <v>11</v>
      </c>
      <c r="C32" s="167">
        <v>22.597999999999999</v>
      </c>
      <c r="D32" s="167">
        <v>22.597999999999999</v>
      </c>
    </row>
    <row r="33" spans="2:4" ht="18.75" x14ac:dyDescent="0.25">
      <c r="B33" s="47">
        <v>12</v>
      </c>
      <c r="C33" s="167">
        <v>22.475000000000001</v>
      </c>
      <c r="D33" s="167">
        <v>22.475000000000001</v>
      </c>
    </row>
    <row r="34" spans="2:4" ht="18.75" x14ac:dyDescent="0.25">
      <c r="B34" s="47">
        <v>13</v>
      </c>
      <c r="C34" s="167">
        <v>23.875</v>
      </c>
      <c r="D34" s="167">
        <v>23.875</v>
      </c>
    </row>
    <row r="35" spans="2:4" ht="18.75" x14ac:dyDescent="0.25">
      <c r="B35" s="47">
        <v>14</v>
      </c>
      <c r="C35" s="167">
        <v>23.170999999999999</v>
      </c>
      <c r="D35" s="167">
        <v>23.170999999999999</v>
      </c>
    </row>
    <row r="36" spans="2:4" ht="18.75" x14ac:dyDescent="0.25">
      <c r="B36" s="47">
        <v>15</v>
      </c>
      <c r="C36" s="167">
        <v>23.696999999999999</v>
      </c>
      <c r="D36" s="167">
        <v>23.696999999999999</v>
      </c>
    </row>
    <row r="37" spans="2:4" ht="18.75" x14ac:dyDescent="0.25">
      <c r="B37" s="47">
        <v>16</v>
      </c>
      <c r="C37" s="167">
        <v>23.712</v>
      </c>
      <c r="D37" s="167">
        <v>23.712</v>
      </c>
    </row>
    <row r="38" spans="2:4" ht="18.75" x14ac:dyDescent="0.25">
      <c r="B38" s="47">
        <v>17</v>
      </c>
      <c r="C38" s="167">
        <v>23.129000000000001</v>
      </c>
      <c r="D38" s="167">
        <v>23.129000000000001</v>
      </c>
    </row>
    <row r="39" spans="2:4" ht="18.75" x14ac:dyDescent="0.25">
      <c r="B39" s="47">
        <v>18</v>
      </c>
      <c r="C39" s="167">
        <v>23.081</v>
      </c>
      <c r="D39" s="167">
        <v>23.081</v>
      </c>
    </row>
    <row r="40" spans="2:4" ht="18.75" x14ac:dyDescent="0.25">
      <c r="B40" s="47">
        <v>19</v>
      </c>
      <c r="C40" s="167">
        <v>23.077000000000002</v>
      </c>
      <c r="D40" s="167">
        <v>23.077000000000002</v>
      </c>
    </row>
    <row r="41" spans="2:4" ht="18.75" x14ac:dyDescent="0.25">
      <c r="B41" s="47">
        <v>20</v>
      </c>
      <c r="C41" s="167">
        <v>23.648</v>
      </c>
      <c r="D41" s="167">
        <v>23.648</v>
      </c>
    </row>
    <row r="42" spans="2:4" ht="18.75" x14ac:dyDescent="0.25">
      <c r="B42" s="47">
        <v>21</v>
      </c>
      <c r="C42" s="167">
        <v>23.175999999999998</v>
      </c>
      <c r="D42" s="167">
        <v>23.175999999999998</v>
      </c>
    </row>
    <row r="43" spans="2:4" ht="18.75" x14ac:dyDescent="0.25">
      <c r="B43" s="47">
        <v>22</v>
      </c>
      <c r="C43" s="167">
        <v>22.69</v>
      </c>
      <c r="D43" s="167">
        <v>22.69</v>
      </c>
    </row>
    <row r="44" spans="2:4" ht="18.75" x14ac:dyDescent="0.25">
      <c r="B44" s="47">
        <v>23</v>
      </c>
      <c r="C44" s="167">
        <v>21.181000000000001</v>
      </c>
      <c r="D44" s="167">
        <v>21.181000000000001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22.595782608695657</v>
      </c>
      <c r="D46" s="170"/>
    </row>
    <row r="47" spans="2:4" ht="31.5" x14ac:dyDescent="0.25">
      <c r="B47" s="50" t="s">
        <v>47</v>
      </c>
      <c r="C47" s="49">
        <f>_xlfn.STDEV.S(C21:C45)</f>
        <v>0.94846991961041993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'FOM303-32-Imprimir'!C35</f>
        <v>46047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'FOM303-32-Imprimir'!E35</f>
        <v>46047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21.79</v>
      </c>
      <c r="D21" s="167">
        <v>21.79</v>
      </c>
    </row>
    <row r="22" spans="2:7" ht="18.75" x14ac:dyDescent="0.25">
      <c r="B22" s="47">
        <v>1</v>
      </c>
      <c r="C22" s="167">
        <v>23.643999999999998</v>
      </c>
      <c r="D22" s="167">
        <v>23.643999999999998</v>
      </c>
    </row>
    <row r="23" spans="2:7" ht="18.75" x14ac:dyDescent="0.25">
      <c r="B23" s="47">
        <v>2</v>
      </c>
      <c r="C23" s="167">
        <v>23.57</v>
      </c>
      <c r="D23" s="167">
        <v>23.57</v>
      </c>
    </row>
    <row r="24" spans="2:7" ht="18.75" x14ac:dyDescent="0.25">
      <c r="B24" s="47">
        <v>3</v>
      </c>
      <c r="C24" s="167">
        <v>23.831</v>
      </c>
      <c r="D24" s="167">
        <v>23.831</v>
      </c>
    </row>
    <row r="25" spans="2:7" ht="18.75" x14ac:dyDescent="0.25">
      <c r="B25" s="47">
        <v>4</v>
      </c>
      <c r="C25" s="167">
        <v>23.789000000000001</v>
      </c>
      <c r="D25" s="167">
        <v>23.789000000000001</v>
      </c>
    </row>
    <row r="26" spans="2:7" ht="18.75" x14ac:dyDescent="0.25">
      <c r="B26" s="47">
        <v>5</v>
      </c>
      <c r="C26" s="167">
        <v>23.4</v>
      </c>
      <c r="D26" s="167">
        <v>23.4</v>
      </c>
    </row>
    <row r="27" spans="2:7" ht="18.75" x14ac:dyDescent="0.25">
      <c r="B27" s="47">
        <v>6</v>
      </c>
      <c r="C27" s="167">
        <v>22.809000000000001</v>
      </c>
      <c r="D27" s="167">
        <v>22.809000000000001</v>
      </c>
    </row>
    <row r="28" spans="2:7" ht="18.75" x14ac:dyDescent="0.25">
      <c r="B28" s="47">
        <v>7</v>
      </c>
      <c r="C28" s="167">
        <v>22.291</v>
      </c>
      <c r="D28" s="167">
        <v>22.291</v>
      </c>
    </row>
    <row r="29" spans="2:7" ht="18.75" x14ac:dyDescent="0.25">
      <c r="B29" s="47">
        <v>8</v>
      </c>
      <c r="C29" s="167">
        <v>21.821999999999999</v>
      </c>
      <c r="D29" s="167">
        <v>21.821999999999999</v>
      </c>
    </row>
    <row r="30" spans="2:7" ht="18.75" x14ac:dyDescent="0.25">
      <c r="B30" s="47">
        <v>9</v>
      </c>
      <c r="C30" s="167">
        <v>21.13</v>
      </c>
      <c r="D30" s="167">
        <v>21.13</v>
      </c>
    </row>
    <row r="31" spans="2:7" ht="18.75" x14ac:dyDescent="0.25">
      <c r="B31" s="47">
        <v>10</v>
      </c>
      <c r="C31" s="167">
        <v>20.574000000000002</v>
      </c>
      <c r="D31" s="167">
        <v>20.574000000000002</v>
      </c>
    </row>
    <row r="32" spans="2:7" ht="18.75" x14ac:dyDescent="0.25">
      <c r="B32" s="47">
        <v>11</v>
      </c>
      <c r="C32" s="167">
        <v>21.495000000000001</v>
      </c>
      <c r="D32" s="167">
        <v>21.495000000000001</v>
      </c>
    </row>
    <row r="33" spans="2:4" ht="18.75" x14ac:dyDescent="0.25">
      <c r="B33" s="47">
        <v>12</v>
      </c>
      <c r="C33" s="167">
        <v>22.123999999999999</v>
      </c>
      <c r="D33" s="167">
        <v>22.123999999999999</v>
      </c>
    </row>
    <row r="34" spans="2:4" ht="18.75" x14ac:dyDescent="0.25">
      <c r="B34" s="47">
        <v>13</v>
      </c>
      <c r="C34" s="167">
        <v>22.538</v>
      </c>
      <c r="D34" s="167">
        <v>22.538</v>
      </c>
    </row>
    <row r="35" spans="2:4" ht="18.75" x14ac:dyDescent="0.25">
      <c r="B35" s="47">
        <v>14</v>
      </c>
      <c r="C35" s="167">
        <v>23.052</v>
      </c>
      <c r="D35" s="167">
        <v>23.052</v>
      </c>
    </row>
    <row r="36" spans="2:4" ht="18.75" x14ac:dyDescent="0.25">
      <c r="B36" s="47">
        <v>15</v>
      </c>
      <c r="C36" s="167">
        <v>23.106000000000002</v>
      </c>
      <c r="D36" s="167">
        <v>23.106000000000002</v>
      </c>
    </row>
    <row r="37" spans="2:4" ht="18.75" x14ac:dyDescent="0.25">
      <c r="B37" s="47">
        <v>16</v>
      </c>
      <c r="C37" s="167">
        <v>23.657</v>
      </c>
      <c r="D37" s="167">
        <v>23.657</v>
      </c>
    </row>
    <row r="38" spans="2:4" ht="18.75" x14ac:dyDescent="0.25">
      <c r="B38" s="47">
        <v>17</v>
      </c>
      <c r="C38" s="167">
        <v>23.6</v>
      </c>
      <c r="D38" s="167">
        <v>23.6</v>
      </c>
    </row>
    <row r="39" spans="2:4" ht="18.75" x14ac:dyDescent="0.25">
      <c r="B39" s="47">
        <v>18</v>
      </c>
      <c r="C39" s="167">
        <v>23.675999999999998</v>
      </c>
      <c r="D39" s="167">
        <v>23.675999999999998</v>
      </c>
    </row>
    <row r="40" spans="2:4" ht="18.75" x14ac:dyDescent="0.25">
      <c r="B40" s="47">
        <v>19</v>
      </c>
      <c r="C40" s="167">
        <v>23.716000000000001</v>
      </c>
      <c r="D40" s="167">
        <v>23.716000000000001</v>
      </c>
    </row>
    <row r="41" spans="2:4" ht="18.75" x14ac:dyDescent="0.25">
      <c r="B41" s="47">
        <v>20</v>
      </c>
      <c r="C41" s="167">
        <v>23.013999999999999</v>
      </c>
      <c r="D41" s="167">
        <v>23.013999999999999</v>
      </c>
    </row>
    <row r="42" spans="2:4" ht="18.75" x14ac:dyDescent="0.25">
      <c r="B42" s="47">
        <v>21</v>
      </c>
      <c r="C42" s="167">
        <v>21.946000000000002</v>
      </c>
      <c r="D42" s="167">
        <v>21.946000000000002</v>
      </c>
    </row>
    <row r="43" spans="2:4" ht="18.75" x14ac:dyDescent="0.25">
      <c r="B43" s="47">
        <v>22</v>
      </c>
      <c r="C43" s="167">
        <v>22.696999999999999</v>
      </c>
      <c r="D43" s="167">
        <v>22.696999999999999</v>
      </c>
    </row>
    <row r="44" spans="2:4" ht="18.75" x14ac:dyDescent="0.25">
      <c r="B44" s="47">
        <v>23</v>
      </c>
      <c r="C44" s="167">
        <v>23.402999999999999</v>
      </c>
      <c r="D44" s="167">
        <v>23.402999999999999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22.821043478260876</v>
      </c>
      <c r="D46" s="170"/>
    </row>
    <row r="47" spans="2:4" ht="31.5" x14ac:dyDescent="0.25">
      <c r="B47" s="50" t="s">
        <v>47</v>
      </c>
      <c r="C47" s="49">
        <f>_xlfn.STDEV.S(C21:C45)</f>
        <v>0.93693551894816451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'FOM303-32-Imprimir'!C36</f>
        <v>46048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'FOM303-32-Imprimir'!E36</f>
        <v>46048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23.164999999999999</v>
      </c>
      <c r="D21" s="167">
        <v>23.164999999999999</v>
      </c>
    </row>
    <row r="22" spans="2:7" ht="18.75" x14ac:dyDescent="0.25">
      <c r="B22" s="47">
        <v>1</v>
      </c>
      <c r="C22" s="167">
        <v>23.515000000000001</v>
      </c>
      <c r="D22" s="167">
        <v>23.515000000000001</v>
      </c>
    </row>
    <row r="23" spans="2:7" ht="18.75" x14ac:dyDescent="0.25">
      <c r="B23" s="47">
        <v>2</v>
      </c>
      <c r="C23" s="167">
        <v>23.35</v>
      </c>
      <c r="D23" s="167">
        <v>23.35</v>
      </c>
    </row>
    <row r="24" spans="2:7" ht="18.75" x14ac:dyDescent="0.25">
      <c r="B24" s="47">
        <v>3</v>
      </c>
      <c r="C24" s="167">
        <v>23.725999999999999</v>
      </c>
      <c r="D24" s="167">
        <v>23.725999999999999</v>
      </c>
    </row>
    <row r="25" spans="2:7" ht="18.75" x14ac:dyDescent="0.25">
      <c r="B25" s="47">
        <v>4</v>
      </c>
      <c r="C25" s="167">
        <v>22.942</v>
      </c>
      <c r="D25" s="167">
        <v>22.942</v>
      </c>
    </row>
    <row r="26" spans="2:7" ht="18.75" x14ac:dyDescent="0.25">
      <c r="B26" s="47">
        <v>5</v>
      </c>
      <c r="C26" s="167">
        <v>22.545999999999999</v>
      </c>
      <c r="D26" s="167">
        <v>22.545999999999999</v>
      </c>
    </row>
    <row r="27" spans="2:7" ht="18.75" x14ac:dyDescent="0.25">
      <c r="B27" s="47">
        <v>6</v>
      </c>
      <c r="C27" s="167">
        <v>20.978000000000002</v>
      </c>
      <c r="D27" s="167">
        <v>20.978000000000002</v>
      </c>
    </row>
    <row r="28" spans="2:7" ht="18.75" x14ac:dyDescent="0.25">
      <c r="B28" s="47">
        <v>7</v>
      </c>
      <c r="C28" s="167">
        <v>20.609000000000002</v>
      </c>
      <c r="D28" s="167">
        <v>20.609000000000002</v>
      </c>
    </row>
    <row r="29" spans="2:7" ht="18.75" x14ac:dyDescent="0.25">
      <c r="B29" s="47">
        <v>8</v>
      </c>
      <c r="C29" s="167">
        <v>20.683</v>
      </c>
      <c r="D29" s="167">
        <v>20.683</v>
      </c>
    </row>
    <row r="30" spans="2:7" ht="18.75" x14ac:dyDescent="0.25">
      <c r="B30" s="47">
        <v>9</v>
      </c>
      <c r="C30" s="167">
        <v>21.026</v>
      </c>
      <c r="D30" s="167">
        <v>21.026</v>
      </c>
    </row>
    <row r="31" spans="2:7" ht="18.75" x14ac:dyDescent="0.25">
      <c r="B31" s="47">
        <v>10</v>
      </c>
      <c r="C31" s="167">
        <v>21.579000000000001</v>
      </c>
      <c r="D31" s="167">
        <v>21.579000000000001</v>
      </c>
    </row>
    <row r="32" spans="2:7" ht="18.75" x14ac:dyDescent="0.25">
      <c r="B32" s="47">
        <v>11</v>
      </c>
      <c r="C32" s="167">
        <v>21.382000000000001</v>
      </c>
      <c r="D32" s="167">
        <v>21.382000000000001</v>
      </c>
    </row>
    <row r="33" spans="2:4" ht="18.75" x14ac:dyDescent="0.25">
      <c r="B33" s="47">
        <v>12</v>
      </c>
      <c r="C33" s="167">
        <v>22.568999999999999</v>
      </c>
      <c r="D33" s="167">
        <v>22.568999999999999</v>
      </c>
    </row>
    <row r="34" spans="2:4" ht="18.75" x14ac:dyDescent="0.25">
      <c r="B34" s="47">
        <v>13</v>
      </c>
      <c r="C34" s="167">
        <v>23.814</v>
      </c>
      <c r="D34" s="167">
        <v>23.814</v>
      </c>
    </row>
    <row r="35" spans="2:4" ht="18.75" x14ac:dyDescent="0.25">
      <c r="B35" s="47">
        <v>14</v>
      </c>
      <c r="C35" s="167">
        <v>22.59</v>
      </c>
      <c r="D35" s="167">
        <v>22.59</v>
      </c>
    </row>
    <row r="36" spans="2:4" ht="18.75" x14ac:dyDescent="0.25">
      <c r="B36" s="47">
        <v>15</v>
      </c>
      <c r="C36" s="167">
        <v>23.196000000000002</v>
      </c>
      <c r="D36" s="167">
        <v>23.196000000000002</v>
      </c>
    </row>
    <row r="37" spans="2:4" ht="18.75" x14ac:dyDescent="0.25">
      <c r="B37" s="47">
        <v>16</v>
      </c>
      <c r="C37" s="167">
        <v>23.736999999999998</v>
      </c>
      <c r="D37" s="167">
        <v>23.736999999999998</v>
      </c>
    </row>
    <row r="38" spans="2:4" ht="18.75" x14ac:dyDescent="0.25">
      <c r="B38" s="47">
        <v>17</v>
      </c>
      <c r="C38" s="167">
        <v>23.074000000000002</v>
      </c>
      <c r="D38" s="167">
        <v>23.074000000000002</v>
      </c>
    </row>
    <row r="39" spans="2:4" ht="18.75" x14ac:dyDescent="0.25">
      <c r="B39" s="47">
        <v>18</v>
      </c>
      <c r="C39" s="167">
        <v>23.024000000000001</v>
      </c>
      <c r="D39" s="167">
        <v>23.024000000000001</v>
      </c>
    </row>
    <row r="40" spans="2:4" ht="18.75" x14ac:dyDescent="0.25">
      <c r="B40" s="47">
        <v>19</v>
      </c>
      <c r="C40" s="167">
        <v>23.704000000000001</v>
      </c>
      <c r="D40" s="167">
        <v>23.704000000000001</v>
      </c>
    </row>
    <row r="41" spans="2:4" ht="18.75" x14ac:dyDescent="0.25">
      <c r="B41" s="47">
        <v>20</v>
      </c>
      <c r="C41" s="167">
        <v>23.584</v>
      </c>
      <c r="D41" s="167">
        <v>23.584</v>
      </c>
    </row>
    <row r="42" spans="2:4" ht="18.75" x14ac:dyDescent="0.25">
      <c r="B42" s="47">
        <v>21</v>
      </c>
      <c r="C42" s="167">
        <v>23.143999999999998</v>
      </c>
      <c r="D42" s="167">
        <v>23.143999999999998</v>
      </c>
    </row>
    <row r="43" spans="2:4" ht="18.75" x14ac:dyDescent="0.25">
      <c r="B43" s="47">
        <v>22</v>
      </c>
      <c r="C43" s="167">
        <v>21.103000000000002</v>
      </c>
      <c r="D43" s="167">
        <v>21.103000000000002</v>
      </c>
    </row>
    <row r="44" spans="2:4" ht="18.75" x14ac:dyDescent="0.25">
      <c r="B44" s="47">
        <v>23</v>
      </c>
      <c r="C44" s="167">
        <v>23.167000000000002</v>
      </c>
      <c r="D44" s="167">
        <v>23.167000000000002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22.567043478260874</v>
      </c>
      <c r="D46" s="170"/>
    </row>
    <row r="47" spans="2:4" ht="31.5" x14ac:dyDescent="0.25">
      <c r="B47" s="50" t="s">
        <v>47</v>
      </c>
      <c r="C47" s="49">
        <f>_xlfn.STDEV.S(C21:C45)</f>
        <v>1.0824940798780442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'FOM303-32-Imprimir'!C37</f>
        <v>46049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'FOM303-32-Imprimir'!E37</f>
        <v>46049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22.541</v>
      </c>
      <c r="D21" s="167">
        <v>22.541</v>
      </c>
    </row>
    <row r="22" spans="2:7" ht="18.75" x14ac:dyDescent="0.25">
      <c r="B22" s="47">
        <v>1</v>
      </c>
      <c r="C22" s="167">
        <v>22.864999999999998</v>
      </c>
      <c r="D22" s="167">
        <v>22.864999999999998</v>
      </c>
    </row>
    <row r="23" spans="2:7" ht="18.75" x14ac:dyDescent="0.25">
      <c r="B23" s="47">
        <v>2</v>
      </c>
      <c r="C23" s="167">
        <v>22.998000000000001</v>
      </c>
      <c r="D23" s="167">
        <v>22.998000000000001</v>
      </c>
    </row>
    <row r="24" spans="2:7" ht="18.75" x14ac:dyDescent="0.25">
      <c r="B24" s="47">
        <v>3</v>
      </c>
      <c r="C24" s="167">
        <v>23.17</v>
      </c>
      <c r="D24" s="167">
        <v>23.17</v>
      </c>
    </row>
    <row r="25" spans="2:7" ht="18.75" x14ac:dyDescent="0.25">
      <c r="B25" s="47">
        <v>4</v>
      </c>
      <c r="C25" s="167">
        <v>22.960999999999999</v>
      </c>
      <c r="D25" s="167">
        <v>22.960999999999999</v>
      </c>
    </row>
    <row r="26" spans="2:7" ht="18.75" x14ac:dyDescent="0.25">
      <c r="B26" s="47">
        <v>5</v>
      </c>
      <c r="C26" s="167">
        <v>22.266999999999999</v>
      </c>
      <c r="D26" s="167">
        <v>22.266999999999999</v>
      </c>
    </row>
    <row r="27" spans="2:7" ht="18.75" x14ac:dyDescent="0.25">
      <c r="B27" s="47">
        <v>6</v>
      </c>
      <c r="C27" s="167">
        <v>22.306999999999999</v>
      </c>
      <c r="D27" s="167">
        <v>22.306999999999999</v>
      </c>
    </row>
    <row r="28" spans="2:7" ht="18.75" x14ac:dyDescent="0.25">
      <c r="B28" s="47">
        <v>7</v>
      </c>
      <c r="C28" s="167">
        <v>22.242000000000001</v>
      </c>
      <c r="D28" s="167">
        <v>22.242000000000001</v>
      </c>
    </row>
    <row r="29" spans="2:7" ht="18.75" x14ac:dyDescent="0.25">
      <c r="B29" s="47">
        <v>8</v>
      </c>
      <c r="C29" s="167">
        <v>21.491</v>
      </c>
      <c r="D29" s="167">
        <v>21.491</v>
      </c>
    </row>
    <row r="30" spans="2:7" ht="18.75" x14ac:dyDescent="0.25">
      <c r="B30" s="47">
        <v>9</v>
      </c>
      <c r="C30" s="167">
        <v>20.864999999999998</v>
      </c>
      <c r="D30" s="167">
        <v>20.864999999999998</v>
      </c>
    </row>
    <row r="31" spans="2:7" ht="18.75" x14ac:dyDescent="0.25">
      <c r="B31" s="47">
        <v>10</v>
      </c>
      <c r="C31" s="167">
        <v>21.204999999999998</v>
      </c>
      <c r="D31" s="167">
        <v>21.204999999999998</v>
      </c>
    </row>
    <row r="32" spans="2:7" ht="18.75" x14ac:dyDescent="0.25">
      <c r="B32" s="47">
        <v>11</v>
      </c>
      <c r="C32" s="167">
        <v>23.741</v>
      </c>
      <c r="D32" s="167">
        <v>23.741</v>
      </c>
    </row>
    <row r="33" spans="2:4" ht="18.75" x14ac:dyDescent="0.25">
      <c r="B33" s="47">
        <v>12</v>
      </c>
      <c r="C33" s="167">
        <v>23.635000000000002</v>
      </c>
      <c r="D33" s="167">
        <v>23.635000000000002</v>
      </c>
    </row>
    <row r="34" spans="2:4" ht="18.75" x14ac:dyDescent="0.25">
      <c r="B34" s="47">
        <v>13</v>
      </c>
      <c r="C34" s="167">
        <v>23.687999999999999</v>
      </c>
      <c r="D34" s="167">
        <v>23.687999999999999</v>
      </c>
    </row>
    <row r="35" spans="2:4" ht="18.75" x14ac:dyDescent="0.25">
      <c r="B35" s="47">
        <v>14</v>
      </c>
      <c r="C35" s="167">
        <v>23.623000000000001</v>
      </c>
      <c r="D35" s="167">
        <v>23.623000000000001</v>
      </c>
    </row>
    <row r="36" spans="2:4" ht="18.75" x14ac:dyDescent="0.25">
      <c r="B36" s="47">
        <v>15</v>
      </c>
      <c r="C36" s="167">
        <v>23.742999999999999</v>
      </c>
      <c r="D36" s="167">
        <v>23.742999999999999</v>
      </c>
    </row>
    <row r="37" spans="2:4" ht="18.75" x14ac:dyDescent="0.25">
      <c r="B37" s="47">
        <v>16</v>
      </c>
      <c r="C37" s="167">
        <v>23.667000000000002</v>
      </c>
      <c r="D37" s="167">
        <v>23.667000000000002</v>
      </c>
    </row>
    <row r="38" spans="2:4" ht="18.75" x14ac:dyDescent="0.25">
      <c r="B38" s="47">
        <v>17</v>
      </c>
      <c r="C38" s="167">
        <v>23.678000000000001</v>
      </c>
      <c r="D38" s="167">
        <v>23.678000000000001</v>
      </c>
    </row>
    <row r="39" spans="2:4" ht="18.75" x14ac:dyDescent="0.25">
      <c r="B39" s="47">
        <v>18</v>
      </c>
      <c r="C39" s="167">
        <v>23.74</v>
      </c>
      <c r="D39" s="167">
        <v>23.74</v>
      </c>
    </row>
    <row r="40" spans="2:4" ht="18.75" x14ac:dyDescent="0.25">
      <c r="B40" s="47">
        <v>19</v>
      </c>
      <c r="C40" s="167">
        <v>23.669</v>
      </c>
      <c r="D40" s="167">
        <v>23.669</v>
      </c>
    </row>
    <row r="41" spans="2:4" ht="18.75" x14ac:dyDescent="0.25">
      <c r="B41" s="47">
        <v>20</v>
      </c>
      <c r="C41" s="167">
        <v>23.727</v>
      </c>
      <c r="D41" s="167">
        <v>23.727</v>
      </c>
    </row>
    <row r="42" spans="2:4" ht="18.75" x14ac:dyDescent="0.25">
      <c r="B42" s="47">
        <v>21</v>
      </c>
      <c r="C42" s="167">
        <v>23.146000000000001</v>
      </c>
      <c r="D42" s="167">
        <v>23.146000000000001</v>
      </c>
    </row>
    <row r="43" spans="2:4" ht="18.75" x14ac:dyDescent="0.25">
      <c r="B43" s="47">
        <v>22</v>
      </c>
      <c r="C43" s="167">
        <v>22.140999999999998</v>
      </c>
      <c r="D43" s="167">
        <v>22.140999999999998</v>
      </c>
    </row>
    <row r="44" spans="2:4" ht="18.75" x14ac:dyDescent="0.25">
      <c r="B44" s="47">
        <v>23</v>
      </c>
      <c r="C44" s="167">
        <v>23.353999999999999</v>
      </c>
      <c r="D44" s="167">
        <v>23.353999999999999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22.953173913043479</v>
      </c>
      <c r="D46" s="170"/>
    </row>
    <row r="47" spans="2:4" ht="31.5" x14ac:dyDescent="0.25">
      <c r="B47" s="50" t="s">
        <v>47</v>
      </c>
      <c r="C47" s="49">
        <f>_xlfn.STDEV.S(C21:C45)</f>
        <v>0.87200578378616422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'FOM303-32-Imprimir'!C38</f>
        <v>46050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'FOM303-32-Imprimir'!E38</f>
        <v>46050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23.257000000000001</v>
      </c>
      <c r="D21" s="167">
        <v>23.257000000000001</v>
      </c>
    </row>
    <row r="22" spans="2:7" ht="18.75" x14ac:dyDescent="0.25">
      <c r="B22" s="47">
        <v>1</v>
      </c>
      <c r="C22" s="167">
        <v>23.562999999999999</v>
      </c>
      <c r="D22" s="167">
        <v>23.562999999999999</v>
      </c>
    </row>
    <row r="23" spans="2:7" ht="18.75" x14ac:dyDescent="0.25">
      <c r="B23" s="47">
        <v>2</v>
      </c>
      <c r="C23" s="167">
        <v>23.472000000000001</v>
      </c>
      <c r="D23" s="167">
        <v>23.472000000000001</v>
      </c>
    </row>
    <row r="24" spans="2:7" ht="18.75" x14ac:dyDescent="0.25">
      <c r="B24" s="47">
        <v>3</v>
      </c>
      <c r="C24" s="167">
        <v>22.864999999999998</v>
      </c>
      <c r="D24" s="167">
        <v>22.864999999999998</v>
      </c>
    </row>
    <row r="25" spans="2:7" ht="18.75" x14ac:dyDescent="0.25">
      <c r="B25" s="47">
        <v>4</v>
      </c>
      <c r="C25" s="167">
        <v>22.413</v>
      </c>
      <c r="D25" s="167">
        <v>22.413</v>
      </c>
    </row>
    <row r="26" spans="2:7" ht="18.75" x14ac:dyDescent="0.25">
      <c r="B26" s="47">
        <v>5</v>
      </c>
      <c r="C26" s="167">
        <v>22.440999999999999</v>
      </c>
      <c r="D26" s="167">
        <v>22.440999999999999</v>
      </c>
    </row>
    <row r="27" spans="2:7" ht="18.75" x14ac:dyDescent="0.25">
      <c r="B27" s="47">
        <v>6</v>
      </c>
      <c r="C27" s="167">
        <v>22.771999999999998</v>
      </c>
      <c r="D27" s="167">
        <v>22.771999999999998</v>
      </c>
    </row>
    <row r="28" spans="2:7" ht="18.75" x14ac:dyDescent="0.25">
      <c r="B28" s="47">
        <v>7</v>
      </c>
      <c r="C28" s="167">
        <v>22.382999999999999</v>
      </c>
      <c r="D28" s="167">
        <v>22.382999999999999</v>
      </c>
    </row>
    <row r="29" spans="2:7" ht="18.75" x14ac:dyDescent="0.25">
      <c r="B29" s="47">
        <v>8</v>
      </c>
      <c r="C29" s="167">
        <v>21.760999999999999</v>
      </c>
      <c r="D29" s="167">
        <v>21.760999999999999</v>
      </c>
    </row>
    <row r="30" spans="2:7" ht="18.75" x14ac:dyDescent="0.25">
      <c r="B30" s="47">
        <v>9</v>
      </c>
      <c r="C30" s="167">
        <v>21.024000000000001</v>
      </c>
      <c r="D30" s="167">
        <v>21.024000000000001</v>
      </c>
    </row>
    <row r="31" spans="2:7" ht="18.75" x14ac:dyDescent="0.25">
      <c r="B31" s="47">
        <v>10</v>
      </c>
      <c r="C31" s="167">
        <v>20.536999999999999</v>
      </c>
      <c r="D31" s="167">
        <v>20.536999999999999</v>
      </c>
    </row>
    <row r="32" spans="2:7" ht="18.75" x14ac:dyDescent="0.25">
      <c r="B32" s="47">
        <v>11</v>
      </c>
      <c r="C32" s="167">
        <v>20.510999999999999</v>
      </c>
      <c r="D32" s="167">
        <v>20.510999999999999</v>
      </c>
    </row>
    <row r="33" spans="2:4" ht="18.75" x14ac:dyDescent="0.25">
      <c r="B33" s="47">
        <v>12</v>
      </c>
      <c r="C33" s="167">
        <v>21.472999999999999</v>
      </c>
      <c r="D33" s="167">
        <v>21.472999999999999</v>
      </c>
    </row>
    <row r="34" spans="2:4" ht="18.75" x14ac:dyDescent="0.25">
      <c r="B34" s="47">
        <v>13</v>
      </c>
      <c r="C34" s="167">
        <v>23.673999999999999</v>
      </c>
      <c r="D34" s="167">
        <v>23.673999999999999</v>
      </c>
    </row>
    <row r="35" spans="2:4" ht="18.75" x14ac:dyDescent="0.25">
      <c r="B35" s="47">
        <v>14</v>
      </c>
      <c r="C35" s="167">
        <v>23.681999999999999</v>
      </c>
      <c r="D35" s="167">
        <v>23.681999999999999</v>
      </c>
    </row>
    <row r="36" spans="2:4" ht="18.75" x14ac:dyDescent="0.25">
      <c r="B36" s="47">
        <v>15</v>
      </c>
      <c r="C36" s="167">
        <v>23.672999999999998</v>
      </c>
      <c r="D36" s="167">
        <v>23.672999999999998</v>
      </c>
    </row>
    <row r="37" spans="2:4" ht="18.75" x14ac:dyDescent="0.25">
      <c r="B37" s="47">
        <v>16</v>
      </c>
      <c r="C37" s="167">
        <v>23.678000000000001</v>
      </c>
      <c r="D37" s="167">
        <v>23.678000000000001</v>
      </c>
    </row>
    <row r="38" spans="2:4" ht="18.75" x14ac:dyDescent="0.25">
      <c r="B38" s="47">
        <v>17</v>
      </c>
      <c r="C38" s="167">
        <v>23.695</v>
      </c>
      <c r="D38" s="167">
        <v>23.695</v>
      </c>
    </row>
    <row r="39" spans="2:4" ht="18.75" x14ac:dyDescent="0.25">
      <c r="B39" s="47">
        <v>18</v>
      </c>
      <c r="C39" s="167">
        <v>23.584</v>
      </c>
      <c r="D39" s="167">
        <v>23.584</v>
      </c>
    </row>
    <row r="40" spans="2:4" ht="18.75" x14ac:dyDescent="0.25">
      <c r="B40" s="47">
        <v>19</v>
      </c>
      <c r="C40" s="167">
        <v>23.631</v>
      </c>
      <c r="D40" s="167">
        <v>23.631</v>
      </c>
    </row>
    <row r="41" spans="2:4" ht="18.75" x14ac:dyDescent="0.25">
      <c r="B41" s="47">
        <v>20</v>
      </c>
      <c r="C41" s="167">
        <v>23.646000000000001</v>
      </c>
      <c r="D41" s="167">
        <v>23.646000000000001</v>
      </c>
    </row>
    <row r="42" spans="2:4" ht="18.75" x14ac:dyDescent="0.25">
      <c r="B42" s="47">
        <v>21</v>
      </c>
      <c r="C42" s="167">
        <v>23.713000000000001</v>
      </c>
      <c r="D42" s="167">
        <v>23.713000000000001</v>
      </c>
    </row>
    <row r="43" spans="2:4" ht="18.75" x14ac:dyDescent="0.25">
      <c r="B43" s="47">
        <v>22</v>
      </c>
      <c r="C43" s="167">
        <v>22.109000000000002</v>
      </c>
      <c r="D43" s="167">
        <v>22.109000000000002</v>
      </c>
    </row>
    <row r="44" spans="2:4" ht="18.75" x14ac:dyDescent="0.25">
      <c r="B44" s="47">
        <v>23</v>
      </c>
      <c r="C44" s="167">
        <v>22.308</v>
      </c>
      <c r="D44" s="167">
        <v>22.308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22.722086956521743</v>
      </c>
      <c r="D46" s="170"/>
    </row>
    <row r="47" spans="2:4" ht="31.5" x14ac:dyDescent="0.25">
      <c r="B47" s="50" t="s">
        <v>47</v>
      </c>
      <c r="C47" s="49">
        <f>_xlfn.STDEV.S(C21:C45)</f>
        <v>1.051522532269074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'FOM303-32-Imprimir'!C39</f>
        <v>46051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'FOM303-32-Imprimir'!E39</f>
        <v>46051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22.524000000000001</v>
      </c>
      <c r="D21" s="167">
        <v>22.524000000000001</v>
      </c>
    </row>
    <row r="22" spans="2:7" ht="18.75" x14ac:dyDescent="0.25">
      <c r="B22" s="47">
        <v>1</v>
      </c>
      <c r="C22" s="167">
        <v>23.544</v>
      </c>
      <c r="D22" s="167">
        <v>23.544</v>
      </c>
    </row>
    <row r="23" spans="2:7" ht="18.75" x14ac:dyDescent="0.25">
      <c r="B23" s="47">
        <v>2</v>
      </c>
      <c r="C23" s="167">
        <v>23.385000000000002</v>
      </c>
      <c r="D23" s="167">
        <v>23.385000000000002</v>
      </c>
    </row>
    <row r="24" spans="2:7" ht="18.75" x14ac:dyDescent="0.25">
      <c r="B24" s="47">
        <v>3</v>
      </c>
      <c r="C24" s="167">
        <v>22.013999999999999</v>
      </c>
      <c r="D24" s="167">
        <v>22.013999999999999</v>
      </c>
    </row>
    <row r="25" spans="2:7" ht="18.75" x14ac:dyDescent="0.25">
      <c r="B25" s="47">
        <v>4</v>
      </c>
      <c r="C25" s="167">
        <v>22.606999999999999</v>
      </c>
      <c r="D25" s="167">
        <v>22.606999999999999</v>
      </c>
    </row>
    <row r="26" spans="2:7" ht="18.75" x14ac:dyDescent="0.25">
      <c r="B26" s="47">
        <v>5</v>
      </c>
      <c r="C26" s="167">
        <v>22.103999999999999</v>
      </c>
      <c r="D26" s="167">
        <v>22.103999999999999</v>
      </c>
    </row>
    <row r="27" spans="2:7" ht="18.75" x14ac:dyDescent="0.25">
      <c r="B27" s="47">
        <v>6</v>
      </c>
      <c r="C27" s="167">
        <v>22.113</v>
      </c>
      <c r="D27" s="167">
        <v>22.113</v>
      </c>
    </row>
    <row r="28" spans="2:7" ht="18.75" x14ac:dyDescent="0.25">
      <c r="B28" s="47">
        <v>7</v>
      </c>
      <c r="C28" s="167">
        <v>21.675999999999998</v>
      </c>
      <c r="D28" s="167">
        <v>21.675999999999998</v>
      </c>
    </row>
    <row r="29" spans="2:7" ht="18.75" x14ac:dyDescent="0.25">
      <c r="B29" s="47">
        <v>8</v>
      </c>
      <c r="C29" s="167">
        <v>20.965</v>
      </c>
      <c r="D29" s="167">
        <v>20.965</v>
      </c>
    </row>
    <row r="30" spans="2:7" ht="18.75" x14ac:dyDescent="0.25">
      <c r="B30" s="47">
        <v>9</v>
      </c>
      <c r="C30" s="167">
        <v>20.515000000000001</v>
      </c>
      <c r="D30" s="167">
        <v>20.515000000000001</v>
      </c>
    </row>
    <row r="31" spans="2:7" ht="18.75" x14ac:dyDescent="0.25">
      <c r="B31" s="47">
        <v>10</v>
      </c>
      <c r="C31" s="167">
        <v>21.167000000000002</v>
      </c>
      <c r="D31" s="167">
        <v>21.167000000000002</v>
      </c>
    </row>
    <row r="32" spans="2:7" ht="18.75" x14ac:dyDescent="0.25">
      <c r="B32" s="47">
        <v>11</v>
      </c>
      <c r="C32" s="167">
        <v>21.045999999999999</v>
      </c>
      <c r="D32" s="167">
        <v>21.045999999999999</v>
      </c>
    </row>
    <row r="33" spans="2:4" ht="18.75" x14ac:dyDescent="0.25">
      <c r="B33" s="47">
        <v>12</v>
      </c>
      <c r="C33" s="167">
        <v>20.9</v>
      </c>
      <c r="D33" s="167">
        <v>20.9</v>
      </c>
    </row>
    <row r="34" spans="2:4" ht="18.75" x14ac:dyDescent="0.25">
      <c r="B34" s="47">
        <v>13</v>
      </c>
      <c r="C34" s="167">
        <v>21.507000000000001</v>
      </c>
      <c r="D34" s="167">
        <v>21.507000000000001</v>
      </c>
    </row>
    <row r="35" spans="2:4" ht="18.75" x14ac:dyDescent="0.25">
      <c r="B35" s="47">
        <v>14</v>
      </c>
      <c r="C35" s="167">
        <v>22.074000000000002</v>
      </c>
      <c r="D35" s="167">
        <v>22.074000000000002</v>
      </c>
    </row>
    <row r="36" spans="2:4" ht="18.75" x14ac:dyDescent="0.25">
      <c r="B36" s="47">
        <v>15</v>
      </c>
      <c r="C36" s="167">
        <v>22.667000000000002</v>
      </c>
      <c r="D36" s="167">
        <v>22.667000000000002</v>
      </c>
    </row>
    <row r="37" spans="2:4" ht="18.75" x14ac:dyDescent="0.25">
      <c r="B37" s="47">
        <v>16</v>
      </c>
      <c r="C37" s="167">
        <v>22.542999999999999</v>
      </c>
      <c r="D37" s="167">
        <v>22.542999999999999</v>
      </c>
    </row>
    <row r="38" spans="2:4" ht="18.75" x14ac:dyDescent="0.25">
      <c r="B38" s="47">
        <v>17</v>
      </c>
      <c r="C38" s="167">
        <v>23.152999999999999</v>
      </c>
      <c r="D38" s="167">
        <v>23.152999999999999</v>
      </c>
    </row>
    <row r="39" spans="2:4" ht="18.75" x14ac:dyDescent="0.25">
      <c r="B39" s="47">
        <v>18</v>
      </c>
      <c r="C39" s="167">
        <v>23.117999999999999</v>
      </c>
      <c r="D39" s="167">
        <v>23.117999999999999</v>
      </c>
    </row>
    <row r="40" spans="2:4" ht="18.75" x14ac:dyDescent="0.25">
      <c r="B40" s="47">
        <v>19</v>
      </c>
      <c r="C40" s="167">
        <v>23.76</v>
      </c>
      <c r="D40" s="167">
        <v>23.76</v>
      </c>
    </row>
    <row r="41" spans="2:4" ht="18.75" x14ac:dyDescent="0.25">
      <c r="B41" s="47">
        <v>20</v>
      </c>
      <c r="C41" s="167">
        <v>23.675000000000001</v>
      </c>
      <c r="D41" s="167">
        <v>23.675000000000001</v>
      </c>
    </row>
    <row r="42" spans="2:4" ht="18.75" x14ac:dyDescent="0.25">
      <c r="B42" s="47">
        <v>21</v>
      </c>
      <c r="C42" s="167">
        <v>23.318999999999999</v>
      </c>
      <c r="D42" s="167">
        <v>23.318999999999999</v>
      </c>
    </row>
    <row r="43" spans="2:4" ht="18.75" x14ac:dyDescent="0.25">
      <c r="B43" s="47">
        <v>22</v>
      </c>
      <c r="C43" s="167">
        <v>22.373999999999999</v>
      </c>
      <c r="D43" s="167">
        <v>22.373999999999999</v>
      </c>
    </row>
    <row r="44" spans="2:4" ht="18.75" x14ac:dyDescent="0.25">
      <c r="B44" s="47">
        <v>23</v>
      </c>
      <c r="C44" s="167">
        <v>23.213000000000001</v>
      </c>
      <c r="D44" s="167">
        <v>23.213000000000001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22.3234347826087</v>
      </c>
      <c r="D46" s="170"/>
    </row>
    <row r="47" spans="2:4" ht="31.5" x14ac:dyDescent="0.25">
      <c r="B47" s="50" t="s">
        <v>47</v>
      </c>
      <c r="C47" s="49">
        <f>_xlfn.STDEV.S(C21:C45)</f>
        <v>0.96333135656233682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'FOM303-32-Imprimir'!C40</f>
        <v>46052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'FOM303-32-Imprimir'!E40</f>
        <v>46052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21.763000000000002</v>
      </c>
      <c r="D21" s="167">
        <v>21.763000000000002</v>
      </c>
    </row>
    <row r="22" spans="2:7" ht="18.75" x14ac:dyDescent="0.25">
      <c r="B22" s="47">
        <v>1</v>
      </c>
      <c r="C22" s="167">
        <v>22.623999999999999</v>
      </c>
      <c r="D22" s="167">
        <v>22.623999999999999</v>
      </c>
    </row>
    <row r="23" spans="2:7" ht="18.75" x14ac:dyDescent="0.25">
      <c r="B23" s="47">
        <v>2</v>
      </c>
      <c r="C23" s="167">
        <v>23.591000000000001</v>
      </c>
      <c r="D23" s="167">
        <v>23.591000000000001</v>
      </c>
    </row>
    <row r="24" spans="2:7" ht="18.75" x14ac:dyDescent="0.25">
      <c r="B24" s="47">
        <v>3</v>
      </c>
      <c r="C24" s="167">
        <v>22.885999999999999</v>
      </c>
      <c r="D24" s="167">
        <v>22.885999999999999</v>
      </c>
    </row>
    <row r="25" spans="2:7" ht="18.75" x14ac:dyDescent="0.25">
      <c r="B25" s="47">
        <v>4</v>
      </c>
      <c r="C25" s="167">
        <v>23.381</v>
      </c>
      <c r="D25" s="167">
        <v>23.381</v>
      </c>
    </row>
    <row r="26" spans="2:7" ht="18.75" x14ac:dyDescent="0.25">
      <c r="B26" s="47">
        <v>5</v>
      </c>
      <c r="C26" s="167">
        <v>23.227</v>
      </c>
      <c r="D26" s="167">
        <v>23.227</v>
      </c>
    </row>
    <row r="27" spans="2:7" ht="18.75" x14ac:dyDescent="0.25">
      <c r="B27" s="47">
        <v>6</v>
      </c>
      <c r="C27" s="167">
        <v>22.646000000000001</v>
      </c>
      <c r="D27" s="167">
        <v>22.646000000000001</v>
      </c>
    </row>
    <row r="28" spans="2:7" ht="18.75" x14ac:dyDescent="0.25">
      <c r="B28" s="47">
        <v>7</v>
      </c>
      <c r="C28" s="167">
        <v>21.902999999999999</v>
      </c>
      <c r="D28" s="167">
        <v>21.902999999999999</v>
      </c>
    </row>
    <row r="29" spans="2:7" ht="18.75" x14ac:dyDescent="0.25">
      <c r="B29" s="47">
        <v>8</v>
      </c>
      <c r="C29" s="167">
        <v>21.218</v>
      </c>
      <c r="D29" s="167">
        <v>21.218</v>
      </c>
    </row>
    <row r="30" spans="2:7" ht="18.75" x14ac:dyDescent="0.25">
      <c r="B30" s="47">
        <v>9</v>
      </c>
      <c r="C30" s="167">
        <v>20.760999999999999</v>
      </c>
      <c r="D30" s="167">
        <v>20.760999999999999</v>
      </c>
    </row>
    <row r="31" spans="2:7" ht="18.75" x14ac:dyDescent="0.25">
      <c r="B31" s="47">
        <v>10</v>
      </c>
      <c r="C31" s="167">
        <v>20.538</v>
      </c>
      <c r="D31" s="167">
        <v>20.538</v>
      </c>
    </row>
    <row r="32" spans="2:7" ht="18.75" x14ac:dyDescent="0.25">
      <c r="B32" s="47">
        <v>11</v>
      </c>
      <c r="C32" s="173">
        <v>20.948</v>
      </c>
      <c r="D32" s="174">
        <v>20.948</v>
      </c>
    </row>
    <row r="33" spans="2:4" ht="18.75" x14ac:dyDescent="0.25">
      <c r="B33" s="47">
        <v>12</v>
      </c>
      <c r="C33" s="167">
        <v>22.713000000000001</v>
      </c>
      <c r="D33" s="167">
        <v>22.713000000000001</v>
      </c>
    </row>
    <row r="34" spans="2:4" ht="18.75" x14ac:dyDescent="0.25">
      <c r="B34" s="47">
        <v>13</v>
      </c>
      <c r="C34" s="167">
        <v>21.492000000000001</v>
      </c>
      <c r="D34" s="167">
        <v>21.492000000000001</v>
      </c>
    </row>
    <row r="35" spans="2:4" ht="18.75" x14ac:dyDescent="0.25">
      <c r="B35" s="47">
        <v>14</v>
      </c>
      <c r="C35" s="167">
        <v>22.035</v>
      </c>
      <c r="D35" s="167">
        <v>22.035</v>
      </c>
    </row>
    <row r="36" spans="2:4" ht="18.75" x14ac:dyDescent="0.25">
      <c r="B36" s="47">
        <v>15</v>
      </c>
      <c r="C36" s="167">
        <v>23.106000000000002</v>
      </c>
      <c r="D36" s="167">
        <v>23.106000000000002</v>
      </c>
    </row>
    <row r="37" spans="2:4" ht="18.75" x14ac:dyDescent="0.25">
      <c r="B37" s="47">
        <v>16</v>
      </c>
      <c r="C37" s="167">
        <v>22.481000000000002</v>
      </c>
      <c r="D37" s="167">
        <v>22.481000000000002</v>
      </c>
    </row>
    <row r="38" spans="2:4" ht="18.75" x14ac:dyDescent="0.25">
      <c r="B38" s="47">
        <v>17</v>
      </c>
      <c r="C38" s="167">
        <v>23.155999999999999</v>
      </c>
      <c r="D38" s="167">
        <v>23.155999999999999</v>
      </c>
    </row>
    <row r="39" spans="2:4" ht="18.75" x14ac:dyDescent="0.25">
      <c r="B39" s="47">
        <v>18</v>
      </c>
      <c r="C39" s="167">
        <v>22.518999999999998</v>
      </c>
      <c r="D39" s="167">
        <v>22.518999999999998</v>
      </c>
    </row>
    <row r="40" spans="2:4" ht="18.75" x14ac:dyDescent="0.25">
      <c r="B40" s="47">
        <v>19</v>
      </c>
      <c r="C40" s="167">
        <v>23.643999999999998</v>
      </c>
      <c r="D40" s="167">
        <v>23.643999999999998</v>
      </c>
    </row>
    <row r="41" spans="2:4" ht="18.75" x14ac:dyDescent="0.25">
      <c r="B41" s="47">
        <v>20</v>
      </c>
      <c r="C41" s="167">
        <v>23.65</v>
      </c>
      <c r="D41" s="167">
        <v>23.65</v>
      </c>
    </row>
    <row r="42" spans="2:4" ht="18.75" x14ac:dyDescent="0.25">
      <c r="B42" s="47">
        <v>21</v>
      </c>
      <c r="C42" s="167">
        <v>23.741</v>
      </c>
      <c r="D42" s="167">
        <v>23.741</v>
      </c>
    </row>
    <row r="43" spans="2:4" ht="18.75" x14ac:dyDescent="0.25">
      <c r="B43" s="47">
        <v>22</v>
      </c>
      <c r="C43" s="167">
        <v>21.128</v>
      </c>
      <c r="D43" s="167">
        <v>21.128</v>
      </c>
    </row>
    <row r="44" spans="2:4" ht="18.75" x14ac:dyDescent="0.25">
      <c r="B44" s="47">
        <v>23</v>
      </c>
      <c r="C44" s="167">
        <v>21.172000000000001</v>
      </c>
      <c r="D44" s="167">
        <v>21.172000000000001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22.372173913043479</v>
      </c>
      <c r="D46" s="170"/>
    </row>
    <row r="47" spans="2:4" ht="31.5" x14ac:dyDescent="0.25">
      <c r="B47" s="50" t="s">
        <v>47</v>
      </c>
      <c r="C47" s="49">
        <f>_xlfn.STDEV.S(C21:C45)</f>
        <v>1.0180099930818423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D838-769F-4E35-BE73-FDAD74A78E28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49" t="s">
        <v>0</v>
      </c>
      <c r="C1" s="150"/>
      <c r="D1" s="150"/>
      <c r="E1" s="151"/>
      <c r="F1" s="152" t="s">
        <v>34</v>
      </c>
      <c r="G1" s="153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58" t="s">
        <v>2</v>
      </c>
      <c r="C2" s="159"/>
      <c r="D2" s="159"/>
      <c r="E2" s="160"/>
      <c r="F2" s="154"/>
      <c r="G2" s="155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61"/>
      <c r="C3" s="162"/>
      <c r="D3" s="162"/>
      <c r="E3" s="163"/>
      <c r="F3" s="156"/>
      <c r="G3" s="157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46" t="str" cm="1">
        <f t="array" ref="B7">'Dia 1'!B7:B7</f>
        <v xml:space="preserve">Aerocivil </v>
      </c>
      <c r="C7" s="147"/>
      <c r="D7" s="27" t="s">
        <v>5</v>
      </c>
      <c r="E7" s="148" t="str" cm="1">
        <f t="array" ref="E7">'Dia 1'!E7:E7</f>
        <v>Bogotá DC</v>
      </c>
      <c r="F7" s="148"/>
      <c r="G7" s="148"/>
    </row>
    <row r="8" spans="1:12" ht="15.75" x14ac:dyDescent="0.25">
      <c r="A8" s="27" t="s">
        <v>35</v>
      </c>
      <c r="B8" s="146" t="str" cm="1">
        <f t="array" ref="B8">'Dia 1'!B8:B8</f>
        <v>CA2 CNA</v>
      </c>
      <c r="C8" s="147"/>
      <c r="D8" s="28" t="s">
        <v>10</v>
      </c>
      <c r="E8" s="148" t="str" cm="1">
        <f t="array" ref="E8">'Dia 1'!E8:E8</f>
        <v xml:space="preserve">Distrito Capital </v>
      </c>
      <c r="F8" s="148"/>
      <c r="G8" s="148"/>
    </row>
    <row r="9" spans="1:12" ht="15.75" x14ac:dyDescent="0.25">
      <c r="A9" s="27" t="s">
        <v>9</v>
      </c>
      <c r="B9" s="146" cm="1">
        <f t="array" ref="B9">'Dia 1'!B9:B9</f>
        <v>2076974.7409999999</v>
      </c>
      <c r="C9" s="147"/>
      <c r="D9" s="28" t="s">
        <v>14</v>
      </c>
      <c r="E9" s="148" cm="1">
        <f t="array" ref="E9">'Dia 1'!E9:E9</f>
        <v>4873664.16</v>
      </c>
      <c r="F9" s="148"/>
      <c r="G9" s="148"/>
    </row>
    <row r="10" spans="1:12" ht="15.75" x14ac:dyDescent="0.25">
      <c r="A10" s="27" t="s">
        <v>36</v>
      </c>
      <c r="B10" s="146" t="str" cm="1">
        <f t="array" ref="B10">'Dia 1'!B10:B10</f>
        <v>Leonardo Pérez</v>
      </c>
      <c r="C10" s="147"/>
      <c r="D10" s="27" t="s">
        <v>38</v>
      </c>
      <c r="E10" s="148" cm="1">
        <f t="array" ref="E10">'Dia 1'!E10:E10</f>
        <v>2553</v>
      </c>
      <c r="F10" s="148"/>
      <c r="G10" s="148"/>
    </row>
    <row r="11" spans="1:12" ht="15.75" x14ac:dyDescent="0.25">
      <c r="A11" s="29" t="s">
        <v>39</v>
      </c>
      <c r="B11" s="164">
        <f>'FOM303-32-Imprimir'!C41</f>
        <v>46053</v>
      </c>
      <c r="C11" s="165"/>
      <c r="D11" s="30" t="s">
        <v>40</v>
      </c>
      <c r="E11" s="166" cm="1">
        <f t="array" ref="E11">'Dia 1'!E11:E11</f>
        <v>0</v>
      </c>
      <c r="F11" s="166"/>
      <c r="G11" s="166"/>
    </row>
    <row r="12" spans="1:12" ht="15.75" x14ac:dyDescent="0.25">
      <c r="A12" s="29" t="s">
        <v>41</v>
      </c>
      <c r="B12" s="164">
        <f>'FOM303-32-Imprimir'!E41</f>
        <v>46053</v>
      </c>
      <c r="C12" s="165"/>
      <c r="D12" s="29" t="s">
        <v>42</v>
      </c>
      <c r="E12" s="166" cm="1">
        <f t="array" ref="E12">'Dia 1'!E12:E12</f>
        <v>0.95833333333333337</v>
      </c>
      <c r="F12" s="166"/>
      <c r="G12" s="166"/>
    </row>
    <row r="15" spans="1:12" x14ac:dyDescent="0.25">
      <c r="B15" s="168" t="s">
        <v>43</v>
      </c>
      <c r="C15" s="168"/>
      <c r="D15" s="168"/>
      <c r="E15" s="31"/>
    </row>
    <row r="16" spans="1:12" ht="12.75" customHeight="1" x14ac:dyDescent="0.25"/>
    <row r="17" spans="2:7" x14ac:dyDescent="0.25">
      <c r="B17" s="169" t="s">
        <v>44</v>
      </c>
      <c r="C17" s="169" t="s">
        <v>45</v>
      </c>
      <c r="D17" s="169"/>
      <c r="E17" s="32"/>
      <c r="G17" s="32"/>
    </row>
    <row r="18" spans="2:7" x14ac:dyDescent="0.25">
      <c r="B18" s="169"/>
      <c r="C18" s="169"/>
      <c r="D18" s="169"/>
      <c r="E18" s="32"/>
      <c r="G18" s="32"/>
    </row>
    <row r="19" spans="2:7" ht="18.75" customHeight="1" x14ac:dyDescent="0.25">
      <c r="B19" s="169"/>
      <c r="C19" s="169"/>
      <c r="D19" s="169"/>
    </row>
    <row r="20" spans="2:7" x14ac:dyDescent="0.25">
      <c r="B20" s="169"/>
      <c r="C20" s="169"/>
      <c r="D20" s="169"/>
    </row>
    <row r="21" spans="2:7" ht="18.75" x14ac:dyDescent="0.25">
      <c r="B21" s="47">
        <v>0</v>
      </c>
      <c r="C21" s="167">
        <v>22.417000000000002</v>
      </c>
      <c r="D21" s="167">
        <v>22.417000000000002</v>
      </c>
    </row>
    <row r="22" spans="2:7" ht="18.75" x14ac:dyDescent="0.25">
      <c r="B22" s="47">
        <v>1</v>
      </c>
      <c r="C22" s="167">
        <v>22.388999999999999</v>
      </c>
      <c r="D22" s="167">
        <v>22.388999999999999</v>
      </c>
    </row>
    <row r="23" spans="2:7" ht="18.75" x14ac:dyDescent="0.25">
      <c r="B23" s="47">
        <v>2</v>
      </c>
      <c r="C23" s="167">
        <v>23.553999999999998</v>
      </c>
      <c r="D23" s="167">
        <v>23.553999999999998</v>
      </c>
    </row>
    <row r="24" spans="2:7" ht="18.75" x14ac:dyDescent="0.25">
      <c r="B24" s="47">
        <v>3</v>
      </c>
      <c r="C24" s="167">
        <v>23.184999999999999</v>
      </c>
      <c r="D24" s="167">
        <v>23.184999999999999</v>
      </c>
    </row>
    <row r="25" spans="2:7" ht="18.75" x14ac:dyDescent="0.25">
      <c r="B25" s="47">
        <v>4</v>
      </c>
      <c r="C25" s="167">
        <v>23.338999999999999</v>
      </c>
      <c r="D25" s="167">
        <v>23.338999999999999</v>
      </c>
    </row>
    <row r="26" spans="2:7" ht="18.75" x14ac:dyDescent="0.25">
      <c r="B26" s="47">
        <v>5</v>
      </c>
      <c r="C26" s="167">
        <v>22.960999999999999</v>
      </c>
      <c r="D26" s="167">
        <v>22.960999999999999</v>
      </c>
    </row>
    <row r="27" spans="2:7" ht="18.75" x14ac:dyDescent="0.25">
      <c r="B27" s="47">
        <v>6</v>
      </c>
      <c r="C27" s="167">
        <v>22.716999999999999</v>
      </c>
      <c r="D27" s="167">
        <v>22.716999999999999</v>
      </c>
    </row>
    <row r="28" spans="2:7" ht="18.75" x14ac:dyDescent="0.25">
      <c r="B28" s="47">
        <v>7</v>
      </c>
      <c r="C28" s="167">
        <v>22.279</v>
      </c>
      <c r="D28" s="167">
        <v>22.279</v>
      </c>
    </row>
    <row r="29" spans="2:7" ht="18.75" x14ac:dyDescent="0.25">
      <c r="B29" s="47">
        <v>8</v>
      </c>
      <c r="C29" s="167">
        <v>21.733000000000001</v>
      </c>
      <c r="D29" s="167">
        <v>21.733000000000001</v>
      </c>
    </row>
    <row r="30" spans="2:7" ht="18.75" x14ac:dyDescent="0.25">
      <c r="B30" s="47">
        <v>9</v>
      </c>
      <c r="C30" s="167">
        <v>21.117999999999999</v>
      </c>
      <c r="D30" s="167">
        <v>21.117999999999999</v>
      </c>
    </row>
    <row r="31" spans="2:7" ht="18.75" x14ac:dyDescent="0.25">
      <c r="B31" s="47">
        <v>10</v>
      </c>
      <c r="C31" s="167">
        <v>20.303999999999998</v>
      </c>
      <c r="D31" s="167">
        <v>20.303999999999998</v>
      </c>
    </row>
    <row r="32" spans="2:7" ht="18.75" x14ac:dyDescent="0.25">
      <c r="B32" s="47">
        <v>11</v>
      </c>
      <c r="C32" s="167">
        <v>21.471</v>
      </c>
      <c r="D32" s="167">
        <v>21.471</v>
      </c>
    </row>
    <row r="33" spans="2:4" ht="18.75" x14ac:dyDescent="0.25">
      <c r="B33" s="47">
        <v>12</v>
      </c>
      <c r="C33" s="167">
        <v>23.196000000000002</v>
      </c>
      <c r="D33" s="167">
        <v>23.196000000000002</v>
      </c>
    </row>
    <row r="34" spans="2:4" ht="18.75" x14ac:dyDescent="0.25">
      <c r="B34" s="47">
        <v>13</v>
      </c>
      <c r="C34" s="167">
        <v>23.105</v>
      </c>
      <c r="D34" s="167">
        <v>23.105</v>
      </c>
    </row>
    <row r="35" spans="2:4" ht="18.75" x14ac:dyDescent="0.25">
      <c r="B35" s="47">
        <v>14</v>
      </c>
      <c r="C35" s="167">
        <v>23.146999999999998</v>
      </c>
      <c r="D35" s="167">
        <v>23.146999999999998</v>
      </c>
    </row>
    <row r="36" spans="2:4" ht="18.75" x14ac:dyDescent="0.25">
      <c r="B36" s="47">
        <v>15</v>
      </c>
      <c r="C36" s="167">
        <v>22.664999999999999</v>
      </c>
      <c r="D36" s="167">
        <v>22.664999999999999</v>
      </c>
    </row>
    <row r="37" spans="2:4" ht="18.75" x14ac:dyDescent="0.25">
      <c r="B37" s="47">
        <v>16</v>
      </c>
      <c r="C37" s="167">
        <v>22.649000000000001</v>
      </c>
      <c r="D37" s="167">
        <v>22.649000000000001</v>
      </c>
    </row>
    <row r="38" spans="2:4" ht="18.75" x14ac:dyDescent="0.25">
      <c r="B38" s="47">
        <v>17</v>
      </c>
      <c r="C38" s="167">
        <v>22.594999999999999</v>
      </c>
      <c r="D38" s="167">
        <v>22.594999999999999</v>
      </c>
    </row>
    <row r="39" spans="2:4" ht="18.75" x14ac:dyDescent="0.25">
      <c r="B39" s="47">
        <v>18</v>
      </c>
      <c r="C39" s="167">
        <v>23.698</v>
      </c>
      <c r="D39" s="167">
        <v>23.698</v>
      </c>
    </row>
    <row r="40" spans="2:4" ht="18.75" x14ac:dyDescent="0.25">
      <c r="B40" s="47">
        <v>19</v>
      </c>
      <c r="C40" s="167">
        <v>23.062000000000001</v>
      </c>
      <c r="D40" s="167">
        <v>23.062000000000001</v>
      </c>
    </row>
    <row r="41" spans="2:4" ht="18.75" x14ac:dyDescent="0.25">
      <c r="B41" s="47">
        <v>20</v>
      </c>
      <c r="C41" s="167">
        <v>23.655999999999999</v>
      </c>
      <c r="D41" s="167">
        <v>23.655999999999999</v>
      </c>
    </row>
    <row r="42" spans="2:4" ht="18.75" x14ac:dyDescent="0.25">
      <c r="B42" s="47">
        <v>21</v>
      </c>
      <c r="C42" s="167">
        <v>23.687000000000001</v>
      </c>
      <c r="D42" s="167">
        <v>23.687000000000001</v>
      </c>
    </row>
    <row r="43" spans="2:4" ht="18.75" x14ac:dyDescent="0.25">
      <c r="B43" s="47">
        <v>22</v>
      </c>
      <c r="C43" s="167">
        <v>22.817</v>
      </c>
      <c r="D43" s="167">
        <v>22.817</v>
      </c>
    </row>
    <row r="44" spans="2:4" ht="18.75" x14ac:dyDescent="0.25">
      <c r="B44" s="47">
        <v>23</v>
      </c>
      <c r="C44" s="167">
        <v>21.763000000000002</v>
      </c>
      <c r="D44" s="167">
        <v>21.763000000000002</v>
      </c>
    </row>
    <row r="45" spans="2:4" ht="18.75" x14ac:dyDescent="0.25">
      <c r="B45" s="47">
        <v>24</v>
      </c>
      <c r="C45" s="167"/>
      <c r="D45" s="167"/>
    </row>
    <row r="46" spans="2:4" ht="33.75" customHeight="1" x14ac:dyDescent="0.25">
      <c r="B46" s="48" t="s">
        <v>46</v>
      </c>
      <c r="C46" s="170">
        <f>AVERAGE(C22:C45)</f>
        <v>22.65608695652174</v>
      </c>
      <c r="D46" s="170"/>
    </row>
    <row r="47" spans="2:4" ht="31.5" x14ac:dyDescent="0.25">
      <c r="B47" s="50" t="s">
        <v>47</v>
      </c>
      <c r="C47" s="49">
        <f>_xlfn.STDEV.S(C21:C45)</f>
        <v>0.858366614311867</v>
      </c>
      <c r="D47" s="51" t="s">
        <v>48</v>
      </c>
    </row>
    <row r="48" spans="2:4" ht="15.75" x14ac:dyDescent="0.25">
      <c r="B48" s="48" t="s">
        <v>49</v>
      </c>
      <c r="C48" s="171" t="str">
        <f>IF(ABS(C47)&gt;=2.5,"NO CUMPLE CON DS T°C DEL SHELTER"," CUMPLE CON DS T°C DEL SHELTER")</f>
        <v xml:space="preserve"> CUMPLE CON DS T°C DEL SHELTER</v>
      </c>
      <c r="D48" s="171"/>
    </row>
    <row r="50" spans="1:5" ht="15.75" x14ac:dyDescent="0.25">
      <c r="A50" s="172"/>
      <c r="B50" s="172"/>
      <c r="C50" s="172"/>
      <c r="D50" s="172"/>
      <c r="E50" s="172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4" customWidth="1"/>
    <col min="3" max="3" width="67.5703125" style="34" customWidth="1"/>
    <col min="4" max="16384" width="11.42578125" style="34"/>
  </cols>
  <sheetData>
    <row r="2" spans="1:3" ht="15" x14ac:dyDescent="0.25">
      <c r="A2" s="33" t="s">
        <v>50</v>
      </c>
    </row>
    <row r="4" spans="1:3" ht="15" x14ac:dyDescent="0.25">
      <c r="A4" s="35" t="s">
        <v>51</v>
      </c>
      <c r="B4" s="35" t="s">
        <v>52</v>
      </c>
      <c r="C4" s="35" t="s">
        <v>53</v>
      </c>
    </row>
    <row r="5" spans="1:3" x14ac:dyDescent="0.2">
      <c r="A5" s="36">
        <v>44278</v>
      </c>
      <c r="B5" s="37">
        <v>6</v>
      </c>
      <c r="C5" s="38" t="s">
        <v>54</v>
      </c>
    </row>
    <row r="6" spans="1:3" x14ac:dyDescent="0.2">
      <c r="A6" s="36">
        <v>45439</v>
      </c>
      <c r="B6" s="37">
        <v>7</v>
      </c>
      <c r="C6" s="38" t="s">
        <v>55</v>
      </c>
    </row>
    <row r="7" spans="1:3" x14ac:dyDescent="0.2">
      <c r="A7" s="36"/>
      <c r="B7" s="37"/>
      <c r="C7" s="38"/>
    </row>
    <row r="8" spans="1:3" x14ac:dyDescent="0.2">
      <c r="A8" s="36"/>
      <c r="B8" s="37"/>
      <c r="C8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