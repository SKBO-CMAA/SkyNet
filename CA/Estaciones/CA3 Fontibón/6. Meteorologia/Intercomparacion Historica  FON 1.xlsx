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5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6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olman.perez\Desktop\Coordinación\Consultoria\Subcontratado\Estaciones\CA3 Fontibón\Meteorologia\"/>
    </mc:Choice>
  </mc:AlternateContent>
  <xr:revisionPtr revIDLastSave="0" documentId="13_ncr:1_{E0D29F2D-3615-4632-A1B6-09718771DD79}" xr6:coauthVersionLast="47" xr6:coauthVersionMax="47" xr10:uidLastSave="{00000000-0000-0000-0000-000000000000}"/>
  <bookViews>
    <workbookView xWindow="20385" yWindow="-855" windowWidth="14610" windowHeight="15585" firstSheet="3" activeTab="6" xr2:uid="{4774ADFB-FF2A-4B7A-BDA5-628D9C712F2F}"/>
  </bookViews>
  <sheets>
    <sheet name="Fechas " sheetId="1" r:id="rId1"/>
    <sheet name="230303" sheetId="6" state="hidden" r:id="rId2"/>
    <sheet name="230903" sheetId="5" state="hidden" r:id="rId3"/>
    <sheet name="23-11-24" sheetId="2" r:id="rId4"/>
    <sheet name="24-05-24" sheetId="3" r:id="rId5"/>
    <sheet name="24-11-25" sheetId="10" r:id="rId6"/>
    <sheet name="25-05-28" sheetId="7" r:id="rId7"/>
    <sheet name="Cambios" sheetId="11" r:id="rId8"/>
  </sheets>
  <externalReferences>
    <externalReference r:id="rId9"/>
    <externalReference r:id="rId10"/>
  </externalReferences>
  <definedNames>
    <definedName name="_xlnm._FilterDatabase" localSheetId="0" hidden="1">'Fechas '!$B$2:$E$4</definedName>
    <definedName name="ubiog">'[1]U. Biogeografica'!$E$2:$E$18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5" i="10" l="1"/>
  <c r="Z35" i="10"/>
  <c r="Y35" i="10"/>
  <c r="X35" i="10"/>
  <c r="W35" i="10"/>
  <c r="V35" i="10"/>
  <c r="U35" i="10"/>
  <c r="T35" i="10"/>
  <c r="AA34" i="10"/>
  <c r="Z34" i="10"/>
  <c r="Y34" i="10"/>
  <c r="X34" i="10"/>
  <c r="W34" i="10"/>
  <c r="V34" i="10"/>
  <c r="U34" i="10"/>
  <c r="T34" i="10"/>
  <c r="AA33" i="10"/>
  <c r="Z33" i="10"/>
  <c r="Y33" i="10"/>
  <c r="X33" i="10"/>
  <c r="W33" i="10"/>
  <c r="V33" i="10"/>
  <c r="U33" i="10"/>
  <c r="T33" i="10"/>
  <c r="AA32" i="10"/>
  <c r="Z32" i="10"/>
  <c r="Y32" i="10"/>
  <c r="X32" i="10"/>
  <c r="W32" i="10"/>
  <c r="V32" i="10"/>
  <c r="U32" i="10"/>
  <c r="T32" i="10"/>
  <c r="AA31" i="10"/>
  <c r="Z31" i="10"/>
  <c r="Y31" i="10"/>
  <c r="X31" i="10"/>
  <c r="W31" i="10"/>
  <c r="V31" i="10"/>
  <c r="U31" i="10"/>
  <c r="T31" i="10"/>
  <c r="AA30" i="10"/>
  <c r="Z30" i="10"/>
  <c r="Y30" i="10"/>
  <c r="X30" i="10"/>
  <c r="W30" i="10"/>
  <c r="V30" i="10"/>
  <c r="U30" i="10"/>
  <c r="T30" i="10"/>
  <c r="AA29" i="10"/>
  <c r="Z29" i="10"/>
  <c r="Y29" i="10"/>
  <c r="X29" i="10"/>
  <c r="W29" i="10"/>
  <c r="V29" i="10"/>
  <c r="U29" i="10"/>
  <c r="T29" i="10"/>
  <c r="AA28" i="10"/>
  <c r="Z28" i="10"/>
  <c r="Y28" i="10"/>
  <c r="X28" i="10"/>
  <c r="W28" i="10"/>
  <c r="V28" i="10"/>
  <c r="U28" i="10"/>
  <c r="T28" i="10"/>
  <c r="AA27" i="10"/>
  <c r="Z27" i="10"/>
  <c r="Y27" i="10"/>
  <c r="X27" i="10"/>
  <c r="W27" i="10"/>
  <c r="V27" i="10"/>
  <c r="U27" i="10"/>
  <c r="T27" i="10"/>
  <c r="AA26" i="10"/>
  <c r="Z26" i="10"/>
  <c r="Y26" i="10"/>
  <c r="X26" i="10"/>
  <c r="W26" i="10"/>
  <c r="V26" i="10"/>
  <c r="U26" i="10"/>
  <c r="T26" i="10"/>
  <c r="AA25" i="10"/>
  <c r="Z25" i="10"/>
  <c r="Y25" i="10"/>
  <c r="X25" i="10"/>
  <c r="W25" i="10"/>
  <c r="V25" i="10"/>
  <c r="U25" i="10"/>
  <c r="T25" i="10"/>
  <c r="AA24" i="10"/>
  <c r="Z24" i="10"/>
  <c r="Y24" i="10"/>
  <c r="X24" i="10"/>
  <c r="W24" i="10"/>
  <c r="V24" i="10"/>
  <c r="U24" i="10"/>
  <c r="T24" i="10"/>
  <c r="AA23" i="10"/>
  <c r="Z23" i="10"/>
  <c r="Y23" i="10"/>
  <c r="X23" i="10"/>
  <c r="W23" i="10"/>
  <c r="V23" i="10"/>
  <c r="U23" i="10"/>
  <c r="T23" i="10"/>
  <c r="AA22" i="10"/>
  <c r="Z22" i="10"/>
  <c r="Y22" i="10"/>
  <c r="X22" i="10"/>
  <c r="W22" i="10"/>
  <c r="V22" i="10"/>
  <c r="U22" i="10"/>
  <c r="T22" i="10"/>
  <c r="AA21" i="10"/>
  <c r="Z21" i="10"/>
  <c r="Y21" i="10"/>
  <c r="X21" i="10"/>
  <c r="W21" i="10"/>
  <c r="V21" i="10"/>
  <c r="U21" i="10"/>
  <c r="T21" i="10"/>
  <c r="AA20" i="10"/>
  <c r="Z20" i="10"/>
  <c r="Y20" i="10"/>
  <c r="X20" i="10"/>
  <c r="W20" i="10"/>
  <c r="V20" i="10"/>
  <c r="U20" i="10"/>
  <c r="T20" i="10"/>
  <c r="AA19" i="10"/>
  <c r="Z19" i="10"/>
  <c r="Y19" i="10"/>
  <c r="X19" i="10"/>
  <c r="W19" i="10"/>
  <c r="V19" i="10"/>
  <c r="U19" i="10"/>
  <c r="T19" i="10"/>
  <c r="AA18" i="10"/>
  <c r="Z18" i="10"/>
  <c r="Y18" i="10"/>
  <c r="X18" i="10"/>
  <c r="W18" i="10"/>
  <c r="V18" i="10"/>
  <c r="U18" i="10"/>
  <c r="T18" i="10"/>
  <c r="AA17" i="10"/>
  <c r="Z17" i="10"/>
  <c r="Y17" i="10"/>
  <c r="X17" i="10"/>
  <c r="W17" i="10"/>
  <c r="V17" i="10"/>
  <c r="U17" i="10"/>
  <c r="T17" i="10"/>
  <c r="AA16" i="10"/>
  <c r="Z16" i="10"/>
  <c r="Y16" i="10"/>
  <c r="X16" i="10"/>
  <c r="W16" i="10"/>
  <c r="V16" i="10"/>
  <c r="U16" i="10"/>
  <c r="T16" i="10"/>
  <c r="AA15" i="10"/>
  <c r="Z15" i="10"/>
  <c r="Y15" i="10"/>
  <c r="X15" i="10"/>
  <c r="W15" i="10"/>
  <c r="V15" i="10"/>
  <c r="U15" i="10"/>
  <c r="T15" i="10"/>
  <c r="AA14" i="10"/>
  <c r="Z14" i="10"/>
  <c r="Y14" i="10"/>
  <c r="X14" i="10"/>
  <c r="W14" i="10"/>
  <c r="V14" i="10"/>
  <c r="U14" i="10"/>
  <c r="T14" i="10"/>
  <c r="AA13" i="10"/>
  <c r="Z13" i="10"/>
  <c r="Y13" i="10"/>
  <c r="X13" i="10"/>
  <c r="W13" i="10"/>
  <c r="V13" i="10"/>
  <c r="U13" i="10"/>
  <c r="T13" i="10"/>
  <c r="AA12" i="10"/>
  <c r="Z12" i="10"/>
  <c r="Y12" i="10"/>
  <c r="X12" i="10"/>
  <c r="W12" i="10"/>
  <c r="V12" i="10"/>
  <c r="U12" i="10"/>
  <c r="T12" i="10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12" i="7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12" i="3"/>
  <c r="AA12" i="2"/>
  <c r="AB20" i="10" l="1"/>
  <c r="AB23" i="10"/>
  <c r="AB32" i="10"/>
  <c r="AB35" i="10"/>
  <c r="AB16" i="10"/>
  <c r="AB31" i="10"/>
  <c r="AB19" i="10"/>
  <c r="AB28" i="10"/>
  <c r="AB15" i="10"/>
  <c r="AB12" i="10"/>
  <c r="AB24" i="10"/>
  <c r="AB27" i="10"/>
  <c r="AB22" i="10"/>
  <c r="AB21" i="10"/>
  <c r="AB33" i="10"/>
  <c r="AB17" i="10"/>
  <c r="AB18" i="10"/>
  <c r="AB30" i="10"/>
  <c r="AB29" i="10"/>
  <c r="AB34" i="10"/>
  <c r="AB13" i="10"/>
  <c r="AB25" i="10"/>
  <c r="AB14" i="10"/>
  <c r="AB26" i="10"/>
  <c r="AA14" i="2"/>
  <c r="AA13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Z35" i="7" l="1"/>
  <c r="Y35" i="7"/>
  <c r="X35" i="7"/>
  <c r="W35" i="7"/>
  <c r="V35" i="7"/>
  <c r="U35" i="7"/>
  <c r="T35" i="7"/>
  <c r="Z34" i="7"/>
  <c r="Y34" i="7"/>
  <c r="X34" i="7"/>
  <c r="W34" i="7"/>
  <c r="V34" i="7"/>
  <c r="U34" i="7"/>
  <c r="T34" i="7"/>
  <c r="Z33" i="7"/>
  <c r="Y33" i="7"/>
  <c r="X33" i="7"/>
  <c r="W33" i="7"/>
  <c r="V33" i="7"/>
  <c r="U33" i="7"/>
  <c r="T33" i="7"/>
  <c r="Z32" i="7"/>
  <c r="Y32" i="7"/>
  <c r="X32" i="7"/>
  <c r="W32" i="7"/>
  <c r="V32" i="7"/>
  <c r="U32" i="7"/>
  <c r="T32" i="7"/>
  <c r="Z31" i="7"/>
  <c r="Y31" i="7"/>
  <c r="X31" i="7"/>
  <c r="W31" i="7"/>
  <c r="V31" i="7"/>
  <c r="U31" i="7"/>
  <c r="T31" i="7"/>
  <c r="Z30" i="7"/>
  <c r="Y30" i="7"/>
  <c r="X30" i="7"/>
  <c r="W30" i="7"/>
  <c r="V30" i="7"/>
  <c r="U30" i="7"/>
  <c r="T30" i="7"/>
  <c r="Z29" i="7"/>
  <c r="Y29" i="7"/>
  <c r="X29" i="7"/>
  <c r="W29" i="7"/>
  <c r="V29" i="7"/>
  <c r="U29" i="7"/>
  <c r="T29" i="7"/>
  <c r="Z28" i="7"/>
  <c r="Y28" i="7"/>
  <c r="X28" i="7"/>
  <c r="W28" i="7"/>
  <c r="V28" i="7"/>
  <c r="U28" i="7"/>
  <c r="T28" i="7"/>
  <c r="Z27" i="7"/>
  <c r="Y27" i="7"/>
  <c r="X27" i="7"/>
  <c r="W27" i="7"/>
  <c r="V27" i="7"/>
  <c r="U27" i="7"/>
  <c r="T27" i="7"/>
  <c r="Z26" i="7"/>
  <c r="Y26" i="7"/>
  <c r="X26" i="7"/>
  <c r="W26" i="7"/>
  <c r="V26" i="7"/>
  <c r="U26" i="7"/>
  <c r="T26" i="7"/>
  <c r="Z25" i="7"/>
  <c r="Y25" i="7"/>
  <c r="X25" i="7"/>
  <c r="W25" i="7"/>
  <c r="V25" i="7"/>
  <c r="U25" i="7"/>
  <c r="T25" i="7"/>
  <c r="Z24" i="7"/>
  <c r="Y24" i="7"/>
  <c r="X24" i="7"/>
  <c r="W24" i="7"/>
  <c r="V24" i="7"/>
  <c r="U24" i="7"/>
  <c r="T24" i="7"/>
  <c r="Z23" i="7"/>
  <c r="Y23" i="7"/>
  <c r="X23" i="7"/>
  <c r="W23" i="7"/>
  <c r="V23" i="7"/>
  <c r="U23" i="7"/>
  <c r="T23" i="7"/>
  <c r="Z22" i="7"/>
  <c r="Y22" i="7"/>
  <c r="X22" i="7"/>
  <c r="W22" i="7"/>
  <c r="V22" i="7"/>
  <c r="U22" i="7"/>
  <c r="T22" i="7"/>
  <c r="Z21" i="7"/>
  <c r="Y21" i="7"/>
  <c r="X21" i="7"/>
  <c r="W21" i="7"/>
  <c r="V21" i="7"/>
  <c r="U21" i="7"/>
  <c r="T21" i="7"/>
  <c r="Z20" i="7"/>
  <c r="Y20" i="7"/>
  <c r="X20" i="7"/>
  <c r="W20" i="7"/>
  <c r="V20" i="7"/>
  <c r="U20" i="7"/>
  <c r="T20" i="7"/>
  <c r="Z19" i="7"/>
  <c r="Y19" i="7"/>
  <c r="X19" i="7"/>
  <c r="W19" i="7"/>
  <c r="V19" i="7"/>
  <c r="U19" i="7"/>
  <c r="T19" i="7"/>
  <c r="Z18" i="7"/>
  <c r="Y18" i="7"/>
  <c r="X18" i="7"/>
  <c r="W18" i="7"/>
  <c r="V18" i="7"/>
  <c r="U18" i="7"/>
  <c r="T18" i="7"/>
  <c r="Z17" i="7"/>
  <c r="Y17" i="7"/>
  <c r="X17" i="7"/>
  <c r="W17" i="7"/>
  <c r="V17" i="7"/>
  <c r="U17" i="7"/>
  <c r="T17" i="7"/>
  <c r="Z16" i="7"/>
  <c r="Y16" i="7"/>
  <c r="X16" i="7"/>
  <c r="W16" i="7"/>
  <c r="V16" i="7"/>
  <c r="U16" i="7"/>
  <c r="T16" i="7"/>
  <c r="AB16" i="7" s="1"/>
  <c r="Z15" i="7"/>
  <c r="Y15" i="7"/>
  <c r="X15" i="7"/>
  <c r="W15" i="7"/>
  <c r="V15" i="7"/>
  <c r="U15" i="7"/>
  <c r="T15" i="7"/>
  <c r="Z14" i="7"/>
  <c r="Y14" i="7"/>
  <c r="X14" i="7"/>
  <c r="W14" i="7"/>
  <c r="V14" i="7"/>
  <c r="U14" i="7"/>
  <c r="T14" i="7"/>
  <c r="Z13" i="7"/>
  <c r="Y13" i="7"/>
  <c r="X13" i="7"/>
  <c r="W13" i="7"/>
  <c r="V13" i="7"/>
  <c r="U13" i="7"/>
  <c r="T13" i="7"/>
  <c r="Z12" i="7"/>
  <c r="Y12" i="7"/>
  <c r="X12" i="7"/>
  <c r="W12" i="7"/>
  <c r="V12" i="7"/>
  <c r="U12" i="7"/>
  <c r="T12" i="7"/>
  <c r="AA35" i="6"/>
  <c r="Z35" i="6"/>
  <c r="Y35" i="6"/>
  <c r="X35" i="6"/>
  <c r="W35" i="6"/>
  <c r="V35" i="6"/>
  <c r="U35" i="6"/>
  <c r="T35" i="6"/>
  <c r="AA34" i="6"/>
  <c r="Z34" i="6"/>
  <c r="Y34" i="6"/>
  <c r="X34" i="6"/>
  <c r="W34" i="6"/>
  <c r="V34" i="6"/>
  <c r="U34" i="6"/>
  <c r="T34" i="6"/>
  <c r="AA33" i="6"/>
  <c r="Z33" i="6"/>
  <c r="Y33" i="6"/>
  <c r="X33" i="6"/>
  <c r="W33" i="6"/>
  <c r="V33" i="6"/>
  <c r="U33" i="6"/>
  <c r="T33" i="6"/>
  <c r="AA32" i="6"/>
  <c r="Z32" i="6"/>
  <c r="Y32" i="6"/>
  <c r="X32" i="6"/>
  <c r="W32" i="6"/>
  <c r="V32" i="6"/>
  <c r="U32" i="6"/>
  <c r="T32" i="6"/>
  <c r="AA31" i="6"/>
  <c r="Z31" i="6"/>
  <c r="Y31" i="6"/>
  <c r="X31" i="6"/>
  <c r="W31" i="6"/>
  <c r="V31" i="6"/>
  <c r="U31" i="6"/>
  <c r="T31" i="6"/>
  <c r="AA30" i="6"/>
  <c r="Z30" i="6"/>
  <c r="Y30" i="6"/>
  <c r="X30" i="6"/>
  <c r="W30" i="6"/>
  <c r="V30" i="6"/>
  <c r="U30" i="6"/>
  <c r="T30" i="6"/>
  <c r="AA29" i="6"/>
  <c r="Z29" i="6"/>
  <c r="Y29" i="6"/>
  <c r="X29" i="6"/>
  <c r="W29" i="6"/>
  <c r="V29" i="6"/>
  <c r="U29" i="6"/>
  <c r="T29" i="6"/>
  <c r="AA28" i="6"/>
  <c r="Z28" i="6"/>
  <c r="Y28" i="6"/>
  <c r="X28" i="6"/>
  <c r="W28" i="6"/>
  <c r="V28" i="6"/>
  <c r="U28" i="6"/>
  <c r="T28" i="6"/>
  <c r="AA27" i="6"/>
  <c r="Z27" i="6"/>
  <c r="Y27" i="6"/>
  <c r="X27" i="6"/>
  <c r="W27" i="6"/>
  <c r="V27" i="6"/>
  <c r="U27" i="6"/>
  <c r="T27" i="6"/>
  <c r="AA26" i="6"/>
  <c r="Z26" i="6"/>
  <c r="Y26" i="6"/>
  <c r="X26" i="6"/>
  <c r="W26" i="6"/>
  <c r="V26" i="6"/>
  <c r="U26" i="6"/>
  <c r="T26" i="6"/>
  <c r="AA25" i="6"/>
  <c r="Z25" i="6"/>
  <c r="Y25" i="6"/>
  <c r="X25" i="6"/>
  <c r="W25" i="6"/>
  <c r="V25" i="6"/>
  <c r="U25" i="6"/>
  <c r="T25" i="6"/>
  <c r="AA24" i="6"/>
  <c r="Z24" i="6"/>
  <c r="Y24" i="6"/>
  <c r="X24" i="6"/>
  <c r="W24" i="6"/>
  <c r="V24" i="6"/>
  <c r="U24" i="6"/>
  <c r="T24" i="6"/>
  <c r="AA23" i="6"/>
  <c r="Z23" i="6"/>
  <c r="Y23" i="6"/>
  <c r="X23" i="6"/>
  <c r="W23" i="6"/>
  <c r="V23" i="6"/>
  <c r="U23" i="6"/>
  <c r="T23" i="6"/>
  <c r="AA22" i="6"/>
  <c r="Z22" i="6"/>
  <c r="Y22" i="6"/>
  <c r="X22" i="6"/>
  <c r="W22" i="6"/>
  <c r="V22" i="6"/>
  <c r="U22" i="6"/>
  <c r="T22" i="6"/>
  <c r="AA21" i="6"/>
  <c r="Z21" i="6"/>
  <c r="Y21" i="6"/>
  <c r="X21" i="6"/>
  <c r="W21" i="6"/>
  <c r="V21" i="6"/>
  <c r="U21" i="6"/>
  <c r="T21" i="6"/>
  <c r="AA20" i="6"/>
  <c r="Z20" i="6"/>
  <c r="Y20" i="6"/>
  <c r="X20" i="6"/>
  <c r="W20" i="6"/>
  <c r="V20" i="6"/>
  <c r="U20" i="6"/>
  <c r="T20" i="6"/>
  <c r="AA19" i="6"/>
  <c r="Z19" i="6"/>
  <c r="Y19" i="6"/>
  <c r="X19" i="6"/>
  <c r="W19" i="6"/>
  <c r="V19" i="6"/>
  <c r="U19" i="6"/>
  <c r="T19" i="6"/>
  <c r="AA18" i="6"/>
  <c r="Z18" i="6"/>
  <c r="Y18" i="6"/>
  <c r="X18" i="6"/>
  <c r="W18" i="6"/>
  <c r="V18" i="6"/>
  <c r="U18" i="6"/>
  <c r="T18" i="6"/>
  <c r="AA17" i="6"/>
  <c r="Z17" i="6"/>
  <c r="Y17" i="6"/>
  <c r="X17" i="6"/>
  <c r="W17" i="6"/>
  <c r="V17" i="6"/>
  <c r="U17" i="6"/>
  <c r="T17" i="6"/>
  <c r="AA16" i="6"/>
  <c r="Z16" i="6"/>
  <c r="Y16" i="6"/>
  <c r="X16" i="6"/>
  <c r="W16" i="6"/>
  <c r="V16" i="6"/>
  <c r="U16" i="6"/>
  <c r="T16" i="6"/>
  <c r="AA15" i="6"/>
  <c r="Z15" i="6"/>
  <c r="Y15" i="6"/>
  <c r="X15" i="6"/>
  <c r="W15" i="6"/>
  <c r="V15" i="6"/>
  <c r="U15" i="6"/>
  <c r="T15" i="6"/>
  <c r="AA14" i="6"/>
  <c r="Z14" i="6"/>
  <c r="Y14" i="6"/>
  <c r="X14" i="6"/>
  <c r="W14" i="6"/>
  <c r="V14" i="6"/>
  <c r="U14" i="6"/>
  <c r="T14" i="6"/>
  <c r="AA13" i="6"/>
  <c r="Z13" i="6"/>
  <c r="Y13" i="6"/>
  <c r="X13" i="6"/>
  <c r="W13" i="6"/>
  <c r="V13" i="6"/>
  <c r="U13" i="6"/>
  <c r="T13" i="6"/>
  <c r="AA12" i="6"/>
  <c r="Z12" i="6"/>
  <c r="Y12" i="6"/>
  <c r="X12" i="6"/>
  <c r="W12" i="6"/>
  <c r="V12" i="6"/>
  <c r="U12" i="6"/>
  <c r="T12" i="6"/>
  <c r="AA35" i="5"/>
  <c r="Z35" i="5"/>
  <c r="Y35" i="5"/>
  <c r="X35" i="5"/>
  <c r="W35" i="5"/>
  <c r="V35" i="5"/>
  <c r="U35" i="5"/>
  <c r="T35" i="5"/>
  <c r="AA34" i="5"/>
  <c r="Z34" i="5"/>
  <c r="Y34" i="5"/>
  <c r="X34" i="5"/>
  <c r="W34" i="5"/>
  <c r="V34" i="5"/>
  <c r="U34" i="5"/>
  <c r="T34" i="5"/>
  <c r="AA33" i="5"/>
  <c r="Z33" i="5"/>
  <c r="Y33" i="5"/>
  <c r="X33" i="5"/>
  <c r="W33" i="5"/>
  <c r="V33" i="5"/>
  <c r="U33" i="5"/>
  <c r="T33" i="5"/>
  <c r="AA32" i="5"/>
  <c r="Z32" i="5"/>
  <c r="Y32" i="5"/>
  <c r="X32" i="5"/>
  <c r="W32" i="5"/>
  <c r="V32" i="5"/>
  <c r="U32" i="5"/>
  <c r="T32" i="5"/>
  <c r="AA31" i="5"/>
  <c r="Z31" i="5"/>
  <c r="Y31" i="5"/>
  <c r="X31" i="5"/>
  <c r="W31" i="5"/>
  <c r="V31" i="5"/>
  <c r="U31" i="5"/>
  <c r="T31" i="5"/>
  <c r="AA30" i="5"/>
  <c r="Z30" i="5"/>
  <c r="Y30" i="5"/>
  <c r="X30" i="5"/>
  <c r="W30" i="5"/>
  <c r="V30" i="5"/>
  <c r="U30" i="5"/>
  <c r="T30" i="5"/>
  <c r="AA29" i="5"/>
  <c r="Z29" i="5"/>
  <c r="Y29" i="5"/>
  <c r="X29" i="5"/>
  <c r="W29" i="5"/>
  <c r="V29" i="5"/>
  <c r="U29" i="5"/>
  <c r="T29" i="5"/>
  <c r="AA28" i="5"/>
  <c r="Z28" i="5"/>
  <c r="Y28" i="5"/>
  <c r="X28" i="5"/>
  <c r="W28" i="5"/>
  <c r="V28" i="5"/>
  <c r="U28" i="5"/>
  <c r="T28" i="5"/>
  <c r="AA27" i="5"/>
  <c r="Z27" i="5"/>
  <c r="Y27" i="5"/>
  <c r="X27" i="5"/>
  <c r="W27" i="5"/>
  <c r="V27" i="5"/>
  <c r="U27" i="5"/>
  <c r="T27" i="5"/>
  <c r="AA26" i="5"/>
  <c r="Z26" i="5"/>
  <c r="Y26" i="5"/>
  <c r="X26" i="5"/>
  <c r="W26" i="5"/>
  <c r="V26" i="5"/>
  <c r="U26" i="5"/>
  <c r="T26" i="5"/>
  <c r="AA25" i="5"/>
  <c r="Z25" i="5"/>
  <c r="Y25" i="5"/>
  <c r="X25" i="5"/>
  <c r="W25" i="5"/>
  <c r="V25" i="5"/>
  <c r="U25" i="5"/>
  <c r="T25" i="5"/>
  <c r="AA24" i="5"/>
  <c r="Z24" i="5"/>
  <c r="Y24" i="5"/>
  <c r="X24" i="5"/>
  <c r="W24" i="5"/>
  <c r="V24" i="5"/>
  <c r="U24" i="5"/>
  <c r="T24" i="5"/>
  <c r="AA23" i="5"/>
  <c r="Z23" i="5"/>
  <c r="Y23" i="5"/>
  <c r="X23" i="5"/>
  <c r="W23" i="5"/>
  <c r="V23" i="5"/>
  <c r="U23" i="5"/>
  <c r="T23" i="5"/>
  <c r="AA22" i="5"/>
  <c r="Z22" i="5"/>
  <c r="Y22" i="5"/>
  <c r="X22" i="5"/>
  <c r="W22" i="5"/>
  <c r="V22" i="5"/>
  <c r="U22" i="5"/>
  <c r="T22" i="5"/>
  <c r="AA21" i="5"/>
  <c r="Z21" i="5"/>
  <c r="Y21" i="5"/>
  <c r="X21" i="5"/>
  <c r="W21" i="5"/>
  <c r="V21" i="5"/>
  <c r="U21" i="5"/>
  <c r="T21" i="5"/>
  <c r="AA20" i="5"/>
  <c r="Z20" i="5"/>
  <c r="Y20" i="5"/>
  <c r="X20" i="5"/>
  <c r="W20" i="5"/>
  <c r="V20" i="5"/>
  <c r="U20" i="5"/>
  <c r="T20" i="5"/>
  <c r="AA19" i="5"/>
  <c r="Z19" i="5"/>
  <c r="Y19" i="5"/>
  <c r="X19" i="5"/>
  <c r="W19" i="5"/>
  <c r="V19" i="5"/>
  <c r="U19" i="5"/>
  <c r="T19" i="5"/>
  <c r="AA18" i="5"/>
  <c r="Z18" i="5"/>
  <c r="Y18" i="5"/>
  <c r="X18" i="5"/>
  <c r="W18" i="5"/>
  <c r="V18" i="5"/>
  <c r="U18" i="5"/>
  <c r="T18" i="5"/>
  <c r="AA17" i="5"/>
  <c r="Z17" i="5"/>
  <c r="Y17" i="5"/>
  <c r="X17" i="5"/>
  <c r="W17" i="5"/>
  <c r="V17" i="5"/>
  <c r="U17" i="5"/>
  <c r="T17" i="5"/>
  <c r="AA16" i="5"/>
  <c r="Z16" i="5"/>
  <c r="Y16" i="5"/>
  <c r="X16" i="5"/>
  <c r="W16" i="5"/>
  <c r="V16" i="5"/>
  <c r="U16" i="5"/>
  <c r="T16" i="5"/>
  <c r="AA15" i="5"/>
  <c r="Z15" i="5"/>
  <c r="Y15" i="5"/>
  <c r="X15" i="5"/>
  <c r="W15" i="5"/>
  <c r="V15" i="5"/>
  <c r="U15" i="5"/>
  <c r="T15" i="5"/>
  <c r="AA14" i="5"/>
  <c r="Z14" i="5"/>
  <c r="Y14" i="5"/>
  <c r="X14" i="5"/>
  <c r="W14" i="5"/>
  <c r="V14" i="5"/>
  <c r="U14" i="5"/>
  <c r="T14" i="5"/>
  <c r="AA13" i="5"/>
  <c r="Z13" i="5"/>
  <c r="Y13" i="5"/>
  <c r="X13" i="5"/>
  <c r="W13" i="5"/>
  <c r="V13" i="5"/>
  <c r="U13" i="5"/>
  <c r="T13" i="5"/>
  <c r="AA12" i="5"/>
  <c r="Z12" i="5"/>
  <c r="Y12" i="5"/>
  <c r="X12" i="5"/>
  <c r="W12" i="5"/>
  <c r="V12" i="5"/>
  <c r="U12" i="5"/>
  <c r="T12" i="5"/>
  <c r="Z35" i="3"/>
  <c r="Y35" i="3"/>
  <c r="X35" i="3"/>
  <c r="W35" i="3"/>
  <c r="V35" i="3"/>
  <c r="U35" i="3"/>
  <c r="T35" i="3"/>
  <c r="Z34" i="3"/>
  <c r="Y34" i="3"/>
  <c r="X34" i="3"/>
  <c r="W34" i="3"/>
  <c r="V34" i="3"/>
  <c r="U34" i="3"/>
  <c r="T34" i="3"/>
  <c r="Z33" i="3"/>
  <c r="Y33" i="3"/>
  <c r="X33" i="3"/>
  <c r="W33" i="3"/>
  <c r="V33" i="3"/>
  <c r="U33" i="3"/>
  <c r="T33" i="3"/>
  <c r="Z32" i="3"/>
  <c r="Y32" i="3"/>
  <c r="X32" i="3"/>
  <c r="W32" i="3"/>
  <c r="V32" i="3"/>
  <c r="U32" i="3"/>
  <c r="T32" i="3"/>
  <c r="Z31" i="3"/>
  <c r="Y31" i="3"/>
  <c r="X31" i="3"/>
  <c r="W31" i="3"/>
  <c r="V31" i="3"/>
  <c r="U31" i="3"/>
  <c r="T31" i="3"/>
  <c r="Z30" i="3"/>
  <c r="Y30" i="3"/>
  <c r="X30" i="3"/>
  <c r="W30" i="3"/>
  <c r="V30" i="3"/>
  <c r="U30" i="3"/>
  <c r="T30" i="3"/>
  <c r="Z29" i="3"/>
  <c r="Y29" i="3"/>
  <c r="X29" i="3"/>
  <c r="W29" i="3"/>
  <c r="V29" i="3"/>
  <c r="U29" i="3"/>
  <c r="T29" i="3"/>
  <c r="Z28" i="3"/>
  <c r="Y28" i="3"/>
  <c r="X28" i="3"/>
  <c r="W28" i="3"/>
  <c r="V28" i="3"/>
  <c r="U28" i="3"/>
  <c r="T28" i="3"/>
  <c r="Z27" i="3"/>
  <c r="Y27" i="3"/>
  <c r="X27" i="3"/>
  <c r="W27" i="3"/>
  <c r="V27" i="3"/>
  <c r="U27" i="3"/>
  <c r="T27" i="3"/>
  <c r="Z26" i="3"/>
  <c r="Y26" i="3"/>
  <c r="X26" i="3"/>
  <c r="W26" i="3"/>
  <c r="V26" i="3"/>
  <c r="U26" i="3"/>
  <c r="T26" i="3"/>
  <c r="Z25" i="3"/>
  <c r="Y25" i="3"/>
  <c r="X25" i="3"/>
  <c r="W25" i="3"/>
  <c r="V25" i="3"/>
  <c r="U25" i="3"/>
  <c r="T25" i="3"/>
  <c r="Z24" i="3"/>
  <c r="Y24" i="3"/>
  <c r="X24" i="3"/>
  <c r="W24" i="3"/>
  <c r="V24" i="3"/>
  <c r="U24" i="3"/>
  <c r="T24" i="3"/>
  <c r="Z23" i="3"/>
  <c r="Y23" i="3"/>
  <c r="X23" i="3"/>
  <c r="W23" i="3"/>
  <c r="V23" i="3"/>
  <c r="U23" i="3"/>
  <c r="T23" i="3"/>
  <c r="Z22" i="3"/>
  <c r="Y22" i="3"/>
  <c r="X22" i="3"/>
  <c r="W22" i="3"/>
  <c r="V22" i="3"/>
  <c r="U22" i="3"/>
  <c r="T22" i="3"/>
  <c r="Z21" i="3"/>
  <c r="Y21" i="3"/>
  <c r="X21" i="3"/>
  <c r="W21" i="3"/>
  <c r="V21" i="3"/>
  <c r="U21" i="3"/>
  <c r="T21" i="3"/>
  <c r="Z20" i="3"/>
  <c r="Y20" i="3"/>
  <c r="X20" i="3"/>
  <c r="W20" i="3"/>
  <c r="V20" i="3"/>
  <c r="U20" i="3"/>
  <c r="T20" i="3"/>
  <c r="Z19" i="3"/>
  <c r="Y19" i="3"/>
  <c r="X19" i="3"/>
  <c r="W19" i="3"/>
  <c r="V19" i="3"/>
  <c r="U19" i="3"/>
  <c r="T19" i="3"/>
  <c r="Z18" i="3"/>
  <c r="Y18" i="3"/>
  <c r="X18" i="3"/>
  <c r="W18" i="3"/>
  <c r="V18" i="3"/>
  <c r="U18" i="3"/>
  <c r="T18" i="3"/>
  <c r="Z17" i="3"/>
  <c r="Y17" i="3"/>
  <c r="X17" i="3"/>
  <c r="W17" i="3"/>
  <c r="V17" i="3"/>
  <c r="U17" i="3"/>
  <c r="T17" i="3"/>
  <c r="Z16" i="3"/>
  <c r="Y16" i="3"/>
  <c r="X16" i="3"/>
  <c r="W16" i="3"/>
  <c r="V16" i="3"/>
  <c r="U16" i="3"/>
  <c r="T16" i="3"/>
  <c r="AB16" i="3" s="1"/>
  <c r="Z15" i="3"/>
  <c r="Y15" i="3"/>
  <c r="X15" i="3"/>
  <c r="W15" i="3"/>
  <c r="V15" i="3"/>
  <c r="U15" i="3"/>
  <c r="T15" i="3"/>
  <c r="Z14" i="3"/>
  <c r="Y14" i="3"/>
  <c r="X14" i="3"/>
  <c r="W14" i="3"/>
  <c r="V14" i="3"/>
  <c r="U14" i="3"/>
  <c r="T14" i="3"/>
  <c r="Z13" i="3"/>
  <c r="Y13" i="3"/>
  <c r="X13" i="3"/>
  <c r="W13" i="3"/>
  <c r="V13" i="3"/>
  <c r="U13" i="3"/>
  <c r="T13" i="3"/>
  <c r="Z12" i="3"/>
  <c r="Y12" i="3"/>
  <c r="X12" i="3"/>
  <c r="W12" i="3"/>
  <c r="V12" i="3"/>
  <c r="U12" i="3"/>
  <c r="T12" i="3"/>
  <c r="AB28" i="3" l="1"/>
  <c r="AB23" i="3"/>
  <c r="AB19" i="7"/>
  <c r="AB31" i="7"/>
  <c r="AB12" i="7"/>
  <c r="AB24" i="7"/>
  <c r="AB31" i="3"/>
  <c r="AB35" i="3"/>
  <c r="AB28" i="7"/>
  <c r="AB23" i="7"/>
  <c r="AB35" i="7"/>
  <c r="AB18" i="7"/>
  <c r="AB30" i="7"/>
  <c r="AB22" i="7"/>
  <c r="AB34" i="7"/>
  <c r="AB20" i="7"/>
  <c r="AB32" i="7"/>
  <c r="AB15" i="7"/>
  <c r="AB27" i="7"/>
  <c r="AB29" i="7"/>
  <c r="AB21" i="7"/>
  <c r="AB33" i="7"/>
  <c r="AB26" i="7"/>
  <c r="AB13" i="7"/>
  <c r="AB25" i="7"/>
  <c r="AB17" i="7"/>
  <c r="AB14" i="7"/>
  <c r="AB27" i="3"/>
  <c r="AB19" i="3"/>
  <c r="AB21" i="3"/>
  <c r="AB32" i="3"/>
  <c r="AB15" i="3"/>
  <c r="AB20" i="3"/>
  <c r="AB34" i="3"/>
  <c r="AB14" i="3"/>
  <c r="AB26" i="3"/>
  <c r="AB22" i="3"/>
  <c r="AB29" i="3"/>
  <c r="AB12" i="3"/>
  <c r="AB18" i="3"/>
  <c r="AB25" i="3"/>
  <c r="AB13" i="3"/>
  <c r="AB33" i="3"/>
  <c r="AB17" i="3"/>
  <c r="AB24" i="3"/>
  <c r="AB30" i="3"/>
  <c r="Z35" i="2"/>
  <c r="Y35" i="2"/>
  <c r="X35" i="2"/>
  <c r="W35" i="2"/>
  <c r="V35" i="2"/>
  <c r="U35" i="2"/>
  <c r="T35" i="2"/>
  <c r="Z34" i="2"/>
  <c r="Y34" i="2"/>
  <c r="X34" i="2"/>
  <c r="W34" i="2"/>
  <c r="V34" i="2"/>
  <c r="U34" i="2"/>
  <c r="T34" i="2"/>
  <c r="Z33" i="2"/>
  <c r="Y33" i="2"/>
  <c r="X33" i="2"/>
  <c r="W33" i="2"/>
  <c r="V33" i="2"/>
  <c r="U33" i="2"/>
  <c r="T33" i="2"/>
  <c r="Z32" i="2"/>
  <c r="Y32" i="2"/>
  <c r="X32" i="2"/>
  <c r="W32" i="2"/>
  <c r="V32" i="2"/>
  <c r="U32" i="2"/>
  <c r="T32" i="2"/>
  <c r="Z31" i="2"/>
  <c r="Y31" i="2"/>
  <c r="X31" i="2"/>
  <c r="W31" i="2"/>
  <c r="V31" i="2"/>
  <c r="U31" i="2"/>
  <c r="T31" i="2"/>
  <c r="Z30" i="2"/>
  <c r="Y30" i="2"/>
  <c r="X30" i="2"/>
  <c r="W30" i="2"/>
  <c r="V30" i="2"/>
  <c r="U30" i="2"/>
  <c r="T30" i="2"/>
  <c r="Z29" i="2"/>
  <c r="Y29" i="2"/>
  <c r="X29" i="2"/>
  <c r="W29" i="2"/>
  <c r="V29" i="2"/>
  <c r="U29" i="2"/>
  <c r="T29" i="2"/>
  <c r="Z28" i="2"/>
  <c r="Y28" i="2"/>
  <c r="X28" i="2"/>
  <c r="W28" i="2"/>
  <c r="V28" i="2"/>
  <c r="U28" i="2"/>
  <c r="T28" i="2"/>
  <c r="Z27" i="2"/>
  <c r="Y27" i="2"/>
  <c r="X27" i="2"/>
  <c r="W27" i="2"/>
  <c r="V27" i="2"/>
  <c r="U27" i="2"/>
  <c r="T27" i="2"/>
  <c r="Z26" i="2"/>
  <c r="Y26" i="2"/>
  <c r="X26" i="2"/>
  <c r="W26" i="2"/>
  <c r="V26" i="2"/>
  <c r="U26" i="2"/>
  <c r="T26" i="2"/>
  <c r="Z25" i="2"/>
  <c r="Y25" i="2"/>
  <c r="X25" i="2"/>
  <c r="W25" i="2"/>
  <c r="V25" i="2"/>
  <c r="U25" i="2"/>
  <c r="T25" i="2"/>
  <c r="Z24" i="2"/>
  <c r="Y24" i="2"/>
  <c r="X24" i="2"/>
  <c r="W24" i="2"/>
  <c r="V24" i="2"/>
  <c r="U24" i="2"/>
  <c r="T24" i="2"/>
  <c r="Z23" i="2"/>
  <c r="Y23" i="2"/>
  <c r="X23" i="2"/>
  <c r="W23" i="2"/>
  <c r="V23" i="2"/>
  <c r="U23" i="2"/>
  <c r="T23" i="2"/>
  <c r="Z22" i="2"/>
  <c r="Y22" i="2"/>
  <c r="X22" i="2"/>
  <c r="W22" i="2"/>
  <c r="V22" i="2"/>
  <c r="U22" i="2"/>
  <c r="T22" i="2"/>
  <c r="Z21" i="2"/>
  <c r="Y21" i="2"/>
  <c r="X21" i="2"/>
  <c r="W21" i="2"/>
  <c r="V21" i="2"/>
  <c r="U21" i="2"/>
  <c r="T21" i="2"/>
  <c r="Z20" i="2"/>
  <c r="Y20" i="2"/>
  <c r="X20" i="2"/>
  <c r="W20" i="2"/>
  <c r="V20" i="2"/>
  <c r="U20" i="2"/>
  <c r="T20" i="2"/>
  <c r="Z19" i="2"/>
  <c r="Y19" i="2"/>
  <c r="X19" i="2"/>
  <c r="W19" i="2"/>
  <c r="V19" i="2"/>
  <c r="U19" i="2"/>
  <c r="T19" i="2"/>
  <c r="Z18" i="2"/>
  <c r="Y18" i="2"/>
  <c r="X18" i="2"/>
  <c r="W18" i="2"/>
  <c r="V18" i="2"/>
  <c r="U18" i="2"/>
  <c r="T18" i="2"/>
  <c r="Z17" i="2"/>
  <c r="Y17" i="2"/>
  <c r="X17" i="2"/>
  <c r="W17" i="2"/>
  <c r="V17" i="2"/>
  <c r="U17" i="2"/>
  <c r="T17" i="2"/>
  <c r="Z16" i="2"/>
  <c r="Y16" i="2"/>
  <c r="X16" i="2"/>
  <c r="W16" i="2"/>
  <c r="V16" i="2"/>
  <c r="U16" i="2"/>
  <c r="T16" i="2"/>
  <c r="Z15" i="2"/>
  <c r="Y15" i="2"/>
  <c r="X15" i="2"/>
  <c r="W15" i="2"/>
  <c r="V15" i="2"/>
  <c r="U15" i="2"/>
  <c r="T15" i="2"/>
  <c r="Z14" i="2"/>
  <c r="Y14" i="2"/>
  <c r="X14" i="2"/>
  <c r="W14" i="2"/>
  <c r="V14" i="2"/>
  <c r="U14" i="2"/>
  <c r="T14" i="2"/>
  <c r="Z13" i="2"/>
  <c r="Y13" i="2"/>
  <c r="X13" i="2"/>
  <c r="W13" i="2"/>
  <c r="V13" i="2"/>
  <c r="U13" i="2"/>
  <c r="T13" i="2"/>
  <c r="Z12" i="2"/>
  <c r="Y12" i="2"/>
  <c r="X12" i="2"/>
  <c r="W12" i="2"/>
  <c r="V12" i="2"/>
  <c r="U12" i="2"/>
  <c r="T12" i="2"/>
  <c r="AB16" i="2" l="1"/>
  <c r="AB28" i="2"/>
  <c r="AB26" i="2"/>
  <c r="AB31" i="2"/>
  <c r="AB23" i="2"/>
  <c r="AB21" i="2"/>
  <c r="AB33" i="2"/>
  <c r="AB19" i="2"/>
  <c r="AB14" i="2"/>
  <c r="AB18" i="2"/>
  <c r="AB35" i="2"/>
  <c r="AB30" i="2"/>
  <c r="AB15" i="2"/>
  <c r="AB24" i="2"/>
  <c r="AB13" i="2"/>
  <c r="AB25" i="2"/>
  <c r="AB27" i="2"/>
  <c r="AB22" i="2"/>
  <c r="AB34" i="2"/>
  <c r="AB20" i="2"/>
  <c r="AB32" i="2"/>
  <c r="AB17" i="2"/>
  <c r="AB29" i="2"/>
  <c r="AB12" i="2"/>
</calcChain>
</file>

<file path=xl/sharedStrings.xml><?xml version="1.0" encoding="utf-8"?>
<sst xmlns="http://schemas.openxmlformats.org/spreadsheetml/2006/main" count="523" uniqueCount="82">
  <si>
    <t>FECHA INICIO</t>
  </si>
  <si>
    <t>FECHA FINAL</t>
  </si>
  <si>
    <t xml:space="preserve">ESTACION </t>
  </si>
  <si>
    <t>SERIAL DAVIS</t>
  </si>
  <si>
    <t>CA2</t>
  </si>
  <si>
    <t>BF230419006</t>
  </si>
  <si>
    <t>K2 INGENIERIA S.A.S</t>
  </si>
  <si>
    <t>Versión 02
18/08/2022
FOA802-13</t>
  </si>
  <si>
    <t>FORMATO DE COMPROBACION DE ESTACIÓN METEOROLÓGICA</t>
  </si>
  <si>
    <t>Téc. Metrólogo:</t>
  </si>
  <si>
    <t>Estación Meteorológica</t>
  </si>
  <si>
    <t>Marca</t>
  </si>
  <si>
    <t>Modelo</t>
  </si>
  <si>
    <t>Serie / 
Cod. Inventario</t>
  </si>
  <si>
    <t>Téc. Responsable:</t>
  </si>
  <si>
    <t>Equipo Patrón</t>
  </si>
  <si>
    <t>Supervisor:</t>
  </si>
  <si>
    <t>Equipo en comprobación</t>
  </si>
  <si>
    <t>Fecha</t>
  </si>
  <si>
    <t>Hora</t>
  </si>
  <si>
    <t>ESTACIÓN PATRÓN</t>
  </si>
  <si>
    <t>ESTACIÓN INTERCOMPARADA</t>
  </si>
  <si>
    <t>%Error Max. Asociado</t>
  </si>
  <si>
    <t>Cumplimiento</t>
  </si>
  <si>
    <t>Temp. Out</t>
  </si>
  <si>
    <t>H. Out</t>
  </si>
  <si>
    <t>P. Bar</t>
  </si>
  <si>
    <t>Dir.
Viento</t>
  </si>
  <si>
    <t>V. Viento</t>
  </si>
  <si>
    <t>Rad
Solar</t>
  </si>
  <si>
    <t>Uv
Index</t>
  </si>
  <si>
    <t>Precipitación</t>
  </si>
  <si>
    <t>Temp. Out R</t>
  </si>
  <si>
    <t>Uv.
Index</t>
  </si>
  <si>
    <t>Temp.    
Out 
&lt; 0.5°C</t>
  </si>
  <si>
    <t>H. Out
&lt; 5%</t>
  </si>
  <si>
    <t>P. Bar
&lt; 1 mm Hg</t>
  </si>
  <si>
    <t>Dir.
Viento
&lt; 22.5°</t>
  </si>
  <si>
    <t>V. Viento
&lt; 1 m/s</t>
  </si>
  <si>
    <t>Rad
Solar
&lt; 90</t>
  </si>
  <si>
    <t>Uv
Index.
&lt; 0.8</t>
  </si>
  <si>
    <t>Precipitación
&lt; 5%</t>
  </si>
  <si>
    <t>Fecha de Emisión:</t>
  </si>
  <si>
    <t>Trazabilidad:</t>
  </si>
  <si>
    <t>El equipo patrón utilizado tiene trazabilidad NIST fecha de calibracion</t>
  </si>
  <si>
    <t>Método empleado:</t>
  </si>
  <si>
    <t>Comparación directa.</t>
  </si>
  <si>
    <t>Conclusiones</t>
  </si>
  <si>
    <t>Los resultados de la intercomparación comprueban que los instrumentos trabajan dentro de los márgenes permitidos, siendo producto de 24 muestras con intervalo de 1 Hora.</t>
  </si>
  <si>
    <t>Variables analizadas:</t>
  </si>
  <si>
    <t>Temperatura, Humedad, Presión Barométrica, Dir viento, Vel viento, Radiación solar, Uv, Precipitación.</t>
  </si>
  <si>
    <r>
      <rPr>
        <b/>
        <sz val="16"/>
        <color theme="1"/>
        <rFont val="Aptos Narrow"/>
        <family val="2"/>
        <scheme val="minor"/>
      </rPr>
      <t>Versión 03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2"/>
        <color theme="1"/>
        <rFont val="Aptos Narrow"/>
        <family val="2"/>
        <scheme val="minor"/>
      </rPr>
      <t>2024-06-04</t>
    </r>
    <r>
      <rPr>
        <b/>
        <sz val="11"/>
        <color theme="1"/>
        <rFont val="Aptos Narrow"/>
        <family val="2"/>
        <scheme val="minor"/>
      </rPr>
      <t xml:space="preserve">
</t>
    </r>
    <r>
      <rPr>
        <b/>
        <sz val="16"/>
        <color theme="1"/>
        <rFont val="Aptos Narrow"/>
        <family val="2"/>
        <scheme val="minor"/>
      </rPr>
      <t>FOA802-13</t>
    </r>
  </si>
  <si>
    <t>serie / 
Cod. Inventario</t>
  </si>
  <si>
    <t>Error Max. Asociado</t>
  </si>
  <si>
    <t>NW</t>
  </si>
  <si>
    <t>NNW</t>
  </si>
  <si>
    <t>N</t>
  </si>
  <si>
    <t>NN</t>
  </si>
  <si>
    <t>NNE</t>
  </si>
  <si>
    <t>NE</t>
  </si>
  <si>
    <t>ESE</t>
  </si>
  <si>
    <t>SE</t>
  </si>
  <si>
    <t>S</t>
  </si>
  <si>
    <t>SSE</t>
  </si>
  <si>
    <t>WSW</t>
  </si>
  <si>
    <t>WNW</t>
  </si>
  <si>
    <t>CONTROL DE CAMBIOS</t>
  </si>
  <si>
    <t>FECHA</t>
  </si>
  <si>
    <t>VERSION</t>
  </si>
  <si>
    <t>CAMBIOS</t>
  </si>
  <si>
    <t>Emisión inicial</t>
  </si>
  <si>
    <t>Revisión general</t>
  </si>
  <si>
    <t>Revisión general. Cambio de logo y formato fecha aaaa-mm-dd</t>
  </si>
  <si>
    <t>El equipo patrón utilizado tiene trazabilidad NIST fecha de calibración.</t>
  </si>
  <si>
    <t>DULLYS ALBERTO DITA MEDINA</t>
  </si>
  <si>
    <t>ALEXANDER DIAZ HERRERA</t>
  </si>
  <si>
    <t>LEONARDO PÉREZ DÍAZ</t>
  </si>
  <si>
    <t>Davis</t>
  </si>
  <si>
    <t>Equipo de Comprobación</t>
  </si>
  <si>
    <t>BF230313003</t>
  </si>
  <si>
    <t>BH240808013</t>
  </si>
  <si>
    <t xml:space="preserve"> 6313U22500200873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</si>
</sst>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yyyy\-mm\-dd;@"/>
    <numFmt numFmtId="166" formatCode="[$-240A]hh:mm:ss\ AM/PM;@"/>
    <numFmt numFmtId="167" formatCode="[$-F800]dddd\,\ mmmm\ dd\,\ yyyy"/>
  </numFmts>
  <fonts count="1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rgb="FF242424"/>
      <name val="Aptos Narrow"/>
      <family val="2"/>
    </font>
    <font>
      <sz val="11"/>
      <color theme="1"/>
      <name val="Bai Jamjuree Medium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900"/>
        <bgColor indexed="64"/>
      </patternFill>
    </fill>
    <fill>
      <patternFill patternType="solid">
        <fgColor rgb="FFFFE0CC"/>
        <bgColor indexed="64"/>
      </patternFill>
    </fill>
    <fill>
      <patternFill patternType="solid">
        <fgColor rgb="FFFFB47F"/>
        <bgColor indexed="64"/>
      </patternFill>
    </fill>
    <fill>
      <patternFill patternType="solid">
        <fgColor rgb="FFE4DEDC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2"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2" borderId="0" xfId="0" applyFill="1"/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 wrapText="1"/>
    </xf>
    <xf numFmtId="0" fontId="0" fillId="4" borderId="22" xfId="0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0" fontId="0" fillId="5" borderId="23" xfId="0" applyFill="1" applyBorder="1" applyAlignment="1">
      <alignment horizontal="center" vertical="center" wrapText="1"/>
    </xf>
    <xf numFmtId="0" fontId="0" fillId="5" borderId="24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14" fontId="0" fillId="0" borderId="1" xfId="0" applyNumberFormat="1" applyBorder="1"/>
    <xf numFmtId="18" fontId="0" fillId="0" borderId="26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9" fontId="0" fillId="0" borderId="15" xfId="0" applyNumberForma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6" xfId="0" applyBorder="1" applyAlignment="1">
      <alignment horizontal="center"/>
    </xf>
    <xf numFmtId="9" fontId="0" fillId="0" borderId="28" xfId="0" applyNumberForma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0" xfId="0" applyBorder="1" applyAlignment="1">
      <alignment horizontal="center"/>
    </xf>
    <xf numFmtId="9" fontId="0" fillId="0" borderId="31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8" borderId="14" xfId="0" applyFill="1" applyBorder="1"/>
    <xf numFmtId="0" fontId="0" fillId="8" borderId="0" xfId="0" applyFill="1"/>
    <xf numFmtId="0" fontId="0" fillId="8" borderId="51" xfId="0" applyFill="1" applyBorder="1"/>
    <xf numFmtId="0" fontId="0" fillId="9" borderId="30" xfId="0" applyFill="1" applyBorder="1" applyAlignment="1">
      <alignment vertical="center"/>
    </xf>
    <xf numFmtId="0" fontId="0" fillId="9" borderId="0" xfId="0" applyFill="1" applyAlignment="1">
      <alignment vertical="center"/>
    </xf>
    <xf numFmtId="0" fontId="0" fillId="9" borderId="42" xfId="0" applyFill="1" applyBorder="1" applyAlignment="1">
      <alignment vertical="center"/>
    </xf>
    <xf numFmtId="0" fontId="0" fillId="5" borderId="1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10" borderId="57" xfId="0" applyFill="1" applyBorder="1" applyAlignment="1">
      <alignment horizontal="center" vertical="center" wrapText="1"/>
    </xf>
    <xf numFmtId="0" fontId="0" fillId="10" borderId="58" xfId="0" applyFill="1" applyBorder="1" applyAlignment="1">
      <alignment horizontal="center" vertical="center" wrapText="1"/>
    </xf>
    <xf numFmtId="0" fontId="0" fillId="10" borderId="10" xfId="0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8" fontId="0" fillId="0" borderId="33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9" fontId="0" fillId="0" borderId="26" xfId="0" applyNumberFormat="1" applyBorder="1" applyAlignment="1">
      <alignment horizontal="center"/>
    </xf>
    <xf numFmtId="0" fontId="4" fillId="0" borderId="60" xfId="0" applyFont="1" applyBorder="1" applyAlignment="1">
      <alignment horizontal="center"/>
    </xf>
    <xf numFmtId="18" fontId="0" fillId="0" borderId="26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4" fillId="0" borderId="59" xfId="0" applyFont="1" applyBorder="1" applyAlignment="1">
      <alignment horizontal="center"/>
    </xf>
    <xf numFmtId="14" fontId="0" fillId="12" borderId="2" xfId="0" applyNumberFormat="1" applyFill="1" applyBorder="1" applyAlignment="1">
      <alignment horizontal="center" vertical="center"/>
    </xf>
    <xf numFmtId="14" fontId="0" fillId="12" borderId="3" xfId="0" applyNumberFormat="1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14" fontId="0" fillId="12" borderId="7" xfId="0" applyNumberFormat="1" applyFill="1" applyBorder="1" applyAlignment="1">
      <alignment horizontal="center" vertical="center"/>
    </xf>
    <xf numFmtId="14" fontId="0" fillId="12" borderId="1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28" xfId="0" applyFill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14" fontId="0" fillId="0" borderId="36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30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36" xfId="0" applyNumberFormat="1" applyBorder="1" applyAlignment="1">
      <alignment horizontal="center"/>
    </xf>
    <xf numFmtId="1" fontId="0" fillId="0" borderId="28" xfId="0" applyNumberFormat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1" fontId="0" fillId="0" borderId="38" xfId="0" applyNumberFormat="1" applyBorder="1" applyAlignment="1">
      <alignment horizontal="center"/>
    </xf>
    <xf numFmtId="1" fontId="0" fillId="7" borderId="9" xfId="0" applyNumberFormat="1" applyFill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0" borderId="42" xfId="0" applyNumberFormat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10" fillId="8" borderId="1" xfId="0" applyFont="1" applyFill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justify" vertical="top"/>
    </xf>
    <xf numFmtId="0" fontId="0" fillId="0" borderId="2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1" xfId="0" applyBorder="1" applyAlignment="1">
      <alignment horizontal="center"/>
    </xf>
    <xf numFmtId="0" fontId="6" fillId="0" borderId="43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2" fillId="7" borderId="43" xfId="0" applyFont="1" applyFill="1" applyBorder="1" applyAlignment="1">
      <alignment horizontal="center" vertical="center" wrapText="1"/>
    </xf>
    <xf numFmtId="0" fontId="2" fillId="7" borderId="45" xfId="0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2" fillId="7" borderId="48" xfId="0" applyFont="1" applyFill="1" applyBorder="1" applyAlignment="1">
      <alignment horizontal="center" vertical="center" wrapText="1"/>
    </xf>
    <xf numFmtId="0" fontId="2" fillId="7" borderId="49" xfId="0" applyFont="1" applyFill="1" applyBorder="1" applyAlignment="1">
      <alignment horizontal="center" vertical="center" wrapText="1"/>
    </xf>
    <xf numFmtId="0" fontId="2" fillId="7" borderId="50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2" fillId="9" borderId="26" xfId="0" applyFont="1" applyFill="1" applyBorder="1" applyAlignment="1">
      <alignment horizontal="center" vertical="center"/>
    </xf>
    <xf numFmtId="0" fontId="2" fillId="9" borderId="52" xfId="0" applyFont="1" applyFill="1" applyBorder="1" applyAlignment="1">
      <alignment horizontal="center" vertical="center"/>
    </xf>
    <xf numFmtId="0" fontId="2" fillId="9" borderId="38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26" xfId="0" applyFont="1" applyFill="1" applyBorder="1" applyAlignment="1">
      <alignment horizontal="center" vertical="center" wrapText="1"/>
    </xf>
    <xf numFmtId="0" fontId="2" fillId="9" borderId="38" xfId="0" applyFont="1" applyFill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2" fillId="10" borderId="55" xfId="0" applyFont="1" applyFill="1" applyBorder="1" applyAlignment="1">
      <alignment horizontal="center" vertical="center"/>
    </xf>
    <xf numFmtId="0" fontId="2" fillId="10" borderId="59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 wrapText="1"/>
    </xf>
    <xf numFmtId="0" fontId="0" fillId="9" borderId="31" xfId="0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10" borderId="53" xfId="0" applyFont="1" applyFill="1" applyBorder="1" applyAlignment="1">
      <alignment horizontal="center" vertical="center"/>
    </xf>
    <xf numFmtId="0" fontId="2" fillId="10" borderId="54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left" vertical="center"/>
    </xf>
    <xf numFmtId="0" fontId="2" fillId="11" borderId="3" xfId="0" applyFont="1" applyFill="1" applyBorder="1" applyAlignment="1">
      <alignment horizontal="left" vertical="center"/>
    </xf>
    <xf numFmtId="167" fontId="5" fillId="0" borderId="33" xfId="0" applyNumberFormat="1" applyFont="1" applyBorder="1" applyAlignment="1">
      <alignment horizontal="center" vertical="center"/>
    </xf>
    <xf numFmtId="167" fontId="5" fillId="0" borderId="34" xfId="0" applyNumberFormat="1" applyFont="1" applyBorder="1" applyAlignment="1">
      <alignment horizontal="center" vertical="center"/>
    </xf>
    <xf numFmtId="167" fontId="5" fillId="0" borderId="35" xfId="0" applyNumberFormat="1" applyFont="1" applyBorder="1" applyAlignment="1">
      <alignment horizontal="center" vertical="center"/>
    </xf>
    <xf numFmtId="0" fontId="2" fillId="9" borderId="36" xfId="0" applyFont="1" applyFill="1" applyBorder="1" applyAlignment="1">
      <alignment horizontal="left" vertical="center"/>
    </xf>
    <xf numFmtId="0" fontId="2" fillId="9" borderId="33" xfId="0" applyFont="1" applyFill="1" applyBorder="1" applyAlignment="1">
      <alignment horizontal="left" vertical="center"/>
    </xf>
    <xf numFmtId="0" fontId="0" fillId="0" borderId="61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2" fillId="11" borderId="37" xfId="0" applyFont="1" applyFill="1" applyBorder="1" applyAlignment="1">
      <alignment horizontal="left" vertical="center"/>
    </xf>
    <xf numFmtId="0" fontId="2" fillId="11" borderId="38" xfId="0" applyFont="1" applyFill="1" applyBorder="1" applyAlignment="1">
      <alignment horizontal="left" vertical="center"/>
    </xf>
    <xf numFmtId="0" fontId="5" fillId="0" borderId="21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2" fillId="9" borderId="21" xfId="0" applyFont="1" applyFill="1" applyBorder="1" applyAlignment="1">
      <alignment horizontal="left" vertical="center"/>
    </xf>
    <xf numFmtId="0" fontId="2" fillId="9" borderId="39" xfId="0" applyFont="1" applyFill="1" applyBorder="1" applyAlignment="1">
      <alignment horizontal="left" vertical="center"/>
    </xf>
    <xf numFmtId="0" fontId="2" fillId="9" borderId="10" xfId="0" applyFont="1" applyFill="1" applyBorder="1" applyAlignment="1">
      <alignment horizontal="left" vertical="center"/>
    </xf>
    <xf numFmtId="0" fontId="2" fillId="9" borderId="11" xfId="0" applyFont="1" applyFill="1" applyBorder="1" applyAlignment="1">
      <alignment horizontal="left" vertical="center"/>
    </xf>
    <xf numFmtId="0" fontId="0" fillId="0" borderId="62" xfId="0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0" fillId="0" borderId="63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50" xfId="0" applyBorder="1" applyAlignment="1">
      <alignment horizontal="left" vertical="center" wrapText="1"/>
    </xf>
    <xf numFmtId="0" fontId="2" fillId="11" borderId="41" xfId="0" applyFont="1" applyFill="1" applyBorder="1" applyAlignment="1">
      <alignment horizontal="left" vertical="center"/>
    </xf>
    <xf numFmtId="0" fontId="2" fillId="11" borderId="42" xfId="0" applyFont="1" applyFill="1" applyBorder="1" applyAlignment="1">
      <alignment horizontal="left" vertical="center"/>
    </xf>
    <xf numFmtId="0" fontId="11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14" fontId="5" fillId="0" borderId="33" xfId="0" applyNumberFormat="1" applyFont="1" applyBorder="1" applyAlignment="1">
      <alignment horizontal="center" vertical="center"/>
    </xf>
    <xf numFmtId="14" fontId="5" fillId="0" borderId="34" xfId="0" applyNumberFormat="1" applyFont="1" applyBorder="1" applyAlignment="1">
      <alignment horizontal="center" vertical="center"/>
    </xf>
    <xf numFmtId="14" fontId="5" fillId="0" borderId="35" xfId="0" applyNumberFormat="1" applyFont="1" applyBorder="1" applyAlignment="1">
      <alignment horizontal="center" vertical="center"/>
    </xf>
    <xf numFmtId="0" fontId="2" fillId="2" borderId="36" xfId="0" applyFont="1" applyFill="1" applyBorder="1" applyAlignment="1">
      <alignment horizontal="left" vertical="center"/>
    </xf>
    <xf numFmtId="0" fontId="2" fillId="2" borderId="37" xfId="0" applyFont="1" applyFill="1" applyBorder="1" applyAlignment="1">
      <alignment horizontal="left" vertical="center"/>
    </xf>
    <xf numFmtId="0" fontId="2" fillId="2" borderId="38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0" fontId="2" fillId="2" borderId="39" xfId="0" applyFont="1" applyFill="1" applyBorder="1" applyAlignment="1">
      <alignment horizontal="left" vertical="center"/>
    </xf>
    <xf numFmtId="0" fontId="2" fillId="2" borderId="40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0" fillId="0" borderId="21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2" fillId="2" borderId="41" xfId="0" applyFont="1" applyFill="1" applyBorder="1" applyAlignment="1">
      <alignment horizontal="left" vertical="center"/>
    </xf>
    <xf numFmtId="0" fontId="2" fillId="2" borderId="42" xfId="0" applyFont="1" applyFill="1" applyBorder="1" applyAlignment="1">
      <alignment horizontal="left" vertical="center"/>
    </xf>
    <xf numFmtId="0" fontId="0" fillId="0" borderId="10" xfId="0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fgColor theme="6" tint="0.79989013336588644"/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7CE"/>
      <color rgb="FF9C0006"/>
      <color rgb="FF006100"/>
      <color rgb="FF006200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Temp.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'[2]FOA802-13_BA171114005'!$D$11</c:f>
              <c:strCache>
                <c:ptCount val="1"/>
                <c:pt idx="0">
                  <c:v>Temp. 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'[2]FOA802-13_BA171114005'!$D$12:$D$35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6E-42AF-8DE2-4BD55F51BC7D}"/>
            </c:ext>
          </c:extLst>
        </c:ser>
        <c:ser>
          <c:idx val="1"/>
          <c:order val="1"/>
          <c:tx>
            <c:strRef>
              <c:f>'[2]FOA802-13_BA171114005'!$L$11</c:f>
              <c:strCache>
                <c:ptCount val="1"/>
                <c:pt idx="0">
                  <c:v>Temp. Out 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'[2]FOA802-13_BA171114005'!$L$12:$L$35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6E-42AF-8DE2-4BD55F51B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812624"/>
        <c:axId val="1385806384"/>
      </c:lineChart>
      <c:catAx>
        <c:axId val="1385812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06384"/>
        <c:crosses val="autoZero"/>
        <c:auto val="1"/>
        <c:lblAlgn val="ctr"/>
        <c:lblOffset val="100"/>
        <c:noMultiLvlLbl val="0"/>
      </c:catAx>
      <c:valAx>
        <c:axId val="138580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H.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'[2]FOA802-13_BA171114005'!$E$11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'[2]FOA802-13_BA171114005'!$E$12:$E$35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4-4A12-8BE4-C801E4F24647}"/>
            </c:ext>
          </c:extLst>
        </c:ser>
        <c:ser>
          <c:idx val="1"/>
          <c:order val="1"/>
          <c:tx>
            <c:strRef>
              <c:f>'[2]FOA802-13_BA171114005'!$M$11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'[2]FOA802-13_BA171114005'!$M$12:$M$35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24-4A12-8BE4-C801E4F24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818032"/>
        <c:axId val="1385814288"/>
      </c:lineChart>
      <c:catAx>
        <c:axId val="1385818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4288"/>
        <c:crosses val="autoZero"/>
        <c:auto val="1"/>
        <c:lblAlgn val="ctr"/>
        <c:lblOffset val="100"/>
        <c:noMultiLvlLbl val="0"/>
      </c:catAx>
      <c:valAx>
        <c:axId val="138581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Dir.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'[2]FOA802-13_BA171114005'!$G$11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'[2]FOA802-13_BA171114005'!$G$12:$G$35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37-4905-B0F5-01C8F63F06E7}"/>
            </c:ext>
          </c:extLst>
        </c:ser>
        <c:ser>
          <c:idx val="1"/>
          <c:order val="1"/>
          <c:tx>
            <c:strRef>
              <c:f>'[2]FOA802-13_BA171114005'!$O$11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'[2]FOA802-13_BA171114005'!$O$12:$O$35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37-4905-B0F5-01C8F63F0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656064"/>
        <c:axId val="1387647328"/>
      </c:lineChart>
      <c:catAx>
        <c:axId val="1387656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47328"/>
        <c:crosses val="autoZero"/>
        <c:auto val="1"/>
        <c:lblAlgn val="ctr"/>
        <c:lblOffset val="100"/>
        <c:noMultiLvlLbl val="0"/>
      </c:catAx>
      <c:valAx>
        <c:axId val="138764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5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V.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'[2]FOA802-13_BA171114005'!$H$11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'[2]FOA802-13_BA171114005'!$H$12:$H$35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3E-40A3-9D8E-71291741EB12}"/>
            </c:ext>
          </c:extLst>
        </c:ser>
        <c:ser>
          <c:idx val="1"/>
          <c:order val="1"/>
          <c:tx>
            <c:strRef>
              <c:f>'[2]FOA802-13_BA171114005'!$P$11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'[2]FOA802-13_BA171114005'!$P$12:$P$35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3E-40A3-9D8E-71291741E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7040000"/>
        <c:axId val="1317047904"/>
      </c:lineChart>
      <c:catAx>
        <c:axId val="1317040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17047904"/>
        <c:crosses val="autoZero"/>
        <c:auto val="1"/>
        <c:lblAlgn val="ctr"/>
        <c:lblOffset val="100"/>
        <c:noMultiLvlLbl val="0"/>
      </c:catAx>
      <c:valAx>
        <c:axId val="131704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1704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Solar Rad.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'[2]FOA802-13_BA171114005'!$I$11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'[2]FOA802-13_BA171114005'!$I$12:$I$35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22-40DB-B956-60105E08BC59}"/>
            </c:ext>
          </c:extLst>
        </c:ser>
        <c:ser>
          <c:idx val="1"/>
          <c:order val="1"/>
          <c:tx>
            <c:strRef>
              <c:f>'[2]FOA802-13_BA171114005'!$Q$11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'[2]FOA802-13_BA171114005'!$Q$12:$Q$35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22-40DB-B956-60105E08B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645248"/>
        <c:axId val="1387651072"/>
      </c:lineChart>
      <c:catAx>
        <c:axId val="1387645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51072"/>
        <c:crosses val="autoZero"/>
        <c:auto val="1"/>
        <c:lblAlgn val="ctr"/>
        <c:lblOffset val="100"/>
        <c:noMultiLvlLbl val="0"/>
      </c:catAx>
      <c:valAx>
        <c:axId val="138765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4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Uv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'[2]FOA802-13_BA171114005'!$J$11</c:f>
              <c:strCache>
                <c:ptCount val="1"/>
                <c:pt idx="0">
                  <c:v>Uv
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'[2]FOA802-13_BA171114005'!$J$12:$J$35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C1-48C5-ACA1-783D38F491C4}"/>
            </c:ext>
          </c:extLst>
        </c:ser>
        <c:ser>
          <c:idx val="1"/>
          <c:order val="1"/>
          <c:tx>
            <c:strRef>
              <c:f>'[2]FOA802-13_BA171114005'!$R$11</c:f>
              <c:strCache>
                <c:ptCount val="1"/>
                <c:pt idx="0">
                  <c:v>Uv.
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'[2]FOA802-13_BA171114005'!$R$12:$R$35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C1-48C5-ACA1-783D38F49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5626592"/>
        <c:axId val="1365624096"/>
      </c:lineChart>
      <c:catAx>
        <c:axId val="1365626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65624096"/>
        <c:crosses val="autoZero"/>
        <c:auto val="1"/>
        <c:lblAlgn val="ctr"/>
        <c:lblOffset val="100"/>
        <c:noMultiLvlLbl val="0"/>
      </c:catAx>
      <c:valAx>
        <c:axId val="136562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6562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P. 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'[2]FOA802-13_BA171114005'!$F$11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'[2]FOA802-13_BA171114005'!$F$12:$F$35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19-47AC-BA59-BFE1844A3D32}"/>
            </c:ext>
          </c:extLst>
        </c:ser>
        <c:ser>
          <c:idx val="1"/>
          <c:order val="1"/>
          <c:tx>
            <c:strRef>
              <c:f>'[2]FOA802-13_BA171114005'!$N$11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'[2]FOA802-13_BA171114005'!$N$12:$N$35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19-47AC-BA59-BFE1844A3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0517728"/>
        <c:axId val="1280515232"/>
      </c:lineChart>
      <c:catAx>
        <c:axId val="1280517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80515232"/>
        <c:crosses val="autoZero"/>
        <c:auto val="1"/>
        <c:lblAlgn val="ctr"/>
        <c:lblOffset val="100"/>
        <c:noMultiLvlLbl val="0"/>
      </c:catAx>
      <c:valAx>
        <c:axId val="128051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8051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Precipitación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'[2]FOA802-13_BA171114005'!$K$11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'[2]FOA802-13_BA171114005'!$K$12:$K$35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32-46EE-B69E-38EB2B6DF6B9}"/>
            </c:ext>
          </c:extLst>
        </c:ser>
        <c:ser>
          <c:idx val="1"/>
          <c:order val="1"/>
          <c:tx>
            <c:strRef>
              <c:f>'[2]FOA802-13_BA171114005'!$S$11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'[2]FOA802-13_BA171114005'!$S$12:$S$35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32-46EE-B69E-38EB2B6DF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819088"/>
        <c:axId val="226799120"/>
      </c:lineChart>
      <c:catAx>
        <c:axId val="226819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26799120"/>
        <c:crosses val="autoZero"/>
        <c:auto val="1"/>
        <c:lblAlgn val="ctr"/>
        <c:lblOffset val="100"/>
        <c:noMultiLvlLbl val="0"/>
      </c:catAx>
      <c:valAx>
        <c:axId val="22679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2681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Temp.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'[2]FOA802-13_BA171114005'!$D$11</c:f>
              <c:strCache>
                <c:ptCount val="1"/>
                <c:pt idx="0">
                  <c:v>Temp. 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'[2]FOA802-13_BA171114005'!$D$12:$D$35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05-4363-B468-EA0CADE6C734}"/>
            </c:ext>
          </c:extLst>
        </c:ser>
        <c:ser>
          <c:idx val="1"/>
          <c:order val="1"/>
          <c:tx>
            <c:strRef>
              <c:f>'[2]FOA802-13_BA171114005'!$L$11</c:f>
              <c:strCache>
                <c:ptCount val="1"/>
                <c:pt idx="0">
                  <c:v>Temp. Out 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'[2]FOA802-13_BA171114005'!$L$12:$L$35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05-4363-B468-EA0CADE6C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812624"/>
        <c:axId val="1385806384"/>
      </c:lineChart>
      <c:catAx>
        <c:axId val="1385812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06384"/>
        <c:crosses val="autoZero"/>
        <c:auto val="1"/>
        <c:lblAlgn val="ctr"/>
        <c:lblOffset val="100"/>
        <c:noMultiLvlLbl val="0"/>
      </c:catAx>
      <c:valAx>
        <c:axId val="138580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H.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'[2]FOA802-13_BA171114005'!$E$11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'[2]FOA802-13_BA171114005'!$E$12:$E$35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5C-4498-8A98-66DA4856EB6D}"/>
            </c:ext>
          </c:extLst>
        </c:ser>
        <c:ser>
          <c:idx val="1"/>
          <c:order val="1"/>
          <c:tx>
            <c:strRef>
              <c:f>'[2]FOA802-13_BA171114005'!$M$11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'[2]FOA802-13_BA171114005'!$M$12:$M$35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5C-4498-8A98-66DA4856E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818032"/>
        <c:axId val="1385814288"/>
      </c:lineChart>
      <c:catAx>
        <c:axId val="1385818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4288"/>
        <c:crosses val="autoZero"/>
        <c:auto val="1"/>
        <c:lblAlgn val="ctr"/>
        <c:lblOffset val="100"/>
        <c:noMultiLvlLbl val="0"/>
      </c:catAx>
      <c:valAx>
        <c:axId val="138581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Dir.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'[2]FOA802-13_BA171114005'!$G$11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'[2]FOA802-13_BA171114005'!$G$12:$G$35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7E-4F6C-91E7-F0A1D6813070}"/>
            </c:ext>
          </c:extLst>
        </c:ser>
        <c:ser>
          <c:idx val="1"/>
          <c:order val="1"/>
          <c:tx>
            <c:strRef>
              <c:f>'[2]FOA802-13_BA171114005'!$O$11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'[2]FOA802-13_BA171114005'!$O$12:$O$35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7E-4F6C-91E7-F0A1D6813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656064"/>
        <c:axId val="1387647328"/>
      </c:lineChart>
      <c:catAx>
        <c:axId val="1387656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47328"/>
        <c:crosses val="autoZero"/>
        <c:auto val="1"/>
        <c:lblAlgn val="ctr"/>
        <c:lblOffset val="100"/>
        <c:noMultiLvlLbl val="0"/>
      </c:catAx>
      <c:valAx>
        <c:axId val="138764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5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V.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'[2]FOA802-13_BA171114005'!$H$11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'[2]FOA802-13_BA171114005'!$H$12:$H$35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48-4C6F-B1BE-9219575BCD9E}"/>
            </c:ext>
          </c:extLst>
        </c:ser>
        <c:ser>
          <c:idx val="1"/>
          <c:order val="1"/>
          <c:tx>
            <c:strRef>
              <c:f>'[2]FOA802-13_BA171114005'!$P$11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'[2]FOA802-13_BA171114005'!$P$12:$P$35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48-4C6F-B1BE-9219575BC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7040000"/>
        <c:axId val="1317047904"/>
      </c:lineChart>
      <c:catAx>
        <c:axId val="1317040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17047904"/>
        <c:crosses val="autoZero"/>
        <c:auto val="1"/>
        <c:lblAlgn val="ctr"/>
        <c:lblOffset val="100"/>
        <c:noMultiLvlLbl val="0"/>
      </c:catAx>
      <c:valAx>
        <c:axId val="131704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1704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Solar Rad.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'[2]FOA802-13_BA171114005'!$I$11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'[2]FOA802-13_BA171114005'!$I$12:$I$35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09-48D0-900D-661F63007CAC}"/>
            </c:ext>
          </c:extLst>
        </c:ser>
        <c:ser>
          <c:idx val="1"/>
          <c:order val="1"/>
          <c:tx>
            <c:strRef>
              <c:f>'[2]FOA802-13_BA171114005'!$Q$11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'[2]FOA802-13_BA171114005'!$Q$12:$Q$35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09-48D0-900D-661F63007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645248"/>
        <c:axId val="1387651072"/>
      </c:lineChart>
      <c:catAx>
        <c:axId val="1387645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51072"/>
        <c:crosses val="autoZero"/>
        <c:auto val="1"/>
        <c:lblAlgn val="ctr"/>
        <c:lblOffset val="100"/>
        <c:noMultiLvlLbl val="0"/>
      </c:catAx>
      <c:valAx>
        <c:axId val="138765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4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Uv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'[2]FOA802-13_BA171114005'!$J$11</c:f>
              <c:strCache>
                <c:ptCount val="1"/>
                <c:pt idx="0">
                  <c:v>Uv
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'[2]FOA802-13_BA171114005'!$J$12:$J$35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C4-48AE-B588-359DE19B0672}"/>
            </c:ext>
          </c:extLst>
        </c:ser>
        <c:ser>
          <c:idx val="1"/>
          <c:order val="1"/>
          <c:tx>
            <c:strRef>
              <c:f>'[2]FOA802-13_BA171114005'!$R$11</c:f>
              <c:strCache>
                <c:ptCount val="1"/>
                <c:pt idx="0">
                  <c:v>Uv.
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'[2]FOA802-13_BA171114005'!$R$12:$R$35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C4-48AE-B588-359DE19B0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5626592"/>
        <c:axId val="1365624096"/>
      </c:lineChart>
      <c:catAx>
        <c:axId val="1365626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65624096"/>
        <c:crosses val="autoZero"/>
        <c:auto val="1"/>
        <c:lblAlgn val="ctr"/>
        <c:lblOffset val="100"/>
        <c:noMultiLvlLbl val="0"/>
      </c:catAx>
      <c:valAx>
        <c:axId val="136562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6562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P. 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'[2]FOA802-13_BA171114005'!$F$11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'[2]FOA802-13_BA171114005'!$F$12:$F$35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4E-48C5-8569-4E3AE42DCBEC}"/>
            </c:ext>
          </c:extLst>
        </c:ser>
        <c:ser>
          <c:idx val="1"/>
          <c:order val="1"/>
          <c:tx>
            <c:strRef>
              <c:f>'[2]FOA802-13_BA171114005'!$N$11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'[2]FOA802-13_BA171114005'!$N$12:$N$35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4E-48C5-8569-4E3AE42DC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0517728"/>
        <c:axId val="1280515232"/>
      </c:lineChart>
      <c:catAx>
        <c:axId val="1280517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80515232"/>
        <c:crosses val="autoZero"/>
        <c:auto val="1"/>
        <c:lblAlgn val="ctr"/>
        <c:lblOffset val="100"/>
        <c:noMultiLvlLbl val="0"/>
      </c:catAx>
      <c:valAx>
        <c:axId val="128051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8051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Precipitación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'[2]FOA802-13_BA171114005'!$K$11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'[2]FOA802-13_BA171114005'!$K$12:$K$35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C2-4CD0-BC0A-342431BD1B54}"/>
            </c:ext>
          </c:extLst>
        </c:ser>
        <c:ser>
          <c:idx val="1"/>
          <c:order val="1"/>
          <c:tx>
            <c:strRef>
              <c:f>'[2]FOA802-13_BA171114005'!$S$11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'[2]FOA802-13_BA171114005'!$S$12:$S$35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C2-4CD0-BC0A-342431BD1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819088"/>
        <c:axId val="226799120"/>
      </c:lineChart>
      <c:catAx>
        <c:axId val="226819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26799120"/>
        <c:crosses val="autoZero"/>
        <c:auto val="1"/>
        <c:lblAlgn val="ctr"/>
        <c:lblOffset val="100"/>
        <c:noMultiLvlLbl val="0"/>
      </c:catAx>
      <c:valAx>
        <c:axId val="22679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2681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Temp.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'23-11-24'!$D$11</c:f>
              <c:strCache>
                <c:ptCount val="1"/>
                <c:pt idx="0">
                  <c:v>Temp. 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'23-11-24'!$D$12:$D$35</c:f>
              <c:numCache>
                <c:formatCode>0</c:formatCode>
                <c:ptCount val="24"/>
                <c:pt idx="0">
                  <c:v>13.8866</c:v>
                </c:pt>
                <c:pt idx="1">
                  <c:v>13.4162</c:v>
                </c:pt>
                <c:pt idx="2">
                  <c:v>13.2104</c:v>
                </c:pt>
                <c:pt idx="3">
                  <c:v>12.8674</c:v>
                </c:pt>
                <c:pt idx="4">
                  <c:v>11.926600000000001</c:v>
                </c:pt>
                <c:pt idx="5">
                  <c:v>11.4856</c:v>
                </c:pt>
                <c:pt idx="6">
                  <c:v>11.5542</c:v>
                </c:pt>
                <c:pt idx="7">
                  <c:v>13.8278</c:v>
                </c:pt>
                <c:pt idx="8">
                  <c:v>15.1312</c:v>
                </c:pt>
                <c:pt idx="9">
                  <c:v>17.395</c:v>
                </c:pt>
                <c:pt idx="10">
                  <c:v>19.227600000000002</c:v>
                </c:pt>
                <c:pt idx="11">
                  <c:v>20.305599999999998</c:v>
                </c:pt>
                <c:pt idx="12">
                  <c:v>19.933199999999999</c:v>
                </c:pt>
                <c:pt idx="13">
                  <c:v>16.238600000000002</c:v>
                </c:pt>
                <c:pt idx="14">
                  <c:v>17.375399999999999</c:v>
                </c:pt>
                <c:pt idx="15">
                  <c:v>17.2774</c:v>
                </c:pt>
                <c:pt idx="16">
                  <c:v>17.5518</c:v>
                </c:pt>
                <c:pt idx="17">
                  <c:v>16.875599999999999</c:v>
                </c:pt>
                <c:pt idx="18">
                  <c:v>15.2096</c:v>
                </c:pt>
                <c:pt idx="19">
                  <c:v>14.562799999999999</c:v>
                </c:pt>
                <c:pt idx="20">
                  <c:v>14.21</c:v>
                </c:pt>
                <c:pt idx="21">
                  <c:v>13.769</c:v>
                </c:pt>
                <c:pt idx="22">
                  <c:v>13.7592</c:v>
                </c:pt>
                <c:pt idx="23">
                  <c:v>13.455400000000001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0E-4813-83B7-8E22F48BE690}"/>
            </c:ext>
          </c:extLst>
        </c:ser>
        <c:ser>
          <c:idx val="1"/>
          <c:order val="1"/>
          <c:tx>
            <c:strRef>
              <c:f>'23-11-24'!$L$11</c:f>
              <c:strCache>
                <c:ptCount val="1"/>
                <c:pt idx="0">
                  <c:v>Temp. Out 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'23-11-24'!$L$12:$L$35</c:f>
              <c:numCache>
                <c:formatCode>0</c:formatCode>
                <c:ptCount val="24"/>
                <c:pt idx="0">
                  <c:v>14.17</c:v>
                </c:pt>
                <c:pt idx="1">
                  <c:v>13.69</c:v>
                </c:pt>
                <c:pt idx="2">
                  <c:v>13.48</c:v>
                </c:pt>
                <c:pt idx="3">
                  <c:v>13.13</c:v>
                </c:pt>
                <c:pt idx="4">
                  <c:v>12.17</c:v>
                </c:pt>
                <c:pt idx="5">
                  <c:v>11.72</c:v>
                </c:pt>
                <c:pt idx="6">
                  <c:v>11.79</c:v>
                </c:pt>
                <c:pt idx="7">
                  <c:v>14.11</c:v>
                </c:pt>
                <c:pt idx="8">
                  <c:v>15.44</c:v>
                </c:pt>
                <c:pt idx="9">
                  <c:v>17.75</c:v>
                </c:pt>
                <c:pt idx="10">
                  <c:v>19.62</c:v>
                </c:pt>
                <c:pt idx="11">
                  <c:v>20.72</c:v>
                </c:pt>
                <c:pt idx="12">
                  <c:v>20.34</c:v>
                </c:pt>
                <c:pt idx="13">
                  <c:v>16.57</c:v>
                </c:pt>
                <c:pt idx="14">
                  <c:v>17.73</c:v>
                </c:pt>
                <c:pt idx="15">
                  <c:v>17.63</c:v>
                </c:pt>
                <c:pt idx="16">
                  <c:v>17.91</c:v>
                </c:pt>
                <c:pt idx="17">
                  <c:v>17.22</c:v>
                </c:pt>
                <c:pt idx="18">
                  <c:v>15.52</c:v>
                </c:pt>
                <c:pt idx="19">
                  <c:v>14.86</c:v>
                </c:pt>
                <c:pt idx="20">
                  <c:v>14.5</c:v>
                </c:pt>
                <c:pt idx="21">
                  <c:v>14.05</c:v>
                </c:pt>
                <c:pt idx="22">
                  <c:v>14.04</c:v>
                </c:pt>
                <c:pt idx="23">
                  <c:v>13.73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0E-4813-83B7-8E22F48BE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812624"/>
        <c:axId val="1385806384"/>
      </c:lineChart>
      <c:catAx>
        <c:axId val="13858126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06384"/>
        <c:crosses val="autoZero"/>
        <c:auto val="1"/>
        <c:lblAlgn val="ctr"/>
        <c:lblOffset val="100"/>
        <c:noMultiLvlLbl val="0"/>
      </c:catAx>
      <c:valAx>
        <c:axId val="138580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H.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'23-11-24'!$E$11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'23-11-24'!$E$12:$E$35</c:f>
              <c:numCache>
                <c:formatCode>0</c:formatCode>
                <c:ptCount val="24"/>
                <c:pt idx="0">
                  <c:v>85.026499999999999</c:v>
                </c:pt>
                <c:pt idx="1">
                  <c:v>88.075299999999999</c:v>
                </c:pt>
                <c:pt idx="2">
                  <c:v>87.395499999999998</c:v>
                </c:pt>
                <c:pt idx="3">
                  <c:v>88.343099999999993</c:v>
                </c:pt>
                <c:pt idx="4">
                  <c:v>91.072600000000008</c:v>
                </c:pt>
                <c:pt idx="5">
                  <c:v>91.67</c:v>
                </c:pt>
                <c:pt idx="6">
                  <c:v>93.112000000000009</c:v>
                </c:pt>
                <c:pt idx="7">
                  <c:v>86.5715</c:v>
                </c:pt>
                <c:pt idx="8">
                  <c:v>82.008600000000001</c:v>
                </c:pt>
                <c:pt idx="9">
                  <c:v>68.814300000000003</c:v>
                </c:pt>
                <c:pt idx="10">
                  <c:v>60.976000000000006</c:v>
                </c:pt>
                <c:pt idx="11">
                  <c:v>58.689399999999999</c:v>
                </c:pt>
                <c:pt idx="12">
                  <c:v>63.036000000000001</c:v>
                </c:pt>
                <c:pt idx="13">
                  <c:v>83.3476</c:v>
                </c:pt>
                <c:pt idx="14">
                  <c:v>77.682600000000008</c:v>
                </c:pt>
                <c:pt idx="15">
                  <c:v>73.809799999999996</c:v>
                </c:pt>
                <c:pt idx="16">
                  <c:v>71.306899999999999</c:v>
                </c:pt>
                <c:pt idx="17">
                  <c:v>75.931600000000003</c:v>
                </c:pt>
                <c:pt idx="18">
                  <c:v>81.174300000000002</c:v>
                </c:pt>
                <c:pt idx="19">
                  <c:v>83.419699999999992</c:v>
                </c:pt>
                <c:pt idx="20">
                  <c:v>84.738100000000003</c:v>
                </c:pt>
                <c:pt idx="21">
                  <c:v>86.2316</c:v>
                </c:pt>
                <c:pt idx="22">
                  <c:v>86.52</c:v>
                </c:pt>
                <c:pt idx="23">
                  <c:v>87.560300000000012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6F-46B0-AF2C-D8CE4A6A34CD}"/>
            </c:ext>
          </c:extLst>
        </c:ser>
        <c:ser>
          <c:idx val="1"/>
          <c:order val="1"/>
          <c:tx>
            <c:strRef>
              <c:f>'23-11-24'!$M$11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'23-11-24'!$M$12:$M$35</c:f>
              <c:numCache>
                <c:formatCode>0</c:formatCode>
                <c:ptCount val="24"/>
                <c:pt idx="0">
                  <c:v>82.55</c:v>
                </c:pt>
                <c:pt idx="1">
                  <c:v>85.51</c:v>
                </c:pt>
                <c:pt idx="2">
                  <c:v>84.85</c:v>
                </c:pt>
                <c:pt idx="3">
                  <c:v>85.77</c:v>
                </c:pt>
                <c:pt idx="4">
                  <c:v>88.42</c:v>
                </c:pt>
                <c:pt idx="5">
                  <c:v>89</c:v>
                </c:pt>
                <c:pt idx="6">
                  <c:v>90.4</c:v>
                </c:pt>
                <c:pt idx="7">
                  <c:v>84.05</c:v>
                </c:pt>
                <c:pt idx="8">
                  <c:v>79.62</c:v>
                </c:pt>
                <c:pt idx="9">
                  <c:v>66.81</c:v>
                </c:pt>
                <c:pt idx="10">
                  <c:v>59.2</c:v>
                </c:pt>
                <c:pt idx="11">
                  <c:v>56.98</c:v>
                </c:pt>
                <c:pt idx="12">
                  <c:v>61.2</c:v>
                </c:pt>
                <c:pt idx="13">
                  <c:v>80.92</c:v>
                </c:pt>
                <c:pt idx="14">
                  <c:v>75.42</c:v>
                </c:pt>
                <c:pt idx="15">
                  <c:v>71.66</c:v>
                </c:pt>
                <c:pt idx="16">
                  <c:v>69.23</c:v>
                </c:pt>
                <c:pt idx="17">
                  <c:v>73.72</c:v>
                </c:pt>
                <c:pt idx="18">
                  <c:v>78.81</c:v>
                </c:pt>
                <c:pt idx="19">
                  <c:v>80.989999999999995</c:v>
                </c:pt>
                <c:pt idx="20">
                  <c:v>82.27</c:v>
                </c:pt>
                <c:pt idx="21">
                  <c:v>83.72</c:v>
                </c:pt>
                <c:pt idx="22">
                  <c:v>84</c:v>
                </c:pt>
                <c:pt idx="23">
                  <c:v>85.01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6F-46B0-AF2C-D8CE4A6A3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818032"/>
        <c:axId val="1385814288"/>
      </c:lineChart>
      <c:catAx>
        <c:axId val="1385818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4288"/>
        <c:crosses val="autoZero"/>
        <c:auto val="1"/>
        <c:lblAlgn val="ctr"/>
        <c:lblOffset val="100"/>
        <c:noMultiLvlLbl val="0"/>
      </c:catAx>
      <c:valAx>
        <c:axId val="138581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Dir.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'23-11-24'!$G$11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'23-11-24'!$G$12:$G$35</c:f>
              <c:numCache>
                <c:formatCode>0</c:formatCode>
                <c:ptCount val="24"/>
                <c:pt idx="0">
                  <c:v>282.56</c:v>
                </c:pt>
                <c:pt idx="1">
                  <c:v>232.87</c:v>
                </c:pt>
                <c:pt idx="2">
                  <c:v>239.34</c:v>
                </c:pt>
                <c:pt idx="3">
                  <c:v>281.98</c:v>
                </c:pt>
                <c:pt idx="4">
                  <c:v>303.04000000000002</c:v>
                </c:pt>
                <c:pt idx="5">
                  <c:v>298.72000000000003</c:v>
                </c:pt>
                <c:pt idx="6">
                  <c:v>230.49</c:v>
                </c:pt>
                <c:pt idx="7">
                  <c:v>56.69</c:v>
                </c:pt>
                <c:pt idx="8">
                  <c:v>355.4</c:v>
                </c:pt>
                <c:pt idx="9">
                  <c:v>289.16000000000003</c:v>
                </c:pt>
                <c:pt idx="10">
                  <c:v>357.31</c:v>
                </c:pt>
                <c:pt idx="11">
                  <c:v>297.58999999999997</c:v>
                </c:pt>
                <c:pt idx="12">
                  <c:v>231.49</c:v>
                </c:pt>
                <c:pt idx="13">
                  <c:v>179.28</c:v>
                </c:pt>
                <c:pt idx="14">
                  <c:v>204.32</c:v>
                </c:pt>
                <c:pt idx="15">
                  <c:v>245.28</c:v>
                </c:pt>
                <c:pt idx="16">
                  <c:v>214.74</c:v>
                </c:pt>
                <c:pt idx="17">
                  <c:v>238.19</c:v>
                </c:pt>
                <c:pt idx="18">
                  <c:v>269.32</c:v>
                </c:pt>
                <c:pt idx="19">
                  <c:v>264.52</c:v>
                </c:pt>
                <c:pt idx="20">
                  <c:v>188.06</c:v>
                </c:pt>
                <c:pt idx="21">
                  <c:v>185.46</c:v>
                </c:pt>
                <c:pt idx="22">
                  <c:v>269.92</c:v>
                </c:pt>
                <c:pt idx="23">
                  <c:v>161.07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D1-4987-A096-0E0806D2B076}"/>
            </c:ext>
          </c:extLst>
        </c:ser>
        <c:ser>
          <c:idx val="1"/>
          <c:order val="1"/>
          <c:tx>
            <c:strRef>
              <c:f>'23-11-24'!$O$11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'23-11-24'!$O$12:$O$35</c:f>
              <c:numCache>
                <c:formatCode>0</c:formatCode>
                <c:ptCount val="24"/>
                <c:pt idx="0">
                  <c:v>273.56</c:v>
                </c:pt>
                <c:pt idx="1">
                  <c:v>224.87</c:v>
                </c:pt>
                <c:pt idx="2">
                  <c:v>236.34</c:v>
                </c:pt>
                <c:pt idx="3">
                  <c:v>274.98</c:v>
                </c:pt>
                <c:pt idx="4">
                  <c:v>294.04000000000002</c:v>
                </c:pt>
                <c:pt idx="5">
                  <c:v>296.72000000000003</c:v>
                </c:pt>
                <c:pt idx="6">
                  <c:v>225.49</c:v>
                </c:pt>
                <c:pt idx="7">
                  <c:v>50.69</c:v>
                </c:pt>
                <c:pt idx="8">
                  <c:v>345.4</c:v>
                </c:pt>
                <c:pt idx="9">
                  <c:v>283.16000000000003</c:v>
                </c:pt>
                <c:pt idx="10">
                  <c:v>350.31</c:v>
                </c:pt>
                <c:pt idx="11">
                  <c:v>296.58999999999997</c:v>
                </c:pt>
                <c:pt idx="12">
                  <c:v>224.49</c:v>
                </c:pt>
                <c:pt idx="13">
                  <c:v>177.28</c:v>
                </c:pt>
                <c:pt idx="14">
                  <c:v>194.32</c:v>
                </c:pt>
                <c:pt idx="15">
                  <c:v>236.28</c:v>
                </c:pt>
                <c:pt idx="16">
                  <c:v>214.74</c:v>
                </c:pt>
                <c:pt idx="17">
                  <c:v>233.19</c:v>
                </c:pt>
                <c:pt idx="18">
                  <c:v>269.32</c:v>
                </c:pt>
                <c:pt idx="19">
                  <c:v>258.52</c:v>
                </c:pt>
                <c:pt idx="20">
                  <c:v>187.06</c:v>
                </c:pt>
                <c:pt idx="21">
                  <c:v>185.46</c:v>
                </c:pt>
                <c:pt idx="22">
                  <c:v>260.92</c:v>
                </c:pt>
                <c:pt idx="23">
                  <c:v>160.07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D1-4987-A096-0E0806D2B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656064"/>
        <c:axId val="1387647328"/>
      </c:lineChart>
      <c:catAx>
        <c:axId val="1387656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47328"/>
        <c:crosses val="autoZero"/>
        <c:auto val="1"/>
        <c:lblAlgn val="ctr"/>
        <c:lblOffset val="100"/>
        <c:noMultiLvlLbl val="0"/>
      </c:catAx>
      <c:valAx>
        <c:axId val="138764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5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V.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'23-11-24'!$H$11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'23-11-24'!$H$12:$H$35</c:f>
              <c:numCache>
                <c:formatCode>0</c:formatCode>
                <c:ptCount val="24"/>
                <c:pt idx="0">
                  <c:v>0.44</c:v>
                </c:pt>
                <c:pt idx="1">
                  <c:v>1.35</c:v>
                </c:pt>
                <c:pt idx="2">
                  <c:v>0.18</c:v>
                </c:pt>
                <c:pt idx="3">
                  <c:v>0.28999999999999998</c:v>
                </c:pt>
                <c:pt idx="4">
                  <c:v>1.3</c:v>
                </c:pt>
                <c:pt idx="5">
                  <c:v>1.27</c:v>
                </c:pt>
                <c:pt idx="6">
                  <c:v>0.16</c:v>
                </c:pt>
                <c:pt idx="7">
                  <c:v>0.71</c:v>
                </c:pt>
                <c:pt idx="8">
                  <c:v>2.0099999999999998</c:v>
                </c:pt>
                <c:pt idx="9">
                  <c:v>2.19</c:v>
                </c:pt>
                <c:pt idx="10">
                  <c:v>1.6</c:v>
                </c:pt>
                <c:pt idx="11">
                  <c:v>2.39</c:v>
                </c:pt>
                <c:pt idx="12">
                  <c:v>4.6899999999999995</c:v>
                </c:pt>
                <c:pt idx="13">
                  <c:v>3.78</c:v>
                </c:pt>
                <c:pt idx="14">
                  <c:v>3.12</c:v>
                </c:pt>
                <c:pt idx="15">
                  <c:v>2.63</c:v>
                </c:pt>
                <c:pt idx="16">
                  <c:v>1.26</c:v>
                </c:pt>
                <c:pt idx="17">
                  <c:v>1.63</c:v>
                </c:pt>
                <c:pt idx="18">
                  <c:v>2.31</c:v>
                </c:pt>
                <c:pt idx="19">
                  <c:v>0.7</c:v>
                </c:pt>
                <c:pt idx="20">
                  <c:v>1.53</c:v>
                </c:pt>
                <c:pt idx="21">
                  <c:v>1.29</c:v>
                </c:pt>
                <c:pt idx="22">
                  <c:v>1.29</c:v>
                </c:pt>
                <c:pt idx="23">
                  <c:v>1.31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B4-4789-9CC9-303CAD98C273}"/>
            </c:ext>
          </c:extLst>
        </c:ser>
        <c:ser>
          <c:idx val="1"/>
          <c:order val="1"/>
          <c:tx>
            <c:strRef>
              <c:f>'23-11-24'!$P$11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'23-11-24'!$P$12:$P$35</c:f>
              <c:numCache>
                <c:formatCode>0</c:formatCode>
                <c:ptCount val="24"/>
                <c:pt idx="0">
                  <c:v>0.44</c:v>
                </c:pt>
                <c:pt idx="1">
                  <c:v>0.35</c:v>
                </c:pt>
                <c:pt idx="2">
                  <c:v>0.18</c:v>
                </c:pt>
                <c:pt idx="3">
                  <c:v>0.28999999999999998</c:v>
                </c:pt>
                <c:pt idx="4">
                  <c:v>0.3</c:v>
                </c:pt>
                <c:pt idx="5">
                  <c:v>0.27</c:v>
                </c:pt>
                <c:pt idx="6">
                  <c:v>0.16</c:v>
                </c:pt>
                <c:pt idx="7">
                  <c:v>0.71</c:v>
                </c:pt>
                <c:pt idx="8">
                  <c:v>1.01</c:v>
                </c:pt>
                <c:pt idx="9">
                  <c:v>1.19</c:v>
                </c:pt>
                <c:pt idx="10">
                  <c:v>1.6</c:v>
                </c:pt>
                <c:pt idx="11">
                  <c:v>2.39</c:v>
                </c:pt>
                <c:pt idx="12">
                  <c:v>3.69</c:v>
                </c:pt>
                <c:pt idx="13">
                  <c:v>2.78</c:v>
                </c:pt>
                <c:pt idx="14">
                  <c:v>2.12</c:v>
                </c:pt>
                <c:pt idx="15">
                  <c:v>1.63</c:v>
                </c:pt>
                <c:pt idx="16">
                  <c:v>1.26</c:v>
                </c:pt>
                <c:pt idx="17">
                  <c:v>1.63</c:v>
                </c:pt>
                <c:pt idx="18">
                  <c:v>1.31</c:v>
                </c:pt>
                <c:pt idx="19">
                  <c:v>0.7</c:v>
                </c:pt>
                <c:pt idx="20">
                  <c:v>0.53</c:v>
                </c:pt>
                <c:pt idx="21">
                  <c:v>0.28999999999999998</c:v>
                </c:pt>
                <c:pt idx="22">
                  <c:v>0.28999999999999998</c:v>
                </c:pt>
                <c:pt idx="23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B4-4789-9CC9-303CAD98C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7040000"/>
        <c:axId val="1317047904"/>
      </c:lineChart>
      <c:catAx>
        <c:axId val="1317040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17047904"/>
        <c:crosses val="autoZero"/>
        <c:auto val="1"/>
        <c:lblAlgn val="ctr"/>
        <c:lblOffset val="100"/>
        <c:noMultiLvlLbl val="0"/>
      </c:catAx>
      <c:valAx>
        <c:axId val="131704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1704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Solar Rad.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'23-11-24'!$I$11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'23-11-24'!$I$12:$I$35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114.11</c:v>
                </c:pt>
                <c:pt idx="7">
                  <c:v>166.16</c:v>
                </c:pt>
                <c:pt idx="8">
                  <c:v>316.77</c:v>
                </c:pt>
                <c:pt idx="9">
                  <c:v>600.85</c:v>
                </c:pt>
                <c:pt idx="10">
                  <c:v>605.9</c:v>
                </c:pt>
                <c:pt idx="11">
                  <c:v>539.58999999999992</c:v>
                </c:pt>
                <c:pt idx="12">
                  <c:v>522.30999999999995</c:v>
                </c:pt>
                <c:pt idx="13">
                  <c:v>148.79000000000002</c:v>
                </c:pt>
                <c:pt idx="14">
                  <c:v>441.31</c:v>
                </c:pt>
                <c:pt idx="15">
                  <c:v>225.09</c:v>
                </c:pt>
                <c:pt idx="16">
                  <c:v>188.32999999999998</c:v>
                </c:pt>
                <c:pt idx="17">
                  <c:v>56.879999999999995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18-4F27-AB3A-8ECF1FA7890E}"/>
            </c:ext>
          </c:extLst>
        </c:ser>
        <c:ser>
          <c:idx val="1"/>
          <c:order val="1"/>
          <c:tx>
            <c:strRef>
              <c:f>'23-11-24'!$Q$11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'23-11-24'!$Q$12:$Q$35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34.11</c:v>
                </c:pt>
                <c:pt idx="7">
                  <c:v>148.16</c:v>
                </c:pt>
                <c:pt idx="8">
                  <c:v>290.77</c:v>
                </c:pt>
                <c:pt idx="9">
                  <c:v>537.85</c:v>
                </c:pt>
                <c:pt idx="10">
                  <c:v>593.9</c:v>
                </c:pt>
                <c:pt idx="11">
                  <c:v>476.59</c:v>
                </c:pt>
                <c:pt idx="12">
                  <c:v>483.31</c:v>
                </c:pt>
                <c:pt idx="13">
                  <c:v>124.79</c:v>
                </c:pt>
                <c:pt idx="14">
                  <c:v>373.31</c:v>
                </c:pt>
                <c:pt idx="15">
                  <c:v>188.09</c:v>
                </c:pt>
                <c:pt idx="16">
                  <c:v>119.33</c:v>
                </c:pt>
                <c:pt idx="17">
                  <c:v>24.88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18-4F27-AB3A-8ECF1FA78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645248"/>
        <c:axId val="1387651072"/>
      </c:lineChart>
      <c:catAx>
        <c:axId val="1387645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51072"/>
        <c:crosses val="autoZero"/>
        <c:auto val="1"/>
        <c:lblAlgn val="ctr"/>
        <c:lblOffset val="100"/>
        <c:noMultiLvlLbl val="0"/>
      </c:catAx>
      <c:valAx>
        <c:axId val="138765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4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Uv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'23-11-24'!$J$11</c:f>
              <c:strCache>
                <c:ptCount val="1"/>
                <c:pt idx="0">
                  <c:v>Uv
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'23-11-24'!$J$12:$J$34</c:f>
              <c:numCache>
                <c:formatCode>0</c:formatCode>
                <c:ptCount val="2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8E-44D6-A2CB-B20541C241C5}"/>
            </c:ext>
          </c:extLst>
        </c:ser>
        <c:ser>
          <c:idx val="1"/>
          <c:order val="1"/>
          <c:tx>
            <c:strRef>
              <c:f>'23-11-24'!$R$11</c:f>
              <c:strCache>
                <c:ptCount val="1"/>
                <c:pt idx="0">
                  <c:v>Uv.
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'23-11-24'!$R$12:$R$35</c:f>
              <c:numCache>
                <c:formatCode>0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8E-44D6-A2CB-B20541C24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5626592"/>
        <c:axId val="1365624096"/>
      </c:lineChart>
      <c:catAx>
        <c:axId val="1365626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65624096"/>
        <c:crosses val="autoZero"/>
        <c:auto val="1"/>
        <c:lblAlgn val="ctr"/>
        <c:lblOffset val="100"/>
        <c:noMultiLvlLbl val="0"/>
      </c:catAx>
      <c:valAx>
        <c:axId val="136562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6562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P. 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'23-11-24'!$F$11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'23-11-24'!$F$12:$F$35</c:f>
              <c:numCache>
                <c:formatCode>0</c:formatCode>
                <c:ptCount val="24"/>
                <c:pt idx="0">
                  <c:v>564.49</c:v>
                </c:pt>
                <c:pt idx="1">
                  <c:v>563.96</c:v>
                </c:pt>
                <c:pt idx="2">
                  <c:v>564.66999999999996</c:v>
                </c:pt>
                <c:pt idx="3">
                  <c:v>564.52</c:v>
                </c:pt>
                <c:pt idx="4">
                  <c:v>563.79</c:v>
                </c:pt>
                <c:pt idx="5">
                  <c:v>564.24</c:v>
                </c:pt>
                <c:pt idx="6">
                  <c:v>565.61</c:v>
                </c:pt>
                <c:pt idx="7">
                  <c:v>565.91</c:v>
                </c:pt>
                <c:pt idx="8">
                  <c:v>565.02</c:v>
                </c:pt>
                <c:pt idx="9">
                  <c:v>564.96</c:v>
                </c:pt>
                <c:pt idx="10">
                  <c:v>565.70000000000005</c:v>
                </c:pt>
                <c:pt idx="11">
                  <c:v>565.15</c:v>
                </c:pt>
                <c:pt idx="12">
                  <c:v>564.32000000000005</c:v>
                </c:pt>
                <c:pt idx="13">
                  <c:v>563.64</c:v>
                </c:pt>
                <c:pt idx="14">
                  <c:v>562.14</c:v>
                </c:pt>
                <c:pt idx="15">
                  <c:v>563.11</c:v>
                </c:pt>
                <c:pt idx="16">
                  <c:v>563.38</c:v>
                </c:pt>
                <c:pt idx="17">
                  <c:v>562.71</c:v>
                </c:pt>
                <c:pt idx="18">
                  <c:v>564.27</c:v>
                </c:pt>
                <c:pt idx="19">
                  <c:v>564.01</c:v>
                </c:pt>
                <c:pt idx="20">
                  <c:v>565.85</c:v>
                </c:pt>
                <c:pt idx="21">
                  <c:v>566.41</c:v>
                </c:pt>
                <c:pt idx="22">
                  <c:v>565.39</c:v>
                </c:pt>
                <c:pt idx="23">
                  <c:v>565.08000000000004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A5-4EE1-8DAE-274457E9DF78}"/>
            </c:ext>
          </c:extLst>
        </c:ser>
        <c:ser>
          <c:idx val="1"/>
          <c:order val="1"/>
          <c:tx>
            <c:strRef>
              <c:f>'23-11-24'!$N$11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'23-11-24'!$N$12:$N$35</c:f>
              <c:numCache>
                <c:formatCode>0</c:formatCode>
                <c:ptCount val="24"/>
                <c:pt idx="0">
                  <c:v>564.49</c:v>
                </c:pt>
                <c:pt idx="1">
                  <c:v>563.96</c:v>
                </c:pt>
                <c:pt idx="2">
                  <c:v>563.66999999999996</c:v>
                </c:pt>
                <c:pt idx="3">
                  <c:v>563.52</c:v>
                </c:pt>
                <c:pt idx="4">
                  <c:v>563.79</c:v>
                </c:pt>
                <c:pt idx="5">
                  <c:v>564.24</c:v>
                </c:pt>
                <c:pt idx="6">
                  <c:v>564.61</c:v>
                </c:pt>
                <c:pt idx="7">
                  <c:v>564.91</c:v>
                </c:pt>
                <c:pt idx="8">
                  <c:v>565.02</c:v>
                </c:pt>
                <c:pt idx="9">
                  <c:v>564.96</c:v>
                </c:pt>
                <c:pt idx="10">
                  <c:v>564.70000000000005</c:v>
                </c:pt>
                <c:pt idx="11">
                  <c:v>564.15</c:v>
                </c:pt>
                <c:pt idx="12">
                  <c:v>563.32000000000005</c:v>
                </c:pt>
                <c:pt idx="13">
                  <c:v>562.64</c:v>
                </c:pt>
                <c:pt idx="14">
                  <c:v>562.14</c:v>
                </c:pt>
                <c:pt idx="15">
                  <c:v>562.11</c:v>
                </c:pt>
                <c:pt idx="16">
                  <c:v>562.38</c:v>
                </c:pt>
                <c:pt idx="17">
                  <c:v>562.71</c:v>
                </c:pt>
                <c:pt idx="18">
                  <c:v>563.27</c:v>
                </c:pt>
                <c:pt idx="19">
                  <c:v>564.01</c:v>
                </c:pt>
                <c:pt idx="20">
                  <c:v>564.85</c:v>
                </c:pt>
                <c:pt idx="21">
                  <c:v>565.41</c:v>
                </c:pt>
                <c:pt idx="22">
                  <c:v>565.39</c:v>
                </c:pt>
                <c:pt idx="23">
                  <c:v>565.08000000000004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A5-4EE1-8DAE-274457E9D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0517728"/>
        <c:axId val="1280515232"/>
      </c:lineChart>
      <c:catAx>
        <c:axId val="1280517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80515232"/>
        <c:crosses val="autoZero"/>
        <c:auto val="1"/>
        <c:lblAlgn val="ctr"/>
        <c:lblOffset val="100"/>
        <c:noMultiLvlLbl val="0"/>
      </c:catAx>
      <c:valAx>
        <c:axId val="1280515232"/>
        <c:scaling>
          <c:orientation val="minMax"/>
          <c:min val="4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8051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Precipitación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'23-11-24'!$K$11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'23-11-24'!$K$12:$K$35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7.8000000000000007</c:v>
                </c:pt>
                <c:pt idx="14">
                  <c:v>0.2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14-464E-86B0-64F9CF048CA8}"/>
            </c:ext>
          </c:extLst>
        </c:ser>
        <c:ser>
          <c:idx val="1"/>
          <c:order val="1"/>
          <c:tx>
            <c:strRef>
              <c:f>'23-11-24'!$S$11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'23-11-24'!$S$12:$S$35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7.6</c:v>
                </c:pt>
                <c:pt idx="14">
                  <c:v>0.2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14-464E-86B0-64F9CF048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819088"/>
        <c:axId val="226799120"/>
      </c:lineChart>
      <c:catAx>
        <c:axId val="226819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26799120"/>
        <c:crosses val="autoZero"/>
        <c:auto val="1"/>
        <c:lblAlgn val="ctr"/>
        <c:lblOffset val="100"/>
        <c:noMultiLvlLbl val="0"/>
      </c:catAx>
      <c:valAx>
        <c:axId val="22679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2681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Temp.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'24-05-24'!$D$11</c:f>
              <c:strCache>
                <c:ptCount val="1"/>
                <c:pt idx="0">
                  <c:v>Temp. Out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'24-05-24'!$D$12:$D$35</c:f>
              <c:numCache>
                <c:formatCode>0</c:formatCode>
                <c:ptCount val="24"/>
                <c:pt idx="0">
                  <c:v>13.7102</c:v>
                </c:pt>
                <c:pt idx="1">
                  <c:v>13.1418</c:v>
                </c:pt>
                <c:pt idx="2">
                  <c:v>12.8086</c:v>
                </c:pt>
                <c:pt idx="3">
                  <c:v>12.573399999999999</c:v>
                </c:pt>
                <c:pt idx="4">
                  <c:v>12.8086</c:v>
                </c:pt>
                <c:pt idx="5">
                  <c:v>13.053599999999999</c:v>
                </c:pt>
                <c:pt idx="6">
                  <c:v>13.651399999999999</c:v>
                </c:pt>
                <c:pt idx="7">
                  <c:v>14.4354</c:v>
                </c:pt>
                <c:pt idx="8">
                  <c:v>16.5914</c:v>
                </c:pt>
                <c:pt idx="9">
                  <c:v>17.816399999999998</c:v>
                </c:pt>
                <c:pt idx="10">
                  <c:v>19.002200000000002</c:v>
                </c:pt>
                <c:pt idx="11">
                  <c:v>19.982199999999999</c:v>
                </c:pt>
                <c:pt idx="12">
                  <c:v>20.58</c:v>
                </c:pt>
                <c:pt idx="13">
                  <c:v>21.021000000000001</c:v>
                </c:pt>
                <c:pt idx="14">
                  <c:v>21.991200000000003</c:v>
                </c:pt>
                <c:pt idx="15">
                  <c:v>22.0304</c:v>
                </c:pt>
                <c:pt idx="16">
                  <c:v>21.236600000000003</c:v>
                </c:pt>
                <c:pt idx="17">
                  <c:v>19.854800000000001</c:v>
                </c:pt>
                <c:pt idx="18">
                  <c:v>18.257400000000001</c:v>
                </c:pt>
                <c:pt idx="19">
                  <c:v>17.3264</c:v>
                </c:pt>
                <c:pt idx="20">
                  <c:v>16.7286</c:v>
                </c:pt>
                <c:pt idx="21">
                  <c:v>16.542400000000001</c:v>
                </c:pt>
                <c:pt idx="22">
                  <c:v>15.7094</c:v>
                </c:pt>
                <c:pt idx="23">
                  <c:v>14.8764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96-4C21-ABF8-5E99EF704EE4}"/>
            </c:ext>
          </c:extLst>
        </c:ser>
        <c:ser>
          <c:idx val="1"/>
          <c:order val="1"/>
          <c:tx>
            <c:strRef>
              <c:f>'24-05-24'!$L$11</c:f>
              <c:strCache>
                <c:ptCount val="1"/>
                <c:pt idx="0">
                  <c:v>Temp. Out 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'24-05-24'!$L$12:$L$35</c:f>
              <c:numCache>
                <c:formatCode>0</c:formatCode>
                <c:ptCount val="24"/>
                <c:pt idx="0">
                  <c:v>13.99</c:v>
                </c:pt>
                <c:pt idx="1">
                  <c:v>13.41</c:v>
                </c:pt>
                <c:pt idx="2">
                  <c:v>13.07</c:v>
                </c:pt>
                <c:pt idx="3">
                  <c:v>12.83</c:v>
                </c:pt>
                <c:pt idx="4">
                  <c:v>13.07</c:v>
                </c:pt>
                <c:pt idx="5">
                  <c:v>13.32</c:v>
                </c:pt>
                <c:pt idx="6">
                  <c:v>13.93</c:v>
                </c:pt>
                <c:pt idx="7">
                  <c:v>14.73</c:v>
                </c:pt>
                <c:pt idx="8">
                  <c:v>16.93</c:v>
                </c:pt>
                <c:pt idx="9">
                  <c:v>18.18</c:v>
                </c:pt>
                <c:pt idx="10">
                  <c:v>19.39</c:v>
                </c:pt>
                <c:pt idx="11">
                  <c:v>20.39</c:v>
                </c:pt>
                <c:pt idx="12">
                  <c:v>21</c:v>
                </c:pt>
                <c:pt idx="13">
                  <c:v>21.45</c:v>
                </c:pt>
                <c:pt idx="14">
                  <c:v>22.44</c:v>
                </c:pt>
                <c:pt idx="15">
                  <c:v>22.48</c:v>
                </c:pt>
                <c:pt idx="16">
                  <c:v>21.67</c:v>
                </c:pt>
                <c:pt idx="17">
                  <c:v>20.260000000000002</c:v>
                </c:pt>
                <c:pt idx="18">
                  <c:v>18.63</c:v>
                </c:pt>
                <c:pt idx="19">
                  <c:v>17.68</c:v>
                </c:pt>
                <c:pt idx="20">
                  <c:v>17.07</c:v>
                </c:pt>
                <c:pt idx="21">
                  <c:v>16.88</c:v>
                </c:pt>
                <c:pt idx="22">
                  <c:v>16.03</c:v>
                </c:pt>
                <c:pt idx="23">
                  <c:v>15.18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96-4C21-ABF8-5E99EF704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64576"/>
        <c:axId val="762468928"/>
      </c:lineChart>
      <c:catAx>
        <c:axId val="762464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8928"/>
        <c:crosses val="autoZero"/>
        <c:auto val="1"/>
        <c:lblAlgn val="ctr"/>
        <c:lblOffset val="100"/>
        <c:noMultiLvlLbl val="0"/>
      </c:catAx>
      <c:valAx>
        <c:axId val="76246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H.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'24-05-24'!$E$11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'24-05-24'!$E$12:$E$35</c:f>
              <c:numCache>
                <c:formatCode>0</c:formatCode>
                <c:ptCount val="24"/>
                <c:pt idx="0">
                  <c:v>88.806600000000003</c:v>
                </c:pt>
                <c:pt idx="1">
                  <c:v>90.887199999999993</c:v>
                </c:pt>
                <c:pt idx="2">
                  <c:v>91.268299999999996</c:v>
                </c:pt>
                <c:pt idx="3">
                  <c:v>91.453700000000012</c:v>
                </c:pt>
                <c:pt idx="4">
                  <c:v>89.455500000000001</c:v>
                </c:pt>
                <c:pt idx="5">
                  <c:v>88.178299999999993</c:v>
                </c:pt>
                <c:pt idx="6">
                  <c:v>84.974999999999994</c:v>
                </c:pt>
                <c:pt idx="7">
                  <c:v>82.317599999999999</c:v>
                </c:pt>
                <c:pt idx="8">
                  <c:v>72.707700000000003</c:v>
                </c:pt>
                <c:pt idx="9">
                  <c:v>66.599800000000002</c:v>
                </c:pt>
                <c:pt idx="10">
                  <c:v>57.659399999999998</c:v>
                </c:pt>
                <c:pt idx="11">
                  <c:v>54.260399999999997</c:v>
                </c:pt>
                <c:pt idx="12">
                  <c:v>53.549700000000001</c:v>
                </c:pt>
                <c:pt idx="13">
                  <c:v>51.5</c:v>
                </c:pt>
                <c:pt idx="14">
                  <c:v>48.234899999999996</c:v>
                </c:pt>
                <c:pt idx="15">
                  <c:v>47.874399999999994</c:v>
                </c:pt>
                <c:pt idx="16">
                  <c:v>51.170400000000001</c:v>
                </c:pt>
                <c:pt idx="17">
                  <c:v>57.927199999999999</c:v>
                </c:pt>
                <c:pt idx="18">
                  <c:v>60.893599999999999</c:v>
                </c:pt>
                <c:pt idx="19">
                  <c:v>63.221400000000003</c:v>
                </c:pt>
                <c:pt idx="20">
                  <c:v>65.209299999999999</c:v>
                </c:pt>
                <c:pt idx="21">
                  <c:v>65.384399999999999</c:v>
                </c:pt>
                <c:pt idx="22">
                  <c:v>73.923099999999991</c:v>
                </c:pt>
                <c:pt idx="23">
                  <c:v>78.661100000000005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63-454D-B282-90EAA6F625AA}"/>
            </c:ext>
          </c:extLst>
        </c:ser>
        <c:ser>
          <c:idx val="1"/>
          <c:order val="1"/>
          <c:tx>
            <c:strRef>
              <c:f>'24-05-24'!$M$11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'24-05-24'!$M$12:$M$35</c:f>
              <c:numCache>
                <c:formatCode>0</c:formatCode>
                <c:ptCount val="24"/>
                <c:pt idx="0">
                  <c:v>86.22</c:v>
                </c:pt>
                <c:pt idx="1">
                  <c:v>88.24</c:v>
                </c:pt>
                <c:pt idx="2">
                  <c:v>88.61</c:v>
                </c:pt>
                <c:pt idx="3">
                  <c:v>88.79</c:v>
                </c:pt>
                <c:pt idx="4">
                  <c:v>86.85</c:v>
                </c:pt>
                <c:pt idx="5">
                  <c:v>85.61</c:v>
                </c:pt>
                <c:pt idx="6">
                  <c:v>82.5</c:v>
                </c:pt>
                <c:pt idx="7">
                  <c:v>79.92</c:v>
                </c:pt>
                <c:pt idx="8">
                  <c:v>70.59</c:v>
                </c:pt>
                <c:pt idx="9">
                  <c:v>64.66</c:v>
                </c:pt>
                <c:pt idx="10">
                  <c:v>55.98</c:v>
                </c:pt>
                <c:pt idx="11">
                  <c:v>52.68</c:v>
                </c:pt>
                <c:pt idx="12">
                  <c:v>51.99</c:v>
                </c:pt>
                <c:pt idx="13">
                  <c:v>50</c:v>
                </c:pt>
                <c:pt idx="14">
                  <c:v>46.83</c:v>
                </c:pt>
                <c:pt idx="15">
                  <c:v>46.48</c:v>
                </c:pt>
                <c:pt idx="16">
                  <c:v>49.68</c:v>
                </c:pt>
                <c:pt idx="17">
                  <c:v>56.24</c:v>
                </c:pt>
                <c:pt idx="18">
                  <c:v>59.12</c:v>
                </c:pt>
                <c:pt idx="19">
                  <c:v>61.38</c:v>
                </c:pt>
                <c:pt idx="20">
                  <c:v>63.31</c:v>
                </c:pt>
                <c:pt idx="21">
                  <c:v>63.48</c:v>
                </c:pt>
                <c:pt idx="22">
                  <c:v>71.77</c:v>
                </c:pt>
                <c:pt idx="23">
                  <c:v>76.37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63-454D-B282-90EAA6F62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59680"/>
        <c:axId val="762462944"/>
      </c:lineChart>
      <c:catAx>
        <c:axId val="762459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2944"/>
        <c:crosses val="autoZero"/>
        <c:auto val="1"/>
        <c:lblAlgn val="ctr"/>
        <c:lblOffset val="100"/>
        <c:noMultiLvlLbl val="0"/>
      </c:catAx>
      <c:valAx>
        <c:axId val="76246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5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Dir.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'24-05-24'!$G$11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'24-05-24'!$G$12:$G$35</c:f>
              <c:numCache>
                <c:formatCode>0</c:formatCode>
                <c:ptCount val="24"/>
                <c:pt idx="0">
                  <c:v>64.11</c:v>
                </c:pt>
                <c:pt idx="1">
                  <c:v>304.75</c:v>
                </c:pt>
                <c:pt idx="2">
                  <c:v>316.62</c:v>
                </c:pt>
                <c:pt idx="3">
                  <c:v>323.5</c:v>
                </c:pt>
                <c:pt idx="4">
                  <c:v>268.54000000000002</c:v>
                </c:pt>
                <c:pt idx="5">
                  <c:v>313</c:v>
                </c:pt>
                <c:pt idx="6">
                  <c:v>315.61</c:v>
                </c:pt>
                <c:pt idx="7">
                  <c:v>264.51</c:v>
                </c:pt>
                <c:pt idx="8">
                  <c:v>22.14</c:v>
                </c:pt>
                <c:pt idx="9">
                  <c:v>169.63</c:v>
                </c:pt>
                <c:pt idx="10">
                  <c:v>91.62</c:v>
                </c:pt>
                <c:pt idx="11">
                  <c:v>118.54</c:v>
                </c:pt>
                <c:pt idx="12">
                  <c:v>54.83</c:v>
                </c:pt>
                <c:pt idx="13">
                  <c:v>77.64</c:v>
                </c:pt>
                <c:pt idx="14">
                  <c:v>90.92</c:v>
                </c:pt>
                <c:pt idx="15">
                  <c:v>117.17</c:v>
                </c:pt>
                <c:pt idx="16">
                  <c:v>75.569999999999993</c:v>
                </c:pt>
                <c:pt idx="17">
                  <c:v>99.74</c:v>
                </c:pt>
                <c:pt idx="18">
                  <c:v>101.59</c:v>
                </c:pt>
                <c:pt idx="19">
                  <c:v>93.75</c:v>
                </c:pt>
                <c:pt idx="20">
                  <c:v>98.57</c:v>
                </c:pt>
                <c:pt idx="21">
                  <c:v>127.44</c:v>
                </c:pt>
                <c:pt idx="22">
                  <c:v>221.17</c:v>
                </c:pt>
                <c:pt idx="23">
                  <c:v>341.2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6C-4F3E-8552-4B5155656F3A}"/>
            </c:ext>
          </c:extLst>
        </c:ser>
        <c:ser>
          <c:idx val="1"/>
          <c:order val="1"/>
          <c:tx>
            <c:strRef>
              <c:f>'24-05-24'!$O$11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'24-05-24'!$O$12:$O$35</c:f>
              <c:numCache>
                <c:formatCode>0</c:formatCode>
                <c:ptCount val="24"/>
                <c:pt idx="0">
                  <c:v>58.11</c:v>
                </c:pt>
                <c:pt idx="1">
                  <c:v>301.75</c:v>
                </c:pt>
                <c:pt idx="2">
                  <c:v>313.62</c:v>
                </c:pt>
                <c:pt idx="3">
                  <c:v>313.5</c:v>
                </c:pt>
                <c:pt idx="4">
                  <c:v>266.54000000000002</c:v>
                </c:pt>
                <c:pt idx="5">
                  <c:v>307</c:v>
                </c:pt>
                <c:pt idx="6">
                  <c:v>313.61</c:v>
                </c:pt>
                <c:pt idx="7">
                  <c:v>257.51</c:v>
                </c:pt>
                <c:pt idx="8">
                  <c:v>16.14</c:v>
                </c:pt>
                <c:pt idx="9">
                  <c:v>163.63</c:v>
                </c:pt>
                <c:pt idx="10">
                  <c:v>88.62</c:v>
                </c:pt>
                <c:pt idx="11">
                  <c:v>110.54</c:v>
                </c:pt>
                <c:pt idx="12">
                  <c:v>50.83</c:v>
                </c:pt>
                <c:pt idx="13">
                  <c:v>77.64</c:v>
                </c:pt>
                <c:pt idx="14">
                  <c:v>89.92</c:v>
                </c:pt>
                <c:pt idx="15">
                  <c:v>112.17</c:v>
                </c:pt>
                <c:pt idx="16">
                  <c:v>75.569999999999993</c:v>
                </c:pt>
                <c:pt idx="17">
                  <c:v>95.74</c:v>
                </c:pt>
                <c:pt idx="18">
                  <c:v>96.59</c:v>
                </c:pt>
                <c:pt idx="19">
                  <c:v>84.75</c:v>
                </c:pt>
                <c:pt idx="20">
                  <c:v>93.57</c:v>
                </c:pt>
                <c:pt idx="21">
                  <c:v>123.44</c:v>
                </c:pt>
                <c:pt idx="22">
                  <c:v>214.17</c:v>
                </c:pt>
                <c:pt idx="23">
                  <c:v>336.2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6C-4F3E-8552-4B5155656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67296"/>
        <c:axId val="762460768"/>
      </c:lineChart>
      <c:catAx>
        <c:axId val="762467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0768"/>
        <c:crosses val="autoZero"/>
        <c:auto val="1"/>
        <c:lblAlgn val="ctr"/>
        <c:lblOffset val="100"/>
        <c:noMultiLvlLbl val="0"/>
      </c:catAx>
      <c:valAx>
        <c:axId val="76246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V.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'24-05-24'!$H$11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'24-05-24'!$H$12:$H$35</c:f>
              <c:numCache>
                <c:formatCode>0</c:formatCode>
                <c:ptCount val="24"/>
                <c:pt idx="0">
                  <c:v>0.31</c:v>
                </c:pt>
                <c:pt idx="1">
                  <c:v>0.32</c:v>
                </c:pt>
                <c:pt idx="2">
                  <c:v>1.44</c:v>
                </c:pt>
                <c:pt idx="3">
                  <c:v>0.13</c:v>
                </c:pt>
                <c:pt idx="4">
                  <c:v>1.23</c:v>
                </c:pt>
                <c:pt idx="5">
                  <c:v>0</c:v>
                </c:pt>
                <c:pt idx="6">
                  <c:v>0.35</c:v>
                </c:pt>
                <c:pt idx="7">
                  <c:v>1.5899999999999999</c:v>
                </c:pt>
                <c:pt idx="8">
                  <c:v>0.98</c:v>
                </c:pt>
                <c:pt idx="9">
                  <c:v>1.36</c:v>
                </c:pt>
                <c:pt idx="10">
                  <c:v>3.08</c:v>
                </c:pt>
                <c:pt idx="11">
                  <c:v>3.17</c:v>
                </c:pt>
                <c:pt idx="12">
                  <c:v>1.78</c:v>
                </c:pt>
                <c:pt idx="13">
                  <c:v>2.23</c:v>
                </c:pt>
                <c:pt idx="14">
                  <c:v>3.41</c:v>
                </c:pt>
                <c:pt idx="15">
                  <c:v>3.2</c:v>
                </c:pt>
                <c:pt idx="16">
                  <c:v>2.91</c:v>
                </c:pt>
                <c:pt idx="17">
                  <c:v>3.57</c:v>
                </c:pt>
                <c:pt idx="18">
                  <c:v>3.06</c:v>
                </c:pt>
                <c:pt idx="19">
                  <c:v>2.0299999999999998</c:v>
                </c:pt>
                <c:pt idx="20">
                  <c:v>1.22</c:v>
                </c:pt>
                <c:pt idx="21">
                  <c:v>1.9</c:v>
                </c:pt>
                <c:pt idx="22">
                  <c:v>1.37</c:v>
                </c:pt>
                <c:pt idx="23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3E-4EDB-A043-B7FA35A9C801}"/>
            </c:ext>
          </c:extLst>
        </c:ser>
        <c:ser>
          <c:idx val="1"/>
          <c:order val="1"/>
          <c:tx>
            <c:strRef>
              <c:f>'24-05-24'!$P$11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'24-05-24'!$P$12:$P$35</c:f>
              <c:numCache>
                <c:formatCode>0</c:formatCode>
                <c:ptCount val="24"/>
                <c:pt idx="0">
                  <c:v>0.31</c:v>
                </c:pt>
                <c:pt idx="1">
                  <c:v>0.32</c:v>
                </c:pt>
                <c:pt idx="2">
                  <c:v>0.44</c:v>
                </c:pt>
                <c:pt idx="3">
                  <c:v>0.13</c:v>
                </c:pt>
                <c:pt idx="4">
                  <c:v>0.23</c:v>
                </c:pt>
                <c:pt idx="5">
                  <c:v>0</c:v>
                </c:pt>
                <c:pt idx="6">
                  <c:v>0.35</c:v>
                </c:pt>
                <c:pt idx="7">
                  <c:v>0.59</c:v>
                </c:pt>
                <c:pt idx="8">
                  <c:v>0.98</c:v>
                </c:pt>
                <c:pt idx="9">
                  <c:v>1.36</c:v>
                </c:pt>
                <c:pt idx="10">
                  <c:v>2.08</c:v>
                </c:pt>
                <c:pt idx="11">
                  <c:v>2.17</c:v>
                </c:pt>
                <c:pt idx="12">
                  <c:v>1.78</c:v>
                </c:pt>
                <c:pt idx="13">
                  <c:v>2.23</c:v>
                </c:pt>
                <c:pt idx="14">
                  <c:v>2.41</c:v>
                </c:pt>
                <c:pt idx="15">
                  <c:v>2.2000000000000002</c:v>
                </c:pt>
                <c:pt idx="16">
                  <c:v>1.91</c:v>
                </c:pt>
                <c:pt idx="17">
                  <c:v>2.57</c:v>
                </c:pt>
                <c:pt idx="18">
                  <c:v>2.06</c:v>
                </c:pt>
                <c:pt idx="19">
                  <c:v>2.0299999999999998</c:v>
                </c:pt>
                <c:pt idx="20">
                  <c:v>1.22</c:v>
                </c:pt>
                <c:pt idx="21">
                  <c:v>0.9</c:v>
                </c:pt>
                <c:pt idx="22">
                  <c:v>0.37</c:v>
                </c:pt>
                <c:pt idx="23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3E-4EDB-A043-B7FA35A9C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67840"/>
        <c:axId val="762469472"/>
      </c:lineChart>
      <c:catAx>
        <c:axId val="762467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9472"/>
        <c:crosses val="autoZero"/>
        <c:auto val="1"/>
        <c:lblAlgn val="ctr"/>
        <c:lblOffset val="100"/>
        <c:noMultiLvlLbl val="0"/>
      </c:catAx>
      <c:valAx>
        <c:axId val="76246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Uv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'24-05-24'!$J$11</c:f>
              <c:strCache>
                <c:ptCount val="1"/>
                <c:pt idx="0">
                  <c:v>Uv
Index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'24-05-24'!$J$12:$J$35</c:f>
              <c:numCache>
                <c:formatCode>0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F7-4888-BE39-0A376D3DC8AF}"/>
            </c:ext>
          </c:extLst>
        </c:ser>
        <c:ser>
          <c:idx val="1"/>
          <c:order val="1"/>
          <c:tx>
            <c:strRef>
              <c:f>'24-05-24'!$R$11</c:f>
              <c:strCache>
                <c:ptCount val="1"/>
                <c:pt idx="0">
                  <c:v>Uv.
Index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'24-05-24'!$R$12:$R$35</c:f>
              <c:numCache>
                <c:formatCode>0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F7-4888-BE39-0A376D3DC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70560"/>
        <c:axId val="762471648"/>
      </c:lineChart>
      <c:catAx>
        <c:axId val="762470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71648"/>
        <c:crosses val="autoZero"/>
        <c:auto val="1"/>
        <c:lblAlgn val="ctr"/>
        <c:lblOffset val="100"/>
        <c:noMultiLvlLbl val="0"/>
      </c:catAx>
      <c:valAx>
        <c:axId val="76247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7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P. 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'24-05-24'!$F$11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'24-05-24'!$F$12:$F$35</c:f>
              <c:numCache>
                <c:formatCode>0</c:formatCode>
                <c:ptCount val="24"/>
                <c:pt idx="0">
                  <c:v>567.21</c:v>
                </c:pt>
                <c:pt idx="1">
                  <c:v>565.9</c:v>
                </c:pt>
                <c:pt idx="2">
                  <c:v>565.54</c:v>
                </c:pt>
                <c:pt idx="3">
                  <c:v>566.72</c:v>
                </c:pt>
                <c:pt idx="4">
                  <c:v>567.16999999999996</c:v>
                </c:pt>
                <c:pt idx="5">
                  <c:v>566.29</c:v>
                </c:pt>
                <c:pt idx="6">
                  <c:v>566.91999999999996</c:v>
                </c:pt>
                <c:pt idx="7">
                  <c:v>568.41</c:v>
                </c:pt>
                <c:pt idx="8">
                  <c:v>567.59</c:v>
                </c:pt>
                <c:pt idx="9">
                  <c:v>567.75</c:v>
                </c:pt>
                <c:pt idx="10">
                  <c:v>568.08000000000004</c:v>
                </c:pt>
                <c:pt idx="11">
                  <c:v>567.73</c:v>
                </c:pt>
                <c:pt idx="12">
                  <c:v>567.01</c:v>
                </c:pt>
                <c:pt idx="13">
                  <c:v>567.58000000000004</c:v>
                </c:pt>
                <c:pt idx="14">
                  <c:v>565.96</c:v>
                </c:pt>
                <c:pt idx="15">
                  <c:v>565.17999999999995</c:v>
                </c:pt>
                <c:pt idx="16">
                  <c:v>565.89</c:v>
                </c:pt>
                <c:pt idx="17">
                  <c:v>566.21</c:v>
                </c:pt>
                <c:pt idx="18">
                  <c:v>565.9</c:v>
                </c:pt>
                <c:pt idx="19">
                  <c:v>566.55999999999995</c:v>
                </c:pt>
                <c:pt idx="20">
                  <c:v>567.46</c:v>
                </c:pt>
                <c:pt idx="21">
                  <c:v>567.94000000000005</c:v>
                </c:pt>
                <c:pt idx="22">
                  <c:v>568.72</c:v>
                </c:pt>
                <c:pt idx="23">
                  <c:v>568.78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D4-4DE0-B653-D5E68A53BAD1}"/>
            </c:ext>
          </c:extLst>
        </c:ser>
        <c:ser>
          <c:idx val="1"/>
          <c:order val="1"/>
          <c:tx>
            <c:strRef>
              <c:f>'24-05-24'!$N$11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'24-05-24'!$N$12:$N$35</c:f>
              <c:numCache>
                <c:formatCode>0</c:formatCode>
                <c:ptCount val="24"/>
                <c:pt idx="0">
                  <c:v>567.21</c:v>
                </c:pt>
                <c:pt idx="1">
                  <c:v>565.9</c:v>
                </c:pt>
                <c:pt idx="2">
                  <c:v>565.54</c:v>
                </c:pt>
                <c:pt idx="3">
                  <c:v>565.72</c:v>
                </c:pt>
                <c:pt idx="4">
                  <c:v>566.16999999999996</c:v>
                </c:pt>
                <c:pt idx="5">
                  <c:v>566.29</c:v>
                </c:pt>
                <c:pt idx="6">
                  <c:v>566.91999999999996</c:v>
                </c:pt>
                <c:pt idx="7">
                  <c:v>567.41</c:v>
                </c:pt>
                <c:pt idx="8">
                  <c:v>567.59</c:v>
                </c:pt>
                <c:pt idx="9">
                  <c:v>567.75</c:v>
                </c:pt>
                <c:pt idx="10">
                  <c:v>568.08000000000004</c:v>
                </c:pt>
                <c:pt idx="11">
                  <c:v>567.73</c:v>
                </c:pt>
                <c:pt idx="12">
                  <c:v>567.01</c:v>
                </c:pt>
                <c:pt idx="13">
                  <c:v>566.58000000000004</c:v>
                </c:pt>
                <c:pt idx="14">
                  <c:v>565.96</c:v>
                </c:pt>
                <c:pt idx="15">
                  <c:v>565.17999999999995</c:v>
                </c:pt>
                <c:pt idx="16">
                  <c:v>564.89</c:v>
                </c:pt>
                <c:pt idx="17">
                  <c:v>565.21</c:v>
                </c:pt>
                <c:pt idx="18">
                  <c:v>565.9</c:v>
                </c:pt>
                <c:pt idx="19">
                  <c:v>566.55999999999995</c:v>
                </c:pt>
                <c:pt idx="20">
                  <c:v>567.46</c:v>
                </c:pt>
                <c:pt idx="21">
                  <c:v>567.94000000000005</c:v>
                </c:pt>
                <c:pt idx="22">
                  <c:v>567.72</c:v>
                </c:pt>
                <c:pt idx="23">
                  <c:v>567.78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D4-4DE0-B653-D5E68A53B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58048"/>
        <c:axId val="853779168"/>
      </c:lineChart>
      <c:catAx>
        <c:axId val="762458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9168"/>
        <c:crosses val="autoZero"/>
        <c:auto val="1"/>
        <c:lblAlgn val="ctr"/>
        <c:lblOffset val="100"/>
        <c:noMultiLvlLbl val="0"/>
      </c:catAx>
      <c:valAx>
        <c:axId val="85377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5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Precipitación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'24-05-24'!$K$11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'24-05-24'!$K$12:$K$35</c:f>
              <c:numCache>
                <c:formatCode>0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72-4B4B-9CD9-FBADE6108414}"/>
            </c:ext>
          </c:extLst>
        </c:ser>
        <c:ser>
          <c:idx val="1"/>
          <c:order val="1"/>
          <c:tx>
            <c:strRef>
              <c:f>'24-05-24'!$S$11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'24-05-24'!$S$12:$S$35</c:f>
              <c:numCache>
                <c:formatCode>0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72-4B4B-9CD9-FBADE6108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3773184"/>
        <c:axId val="853775360"/>
      </c:lineChart>
      <c:catAx>
        <c:axId val="853773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5360"/>
        <c:crosses val="autoZero"/>
        <c:auto val="1"/>
        <c:lblAlgn val="ctr"/>
        <c:lblOffset val="100"/>
        <c:noMultiLvlLbl val="0"/>
      </c:catAx>
      <c:valAx>
        <c:axId val="85377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Solar</a:t>
            </a:r>
            <a:r>
              <a:rPr lang="es-419" baseline="0"/>
              <a:t> Rad.</a:t>
            </a:r>
            <a:endParaRPr lang="es-419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'24-05-24'!$I$11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'24-05-24'!$I$12:$I$35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93.31</c:v>
                </c:pt>
                <c:pt idx="7">
                  <c:v>124.96</c:v>
                </c:pt>
                <c:pt idx="8">
                  <c:v>126.09</c:v>
                </c:pt>
                <c:pt idx="9">
                  <c:v>295.37</c:v>
                </c:pt>
                <c:pt idx="10">
                  <c:v>347.85</c:v>
                </c:pt>
                <c:pt idx="11">
                  <c:v>395.53</c:v>
                </c:pt>
                <c:pt idx="12">
                  <c:v>326.42</c:v>
                </c:pt>
                <c:pt idx="13">
                  <c:v>388.22</c:v>
                </c:pt>
                <c:pt idx="14">
                  <c:v>584.17999999999995</c:v>
                </c:pt>
                <c:pt idx="15">
                  <c:v>342.64</c:v>
                </c:pt>
                <c:pt idx="16">
                  <c:v>209.62</c:v>
                </c:pt>
                <c:pt idx="17">
                  <c:v>118.42</c:v>
                </c:pt>
                <c:pt idx="18">
                  <c:v>59.12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B9-4230-8D98-B503BA317C88}"/>
            </c:ext>
          </c:extLst>
        </c:ser>
        <c:ser>
          <c:idx val="1"/>
          <c:order val="1"/>
          <c:tx>
            <c:strRef>
              <c:f>'24-05-24'!$Q$11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'24-05-24'!$Q$12:$Q$35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23.31</c:v>
                </c:pt>
                <c:pt idx="7">
                  <c:v>99.96</c:v>
                </c:pt>
                <c:pt idx="8">
                  <c:v>119.09</c:v>
                </c:pt>
                <c:pt idx="9">
                  <c:v>260.37</c:v>
                </c:pt>
                <c:pt idx="10">
                  <c:v>266.85000000000002</c:v>
                </c:pt>
                <c:pt idx="11">
                  <c:v>333.53</c:v>
                </c:pt>
                <c:pt idx="12">
                  <c:v>301.42</c:v>
                </c:pt>
                <c:pt idx="13">
                  <c:v>373.22</c:v>
                </c:pt>
                <c:pt idx="14">
                  <c:v>523.17999999999995</c:v>
                </c:pt>
                <c:pt idx="15">
                  <c:v>328.64</c:v>
                </c:pt>
                <c:pt idx="16">
                  <c:v>143.62</c:v>
                </c:pt>
                <c:pt idx="17">
                  <c:v>33.42</c:v>
                </c:pt>
                <c:pt idx="18">
                  <c:v>1.1200000000000001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B9-4230-8D98-B503BA317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3776992"/>
        <c:axId val="853771008"/>
      </c:lineChart>
      <c:catAx>
        <c:axId val="853776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1008"/>
        <c:crosses val="autoZero"/>
        <c:auto val="1"/>
        <c:lblAlgn val="ctr"/>
        <c:lblOffset val="100"/>
        <c:noMultiLvlLbl val="0"/>
      </c:catAx>
      <c:valAx>
        <c:axId val="85377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Temp.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'24-11-25'!$D$11</c:f>
              <c:strCache>
                <c:ptCount val="1"/>
                <c:pt idx="0">
                  <c:v>Temp. Out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'24-11-25'!$D$12:$D$35</c:f>
              <c:numCache>
                <c:formatCode>0</c:formatCode>
                <c:ptCount val="24"/>
                <c:pt idx="0">
                  <c:v>13.7788</c:v>
                </c:pt>
                <c:pt idx="1">
                  <c:v>13.426</c:v>
                </c:pt>
                <c:pt idx="2">
                  <c:v>13.504399999999999</c:v>
                </c:pt>
                <c:pt idx="3">
                  <c:v>13.318199999999999</c:v>
                </c:pt>
                <c:pt idx="4">
                  <c:v>13.249599999999999</c:v>
                </c:pt>
                <c:pt idx="5">
                  <c:v>13.524000000000001</c:v>
                </c:pt>
                <c:pt idx="6">
                  <c:v>13.5632</c:v>
                </c:pt>
                <c:pt idx="7">
                  <c:v>14.268800000000001</c:v>
                </c:pt>
                <c:pt idx="8">
                  <c:v>15.7682</c:v>
                </c:pt>
                <c:pt idx="9">
                  <c:v>17.179400000000001</c:v>
                </c:pt>
                <c:pt idx="10">
                  <c:v>19.237399999999997</c:v>
                </c:pt>
                <c:pt idx="11">
                  <c:v>18.9924</c:v>
                </c:pt>
                <c:pt idx="12">
                  <c:v>19.119800000000001</c:v>
                </c:pt>
                <c:pt idx="13">
                  <c:v>16.9834</c:v>
                </c:pt>
                <c:pt idx="14">
                  <c:v>15.729000000000001</c:v>
                </c:pt>
                <c:pt idx="15">
                  <c:v>15.670199999999999</c:v>
                </c:pt>
                <c:pt idx="16">
                  <c:v>15.376199999999999</c:v>
                </c:pt>
                <c:pt idx="17">
                  <c:v>15.248800000000001</c:v>
                </c:pt>
                <c:pt idx="18">
                  <c:v>14.494199999999999</c:v>
                </c:pt>
                <c:pt idx="19">
                  <c:v>14.219799999999999</c:v>
                </c:pt>
                <c:pt idx="20">
                  <c:v>13.935600000000001</c:v>
                </c:pt>
                <c:pt idx="21">
                  <c:v>13.72</c:v>
                </c:pt>
                <c:pt idx="22">
                  <c:v>13.475</c:v>
                </c:pt>
                <c:pt idx="23">
                  <c:v>13.3574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64-4248-BF47-8C0239078B09}"/>
            </c:ext>
          </c:extLst>
        </c:ser>
        <c:ser>
          <c:idx val="1"/>
          <c:order val="1"/>
          <c:tx>
            <c:strRef>
              <c:f>'24-11-25'!$L$11</c:f>
              <c:strCache>
                <c:ptCount val="1"/>
                <c:pt idx="0">
                  <c:v>Temp. Out 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'24-11-25'!$L$12:$L$35</c:f>
              <c:numCache>
                <c:formatCode>0</c:formatCode>
                <c:ptCount val="24"/>
                <c:pt idx="0">
                  <c:v>14.06</c:v>
                </c:pt>
                <c:pt idx="1">
                  <c:v>13.7</c:v>
                </c:pt>
                <c:pt idx="2">
                  <c:v>13.78</c:v>
                </c:pt>
                <c:pt idx="3">
                  <c:v>13.59</c:v>
                </c:pt>
                <c:pt idx="4">
                  <c:v>13.52</c:v>
                </c:pt>
                <c:pt idx="5">
                  <c:v>13.8</c:v>
                </c:pt>
                <c:pt idx="6">
                  <c:v>13.84</c:v>
                </c:pt>
                <c:pt idx="7">
                  <c:v>14.56</c:v>
                </c:pt>
                <c:pt idx="8">
                  <c:v>16.09</c:v>
                </c:pt>
                <c:pt idx="9">
                  <c:v>17.53</c:v>
                </c:pt>
                <c:pt idx="10">
                  <c:v>19.63</c:v>
                </c:pt>
                <c:pt idx="11">
                  <c:v>19.38</c:v>
                </c:pt>
                <c:pt idx="12">
                  <c:v>19.510000000000002</c:v>
                </c:pt>
                <c:pt idx="13">
                  <c:v>17.329999999999998</c:v>
                </c:pt>
                <c:pt idx="14">
                  <c:v>16.05</c:v>
                </c:pt>
                <c:pt idx="15">
                  <c:v>15.99</c:v>
                </c:pt>
                <c:pt idx="16">
                  <c:v>15.69</c:v>
                </c:pt>
                <c:pt idx="17">
                  <c:v>15.56</c:v>
                </c:pt>
                <c:pt idx="18">
                  <c:v>14.79</c:v>
                </c:pt>
                <c:pt idx="19">
                  <c:v>14.51</c:v>
                </c:pt>
                <c:pt idx="20">
                  <c:v>14.22</c:v>
                </c:pt>
                <c:pt idx="21">
                  <c:v>14</c:v>
                </c:pt>
                <c:pt idx="22">
                  <c:v>13.75</c:v>
                </c:pt>
                <c:pt idx="23">
                  <c:v>13.63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64-4248-BF47-8C0239078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64576"/>
        <c:axId val="762468928"/>
      </c:lineChart>
      <c:catAx>
        <c:axId val="762464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8928"/>
        <c:crosses val="autoZero"/>
        <c:auto val="1"/>
        <c:lblAlgn val="ctr"/>
        <c:lblOffset val="100"/>
        <c:noMultiLvlLbl val="0"/>
      </c:catAx>
      <c:valAx>
        <c:axId val="76246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H.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'24-11-25'!$E$11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'24-11-25'!$E$12:$E$35</c:f>
              <c:numCache>
                <c:formatCode>0</c:formatCode>
                <c:ptCount val="24"/>
                <c:pt idx="0">
                  <c:v>87.601500000000001</c:v>
                </c:pt>
                <c:pt idx="1">
                  <c:v>87.941400000000002</c:v>
                </c:pt>
                <c:pt idx="2">
                  <c:v>87.395499999999998</c:v>
                </c:pt>
                <c:pt idx="3">
                  <c:v>87.869299999999996</c:v>
                </c:pt>
                <c:pt idx="4">
                  <c:v>87.962000000000003</c:v>
                </c:pt>
                <c:pt idx="5">
                  <c:v>86.993799999999993</c:v>
                </c:pt>
                <c:pt idx="6">
                  <c:v>87.148300000000006</c:v>
                </c:pt>
                <c:pt idx="7">
                  <c:v>84.758700000000005</c:v>
                </c:pt>
                <c:pt idx="8">
                  <c:v>77.147000000000006</c:v>
                </c:pt>
                <c:pt idx="9">
                  <c:v>70.050300000000007</c:v>
                </c:pt>
                <c:pt idx="10">
                  <c:v>59.812100000000001</c:v>
                </c:pt>
                <c:pt idx="11">
                  <c:v>58.874799999999993</c:v>
                </c:pt>
                <c:pt idx="12">
                  <c:v>60.285899999999998</c:v>
                </c:pt>
                <c:pt idx="13">
                  <c:v>76.312700000000007</c:v>
                </c:pt>
                <c:pt idx="14">
                  <c:v>85.294300000000007</c:v>
                </c:pt>
                <c:pt idx="15">
                  <c:v>83.100400000000008</c:v>
                </c:pt>
                <c:pt idx="16">
                  <c:v>78.9392</c:v>
                </c:pt>
                <c:pt idx="17">
                  <c:v>80.679900000000004</c:v>
                </c:pt>
                <c:pt idx="18">
                  <c:v>84.398200000000003</c:v>
                </c:pt>
                <c:pt idx="19">
                  <c:v>87.354299999999995</c:v>
                </c:pt>
                <c:pt idx="20">
                  <c:v>89.836600000000004</c:v>
                </c:pt>
                <c:pt idx="21">
                  <c:v>91.608199999999997</c:v>
                </c:pt>
                <c:pt idx="22">
                  <c:v>91.567000000000007</c:v>
                </c:pt>
                <c:pt idx="23">
                  <c:v>90.979900000000001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8D-433E-A162-2A39FA6F3BFA}"/>
            </c:ext>
          </c:extLst>
        </c:ser>
        <c:ser>
          <c:idx val="1"/>
          <c:order val="1"/>
          <c:tx>
            <c:strRef>
              <c:f>'24-11-25'!$M$11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'24-11-25'!$M$12:$M$35</c:f>
              <c:numCache>
                <c:formatCode>0</c:formatCode>
                <c:ptCount val="24"/>
                <c:pt idx="0">
                  <c:v>85.05</c:v>
                </c:pt>
                <c:pt idx="1">
                  <c:v>85.38</c:v>
                </c:pt>
                <c:pt idx="2">
                  <c:v>84.85</c:v>
                </c:pt>
                <c:pt idx="3">
                  <c:v>85.31</c:v>
                </c:pt>
                <c:pt idx="4">
                  <c:v>85.4</c:v>
                </c:pt>
                <c:pt idx="5">
                  <c:v>84.46</c:v>
                </c:pt>
                <c:pt idx="6">
                  <c:v>84.61</c:v>
                </c:pt>
                <c:pt idx="7">
                  <c:v>82.29</c:v>
                </c:pt>
                <c:pt idx="8">
                  <c:v>74.900000000000006</c:v>
                </c:pt>
                <c:pt idx="9">
                  <c:v>68.010000000000005</c:v>
                </c:pt>
                <c:pt idx="10">
                  <c:v>58.07</c:v>
                </c:pt>
                <c:pt idx="11">
                  <c:v>57.16</c:v>
                </c:pt>
                <c:pt idx="12">
                  <c:v>58.53</c:v>
                </c:pt>
                <c:pt idx="13">
                  <c:v>74.09</c:v>
                </c:pt>
                <c:pt idx="14">
                  <c:v>82.81</c:v>
                </c:pt>
                <c:pt idx="15">
                  <c:v>80.680000000000007</c:v>
                </c:pt>
                <c:pt idx="16">
                  <c:v>76.64</c:v>
                </c:pt>
                <c:pt idx="17">
                  <c:v>78.33</c:v>
                </c:pt>
                <c:pt idx="18">
                  <c:v>81.94</c:v>
                </c:pt>
                <c:pt idx="19">
                  <c:v>84.81</c:v>
                </c:pt>
                <c:pt idx="20">
                  <c:v>87.22</c:v>
                </c:pt>
                <c:pt idx="21">
                  <c:v>88.94</c:v>
                </c:pt>
                <c:pt idx="22">
                  <c:v>88.9</c:v>
                </c:pt>
                <c:pt idx="23">
                  <c:v>88.33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8D-433E-A162-2A39FA6F3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59680"/>
        <c:axId val="762462944"/>
      </c:lineChart>
      <c:catAx>
        <c:axId val="762459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2944"/>
        <c:crosses val="autoZero"/>
        <c:auto val="1"/>
        <c:lblAlgn val="ctr"/>
        <c:lblOffset val="100"/>
        <c:noMultiLvlLbl val="0"/>
      </c:catAx>
      <c:valAx>
        <c:axId val="76246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5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Dir.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'24-11-25'!$G$11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'24-11-25'!$G$12:$G$35</c:f>
              <c:numCache>
                <c:formatCode>0</c:formatCode>
                <c:ptCount val="24"/>
                <c:pt idx="0">
                  <c:v>249.24</c:v>
                </c:pt>
                <c:pt idx="1">
                  <c:v>270.77</c:v>
                </c:pt>
                <c:pt idx="2">
                  <c:v>209.89</c:v>
                </c:pt>
                <c:pt idx="3">
                  <c:v>232.35</c:v>
                </c:pt>
                <c:pt idx="4">
                  <c:v>160.44</c:v>
                </c:pt>
                <c:pt idx="5">
                  <c:v>73.38</c:v>
                </c:pt>
                <c:pt idx="6">
                  <c:v>294.36</c:v>
                </c:pt>
                <c:pt idx="7">
                  <c:v>303.52</c:v>
                </c:pt>
                <c:pt idx="8">
                  <c:v>344.04</c:v>
                </c:pt>
                <c:pt idx="9">
                  <c:v>352.07</c:v>
                </c:pt>
                <c:pt idx="10">
                  <c:v>310.7</c:v>
                </c:pt>
                <c:pt idx="11">
                  <c:v>119.06</c:v>
                </c:pt>
                <c:pt idx="12">
                  <c:v>89.64</c:v>
                </c:pt>
                <c:pt idx="13">
                  <c:v>66.53</c:v>
                </c:pt>
                <c:pt idx="14">
                  <c:v>197</c:v>
                </c:pt>
                <c:pt idx="15">
                  <c:v>266.66000000000003</c:v>
                </c:pt>
                <c:pt idx="16">
                  <c:v>308.27</c:v>
                </c:pt>
                <c:pt idx="17">
                  <c:v>249.88</c:v>
                </c:pt>
                <c:pt idx="18">
                  <c:v>177.01</c:v>
                </c:pt>
                <c:pt idx="19">
                  <c:v>260.41000000000003</c:v>
                </c:pt>
                <c:pt idx="20">
                  <c:v>341.03</c:v>
                </c:pt>
                <c:pt idx="21">
                  <c:v>323.87</c:v>
                </c:pt>
                <c:pt idx="22">
                  <c:v>300.02999999999997</c:v>
                </c:pt>
                <c:pt idx="23">
                  <c:v>265.55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CB-43F8-B278-B17084D5D85F}"/>
            </c:ext>
          </c:extLst>
        </c:ser>
        <c:ser>
          <c:idx val="1"/>
          <c:order val="1"/>
          <c:tx>
            <c:strRef>
              <c:f>'24-11-25'!$O$11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'24-11-25'!$O$12:$O$35</c:f>
              <c:numCache>
                <c:formatCode>0</c:formatCode>
                <c:ptCount val="24"/>
                <c:pt idx="0">
                  <c:v>244.24</c:v>
                </c:pt>
                <c:pt idx="1">
                  <c:v>264.77</c:v>
                </c:pt>
                <c:pt idx="2">
                  <c:v>205.89</c:v>
                </c:pt>
                <c:pt idx="3">
                  <c:v>224.35</c:v>
                </c:pt>
                <c:pt idx="4">
                  <c:v>152.44</c:v>
                </c:pt>
                <c:pt idx="5">
                  <c:v>72.38</c:v>
                </c:pt>
                <c:pt idx="6">
                  <c:v>292.36</c:v>
                </c:pt>
                <c:pt idx="7">
                  <c:v>301.52</c:v>
                </c:pt>
                <c:pt idx="8">
                  <c:v>336.04</c:v>
                </c:pt>
                <c:pt idx="9">
                  <c:v>348.07</c:v>
                </c:pt>
                <c:pt idx="10">
                  <c:v>304.7</c:v>
                </c:pt>
                <c:pt idx="11">
                  <c:v>109.06</c:v>
                </c:pt>
                <c:pt idx="12">
                  <c:v>80.64</c:v>
                </c:pt>
                <c:pt idx="13">
                  <c:v>64.53</c:v>
                </c:pt>
                <c:pt idx="14">
                  <c:v>196</c:v>
                </c:pt>
                <c:pt idx="15">
                  <c:v>261.66000000000003</c:v>
                </c:pt>
                <c:pt idx="16">
                  <c:v>305.27</c:v>
                </c:pt>
                <c:pt idx="17">
                  <c:v>244.88</c:v>
                </c:pt>
                <c:pt idx="18">
                  <c:v>173.01</c:v>
                </c:pt>
                <c:pt idx="19">
                  <c:v>256.41000000000003</c:v>
                </c:pt>
                <c:pt idx="20">
                  <c:v>334.03</c:v>
                </c:pt>
                <c:pt idx="21">
                  <c:v>315.87</c:v>
                </c:pt>
                <c:pt idx="22">
                  <c:v>295.02999999999997</c:v>
                </c:pt>
                <c:pt idx="23">
                  <c:v>261.55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CB-43F8-B278-B17084D5D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67296"/>
        <c:axId val="762460768"/>
      </c:lineChart>
      <c:catAx>
        <c:axId val="762467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0768"/>
        <c:crosses val="autoZero"/>
        <c:auto val="1"/>
        <c:lblAlgn val="ctr"/>
        <c:lblOffset val="100"/>
        <c:noMultiLvlLbl val="0"/>
      </c:catAx>
      <c:valAx>
        <c:axId val="76246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V.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'24-11-25'!$H$11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'24-11-25'!$H$12:$H$35</c:f>
              <c:numCache>
                <c:formatCode>0</c:formatCode>
                <c:ptCount val="24"/>
                <c:pt idx="0">
                  <c:v>1.34</c:v>
                </c:pt>
                <c:pt idx="1">
                  <c:v>0.34</c:v>
                </c:pt>
                <c:pt idx="2">
                  <c:v>1.35</c:v>
                </c:pt>
                <c:pt idx="3">
                  <c:v>1.1299999999999999</c:v>
                </c:pt>
                <c:pt idx="4">
                  <c:v>1.19</c:v>
                </c:pt>
                <c:pt idx="5">
                  <c:v>0.03</c:v>
                </c:pt>
                <c:pt idx="6">
                  <c:v>1.53</c:v>
                </c:pt>
                <c:pt idx="7">
                  <c:v>0.74</c:v>
                </c:pt>
                <c:pt idx="8">
                  <c:v>1.1399999999999999</c:v>
                </c:pt>
                <c:pt idx="9">
                  <c:v>1.03</c:v>
                </c:pt>
                <c:pt idx="10">
                  <c:v>0.8</c:v>
                </c:pt>
                <c:pt idx="11">
                  <c:v>1.94</c:v>
                </c:pt>
                <c:pt idx="12">
                  <c:v>2.66</c:v>
                </c:pt>
                <c:pt idx="13">
                  <c:v>3.27</c:v>
                </c:pt>
                <c:pt idx="14">
                  <c:v>3.21</c:v>
                </c:pt>
                <c:pt idx="15">
                  <c:v>1.64</c:v>
                </c:pt>
                <c:pt idx="16">
                  <c:v>0.65</c:v>
                </c:pt>
                <c:pt idx="17">
                  <c:v>0.81</c:v>
                </c:pt>
                <c:pt idx="18">
                  <c:v>1.87</c:v>
                </c:pt>
                <c:pt idx="19">
                  <c:v>0.19</c:v>
                </c:pt>
                <c:pt idx="20">
                  <c:v>1.05</c:v>
                </c:pt>
                <c:pt idx="21">
                  <c:v>0.16</c:v>
                </c:pt>
                <c:pt idx="22">
                  <c:v>1.1000000000000001</c:v>
                </c:pt>
                <c:pt idx="23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94-4384-9861-25B253B28757}"/>
            </c:ext>
          </c:extLst>
        </c:ser>
        <c:ser>
          <c:idx val="1"/>
          <c:order val="1"/>
          <c:tx>
            <c:strRef>
              <c:f>'24-11-25'!$P$11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'24-11-25'!$P$12:$P$35</c:f>
              <c:numCache>
                <c:formatCode>0</c:formatCode>
                <c:ptCount val="24"/>
                <c:pt idx="0">
                  <c:v>0.34</c:v>
                </c:pt>
                <c:pt idx="1">
                  <c:v>0.34</c:v>
                </c:pt>
                <c:pt idx="2">
                  <c:v>0.35</c:v>
                </c:pt>
                <c:pt idx="3">
                  <c:v>0.13</c:v>
                </c:pt>
                <c:pt idx="4">
                  <c:v>0.19</c:v>
                </c:pt>
                <c:pt idx="5">
                  <c:v>0.03</c:v>
                </c:pt>
                <c:pt idx="6">
                  <c:v>0.53</c:v>
                </c:pt>
                <c:pt idx="7">
                  <c:v>0.74</c:v>
                </c:pt>
                <c:pt idx="8">
                  <c:v>1.1399999999999999</c:v>
                </c:pt>
                <c:pt idx="9">
                  <c:v>1.03</c:v>
                </c:pt>
                <c:pt idx="10">
                  <c:v>0.8</c:v>
                </c:pt>
                <c:pt idx="11">
                  <c:v>0.94</c:v>
                </c:pt>
                <c:pt idx="12">
                  <c:v>1.66</c:v>
                </c:pt>
                <c:pt idx="13">
                  <c:v>2.27</c:v>
                </c:pt>
                <c:pt idx="14">
                  <c:v>2.21</c:v>
                </c:pt>
                <c:pt idx="15">
                  <c:v>1.64</c:v>
                </c:pt>
                <c:pt idx="16">
                  <c:v>0.65</c:v>
                </c:pt>
                <c:pt idx="17">
                  <c:v>0.81</c:v>
                </c:pt>
                <c:pt idx="18">
                  <c:v>0.87</c:v>
                </c:pt>
                <c:pt idx="19">
                  <c:v>0.19</c:v>
                </c:pt>
                <c:pt idx="20">
                  <c:v>0.05</c:v>
                </c:pt>
                <c:pt idx="21">
                  <c:v>0.16</c:v>
                </c:pt>
                <c:pt idx="22">
                  <c:v>0.1</c:v>
                </c:pt>
                <c:pt idx="23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94-4384-9861-25B253B28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67840"/>
        <c:axId val="762469472"/>
      </c:lineChart>
      <c:catAx>
        <c:axId val="762467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9472"/>
        <c:crosses val="autoZero"/>
        <c:auto val="1"/>
        <c:lblAlgn val="ctr"/>
        <c:lblOffset val="100"/>
        <c:noMultiLvlLbl val="0"/>
      </c:catAx>
      <c:valAx>
        <c:axId val="76246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Uv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'24-11-25'!$J$11</c:f>
              <c:strCache>
                <c:ptCount val="1"/>
                <c:pt idx="0">
                  <c:v>Uv
Index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'24-11-25'!$J$12:$J$35</c:f>
              <c:numCache>
                <c:formatCode>0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E3-41D4-BE2D-F152878F7149}"/>
            </c:ext>
          </c:extLst>
        </c:ser>
        <c:ser>
          <c:idx val="1"/>
          <c:order val="1"/>
          <c:tx>
            <c:strRef>
              <c:f>'24-11-25'!$R$11</c:f>
              <c:strCache>
                <c:ptCount val="1"/>
                <c:pt idx="0">
                  <c:v>Uv.
Index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'24-11-25'!$R$12:$R$35</c:f>
              <c:numCache>
                <c:formatCode>0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E3-41D4-BE2D-F152878F7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70560"/>
        <c:axId val="762471648"/>
      </c:lineChart>
      <c:catAx>
        <c:axId val="762470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71648"/>
        <c:crosses val="autoZero"/>
        <c:auto val="1"/>
        <c:lblAlgn val="ctr"/>
        <c:lblOffset val="100"/>
        <c:noMultiLvlLbl val="0"/>
      </c:catAx>
      <c:valAx>
        <c:axId val="76247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7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P. 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'24-11-25'!$F$11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'24-11-25'!$F$12:$F$35</c:f>
              <c:numCache>
                <c:formatCode>0</c:formatCode>
                <c:ptCount val="24"/>
                <c:pt idx="0">
                  <c:v>567.96</c:v>
                </c:pt>
                <c:pt idx="1">
                  <c:v>566.28</c:v>
                </c:pt>
                <c:pt idx="2">
                  <c:v>565.91999999999996</c:v>
                </c:pt>
                <c:pt idx="3">
                  <c:v>566.97</c:v>
                </c:pt>
                <c:pt idx="4">
                  <c:v>567.12</c:v>
                </c:pt>
                <c:pt idx="5">
                  <c:v>567.6</c:v>
                </c:pt>
                <c:pt idx="6">
                  <c:v>568.09</c:v>
                </c:pt>
                <c:pt idx="7">
                  <c:v>567.66999999999996</c:v>
                </c:pt>
                <c:pt idx="8">
                  <c:v>567.74</c:v>
                </c:pt>
                <c:pt idx="9">
                  <c:v>568.54</c:v>
                </c:pt>
                <c:pt idx="10">
                  <c:v>567.15</c:v>
                </c:pt>
                <c:pt idx="11">
                  <c:v>566.54999999999995</c:v>
                </c:pt>
                <c:pt idx="12">
                  <c:v>565.73</c:v>
                </c:pt>
                <c:pt idx="13">
                  <c:v>565.89</c:v>
                </c:pt>
                <c:pt idx="14">
                  <c:v>565.38</c:v>
                </c:pt>
                <c:pt idx="15">
                  <c:v>565.15</c:v>
                </c:pt>
                <c:pt idx="16">
                  <c:v>564.46</c:v>
                </c:pt>
                <c:pt idx="17">
                  <c:v>565.03</c:v>
                </c:pt>
                <c:pt idx="18">
                  <c:v>565.72</c:v>
                </c:pt>
                <c:pt idx="19">
                  <c:v>567.46</c:v>
                </c:pt>
                <c:pt idx="20">
                  <c:v>568.09</c:v>
                </c:pt>
                <c:pt idx="21">
                  <c:v>568.36</c:v>
                </c:pt>
                <c:pt idx="22">
                  <c:v>567.45000000000005</c:v>
                </c:pt>
                <c:pt idx="23">
                  <c:v>568.12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A7-4B53-8FC7-927FB945D316}"/>
            </c:ext>
          </c:extLst>
        </c:ser>
        <c:ser>
          <c:idx val="1"/>
          <c:order val="1"/>
          <c:tx>
            <c:strRef>
              <c:f>'24-11-25'!$N$11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'24-11-25'!$N$12:$N$35</c:f>
              <c:numCache>
                <c:formatCode>0</c:formatCode>
                <c:ptCount val="24"/>
                <c:pt idx="0">
                  <c:v>566.96</c:v>
                </c:pt>
                <c:pt idx="1">
                  <c:v>566.28</c:v>
                </c:pt>
                <c:pt idx="2">
                  <c:v>565.91999999999996</c:v>
                </c:pt>
                <c:pt idx="3">
                  <c:v>565.97</c:v>
                </c:pt>
                <c:pt idx="4">
                  <c:v>566.12</c:v>
                </c:pt>
                <c:pt idx="5">
                  <c:v>566.6</c:v>
                </c:pt>
                <c:pt idx="6">
                  <c:v>567.09</c:v>
                </c:pt>
                <c:pt idx="7">
                  <c:v>567.66999999999996</c:v>
                </c:pt>
                <c:pt idx="8">
                  <c:v>567.74</c:v>
                </c:pt>
                <c:pt idx="9">
                  <c:v>567.54</c:v>
                </c:pt>
                <c:pt idx="10">
                  <c:v>567.15</c:v>
                </c:pt>
                <c:pt idx="11">
                  <c:v>566.54999999999995</c:v>
                </c:pt>
                <c:pt idx="12">
                  <c:v>565.73</c:v>
                </c:pt>
                <c:pt idx="13">
                  <c:v>564.89</c:v>
                </c:pt>
                <c:pt idx="14">
                  <c:v>564.38</c:v>
                </c:pt>
                <c:pt idx="15">
                  <c:v>564.15</c:v>
                </c:pt>
                <c:pt idx="16">
                  <c:v>564.46</c:v>
                </c:pt>
                <c:pt idx="17">
                  <c:v>565.03</c:v>
                </c:pt>
                <c:pt idx="18">
                  <c:v>565.72</c:v>
                </c:pt>
                <c:pt idx="19">
                  <c:v>566.46</c:v>
                </c:pt>
                <c:pt idx="20">
                  <c:v>567.09</c:v>
                </c:pt>
                <c:pt idx="21">
                  <c:v>567.36</c:v>
                </c:pt>
                <c:pt idx="22">
                  <c:v>567.45000000000005</c:v>
                </c:pt>
                <c:pt idx="23">
                  <c:v>567.12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A7-4B53-8FC7-927FB945D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58048"/>
        <c:axId val="853779168"/>
      </c:lineChart>
      <c:catAx>
        <c:axId val="762458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9168"/>
        <c:crosses val="autoZero"/>
        <c:auto val="1"/>
        <c:lblAlgn val="ctr"/>
        <c:lblOffset val="100"/>
        <c:noMultiLvlLbl val="0"/>
      </c:catAx>
      <c:valAx>
        <c:axId val="85377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5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Precipitación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'24-11-25'!$K$11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'24-11-25'!$K$12:$K$35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0.60000000000000009</c:v>
                </c:pt>
                <c:pt idx="20">
                  <c:v>0.8</c:v>
                </c:pt>
                <c:pt idx="21">
                  <c:v>2.2000000000000002</c:v>
                </c:pt>
                <c:pt idx="22">
                  <c:v>0.8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8-41D7-A89B-CABDC18B5BB7}"/>
            </c:ext>
          </c:extLst>
        </c:ser>
        <c:ser>
          <c:idx val="1"/>
          <c:order val="1"/>
          <c:tx>
            <c:strRef>
              <c:f>'24-11-25'!$S$11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'24-11-25'!$S$12:$S$35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0.6</c:v>
                </c:pt>
                <c:pt idx="20">
                  <c:v>0.8</c:v>
                </c:pt>
                <c:pt idx="21">
                  <c:v>2.2000000000000002</c:v>
                </c:pt>
                <c:pt idx="22">
                  <c:v>0.8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8-41D7-A89B-CABDC18B5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3773184"/>
        <c:axId val="853775360"/>
      </c:lineChart>
      <c:catAx>
        <c:axId val="853773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5360"/>
        <c:crosses val="autoZero"/>
        <c:auto val="1"/>
        <c:lblAlgn val="ctr"/>
        <c:lblOffset val="100"/>
        <c:noMultiLvlLbl val="0"/>
      </c:catAx>
      <c:valAx>
        <c:axId val="85377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Solar</a:t>
            </a:r>
            <a:r>
              <a:rPr lang="es-419" baseline="0"/>
              <a:t> Rad.</a:t>
            </a:r>
            <a:endParaRPr lang="es-419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'24-11-25'!$I$11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'24-11-25'!$I$12:$I$35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97.59</c:v>
                </c:pt>
                <c:pt idx="7">
                  <c:v>199.05</c:v>
                </c:pt>
                <c:pt idx="8">
                  <c:v>268.18</c:v>
                </c:pt>
                <c:pt idx="9">
                  <c:v>338.42</c:v>
                </c:pt>
                <c:pt idx="10">
                  <c:v>328.55</c:v>
                </c:pt>
                <c:pt idx="11">
                  <c:v>205.72</c:v>
                </c:pt>
                <c:pt idx="12">
                  <c:v>150.27000000000001</c:v>
                </c:pt>
                <c:pt idx="13">
                  <c:v>178.45999999999998</c:v>
                </c:pt>
                <c:pt idx="14">
                  <c:v>175.7</c:v>
                </c:pt>
                <c:pt idx="15">
                  <c:v>147.9</c:v>
                </c:pt>
                <c:pt idx="16">
                  <c:v>130.51</c:v>
                </c:pt>
                <c:pt idx="17">
                  <c:v>23.72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8A-496B-BF21-2FE10D47D185}"/>
            </c:ext>
          </c:extLst>
        </c:ser>
        <c:ser>
          <c:idx val="1"/>
          <c:order val="1"/>
          <c:tx>
            <c:strRef>
              <c:f>'24-11-25'!$Q$11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'24-11-25'!$Q$12:$Q$35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11.59</c:v>
                </c:pt>
                <c:pt idx="7">
                  <c:v>121.05</c:v>
                </c:pt>
                <c:pt idx="8">
                  <c:v>184.18</c:v>
                </c:pt>
                <c:pt idx="9">
                  <c:v>322.42</c:v>
                </c:pt>
                <c:pt idx="10">
                  <c:v>263.55</c:v>
                </c:pt>
                <c:pt idx="11">
                  <c:v>183.72</c:v>
                </c:pt>
                <c:pt idx="12">
                  <c:v>131.27000000000001</c:v>
                </c:pt>
                <c:pt idx="13">
                  <c:v>113.46</c:v>
                </c:pt>
                <c:pt idx="14">
                  <c:v>93.7</c:v>
                </c:pt>
                <c:pt idx="15">
                  <c:v>142.9</c:v>
                </c:pt>
                <c:pt idx="16">
                  <c:v>55.51</c:v>
                </c:pt>
                <c:pt idx="17">
                  <c:v>4.72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8A-496B-BF21-2FE10D47D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3776992"/>
        <c:axId val="853771008"/>
      </c:lineChart>
      <c:catAx>
        <c:axId val="853776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1008"/>
        <c:crosses val="autoZero"/>
        <c:auto val="1"/>
        <c:lblAlgn val="ctr"/>
        <c:lblOffset val="100"/>
        <c:noMultiLvlLbl val="0"/>
      </c:catAx>
      <c:valAx>
        <c:axId val="85377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Temp.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'25-05-28'!$D$11</c:f>
              <c:strCache>
                <c:ptCount val="1"/>
                <c:pt idx="0">
                  <c:v>Temp. Out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'25-05-28'!$D$12:$D$35</c:f>
              <c:numCache>
                <c:formatCode>0</c:formatCode>
                <c:ptCount val="24"/>
                <c:pt idx="0">
                  <c:v>13.024199999999999</c:v>
                </c:pt>
                <c:pt idx="1">
                  <c:v>12.837999999999999</c:v>
                </c:pt>
                <c:pt idx="2">
                  <c:v>12.622400000000001</c:v>
                </c:pt>
                <c:pt idx="3">
                  <c:v>12.446</c:v>
                </c:pt>
                <c:pt idx="4">
                  <c:v>12.338200000000001</c:v>
                </c:pt>
                <c:pt idx="5">
                  <c:v>12.377400000000002</c:v>
                </c:pt>
                <c:pt idx="6">
                  <c:v>12.200999999999999</c:v>
                </c:pt>
                <c:pt idx="7">
                  <c:v>12.4068</c:v>
                </c:pt>
                <c:pt idx="8">
                  <c:v>12.612599999999999</c:v>
                </c:pt>
                <c:pt idx="9">
                  <c:v>13.670999999999999</c:v>
                </c:pt>
                <c:pt idx="10">
                  <c:v>15.689800000000002</c:v>
                </c:pt>
                <c:pt idx="11">
                  <c:v>18.2378</c:v>
                </c:pt>
                <c:pt idx="12">
                  <c:v>20.1782</c:v>
                </c:pt>
                <c:pt idx="13">
                  <c:v>20.354599999999998</c:v>
                </c:pt>
                <c:pt idx="14">
                  <c:v>20.678000000000001</c:v>
                </c:pt>
                <c:pt idx="15">
                  <c:v>18.835599999999999</c:v>
                </c:pt>
                <c:pt idx="16">
                  <c:v>18.482800000000001</c:v>
                </c:pt>
                <c:pt idx="17">
                  <c:v>17.983000000000001</c:v>
                </c:pt>
                <c:pt idx="18">
                  <c:v>15.944599999999999</c:v>
                </c:pt>
                <c:pt idx="19">
                  <c:v>15.042999999999999</c:v>
                </c:pt>
                <c:pt idx="20">
                  <c:v>14.847</c:v>
                </c:pt>
                <c:pt idx="21">
                  <c:v>14.5726</c:v>
                </c:pt>
                <c:pt idx="22">
                  <c:v>14.112</c:v>
                </c:pt>
                <c:pt idx="23">
                  <c:v>13.592599999999999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A9-4A37-9F76-5E81D552AEAF}"/>
            </c:ext>
          </c:extLst>
        </c:ser>
        <c:ser>
          <c:idx val="1"/>
          <c:order val="1"/>
          <c:tx>
            <c:strRef>
              <c:f>'25-05-28'!$L$11</c:f>
              <c:strCache>
                <c:ptCount val="1"/>
                <c:pt idx="0">
                  <c:v>Temp. Out 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'25-05-28'!$L$12:$L$35</c:f>
              <c:numCache>
                <c:formatCode>0</c:formatCode>
                <c:ptCount val="24"/>
                <c:pt idx="0">
                  <c:v>13.29</c:v>
                </c:pt>
                <c:pt idx="1">
                  <c:v>13.1</c:v>
                </c:pt>
                <c:pt idx="2">
                  <c:v>12.88</c:v>
                </c:pt>
                <c:pt idx="3">
                  <c:v>12.7</c:v>
                </c:pt>
                <c:pt idx="4">
                  <c:v>12.59</c:v>
                </c:pt>
                <c:pt idx="5">
                  <c:v>12.63</c:v>
                </c:pt>
                <c:pt idx="6">
                  <c:v>12.45</c:v>
                </c:pt>
                <c:pt idx="7">
                  <c:v>12.66</c:v>
                </c:pt>
                <c:pt idx="8">
                  <c:v>12.87</c:v>
                </c:pt>
                <c:pt idx="9">
                  <c:v>13.95</c:v>
                </c:pt>
                <c:pt idx="10">
                  <c:v>16.010000000000002</c:v>
                </c:pt>
                <c:pt idx="11">
                  <c:v>18.61</c:v>
                </c:pt>
                <c:pt idx="12">
                  <c:v>20.59</c:v>
                </c:pt>
                <c:pt idx="13">
                  <c:v>20.77</c:v>
                </c:pt>
                <c:pt idx="14">
                  <c:v>21.1</c:v>
                </c:pt>
                <c:pt idx="15">
                  <c:v>19.22</c:v>
                </c:pt>
                <c:pt idx="16">
                  <c:v>18.86</c:v>
                </c:pt>
                <c:pt idx="17">
                  <c:v>18.350000000000001</c:v>
                </c:pt>
                <c:pt idx="18">
                  <c:v>16.27</c:v>
                </c:pt>
                <c:pt idx="19">
                  <c:v>15.35</c:v>
                </c:pt>
                <c:pt idx="20">
                  <c:v>15.15</c:v>
                </c:pt>
                <c:pt idx="21">
                  <c:v>14.87</c:v>
                </c:pt>
                <c:pt idx="22">
                  <c:v>14.4</c:v>
                </c:pt>
                <c:pt idx="23">
                  <c:v>13.87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A9-4A37-9F76-5E81D552A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64576"/>
        <c:axId val="762468928"/>
      </c:lineChart>
      <c:catAx>
        <c:axId val="762464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8928"/>
        <c:crosses val="autoZero"/>
        <c:auto val="1"/>
        <c:lblAlgn val="ctr"/>
        <c:lblOffset val="100"/>
        <c:noMultiLvlLbl val="0"/>
      </c:catAx>
      <c:valAx>
        <c:axId val="76246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H.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'25-05-28'!$E$11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'25-05-28'!$E$12:$E$35</c:f>
              <c:numCache>
                <c:formatCode>0</c:formatCode>
                <c:ptCount val="24"/>
                <c:pt idx="0">
                  <c:v>89.836600000000004</c:v>
                </c:pt>
                <c:pt idx="1">
                  <c:v>91.412499999999994</c:v>
                </c:pt>
                <c:pt idx="2">
                  <c:v>92.432199999999995</c:v>
                </c:pt>
                <c:pt idx="3">
                  <c:v>92.679400000000001</c:v>
                </c:pt>
                <c:pt idx="4">
                  <c:v>92.7</c:v>
                </c:pt>
                <c:pt idx="5">
                  <c:v>93.081100000000006</c:v>
                </c:pt>
                <c:pt idx="6">
                  <c:v>91.8142</c:v>
                </c:pt>
                <c:pt idx="7">
                  <c:v>90.125</c:v>
                </c:pt>
                <c:pt idx="8">
                  <c:v>88.899299999999997</c:v>
                </c:pt>
                <c:pt idx="9">
                  <c:v>85.201599999999999</c:v>
                </c:pt>
                <c:pt idx="10">
                  <c:v>78.012199999999993</c:v>
                </c:pt>
                <c:pt idx="11">
                  <c:v>65.652200000000008</c:v>
                </c:pt>
                <c:pt idx="12">
                  <c:v>60.533100000000005</c:v>
                </c:pt>
                <c:pt idx="13">
                  <c:v>55.558199999999999</c:v>
                </c:pt>
                <c:pt idx="14">
                  <c:v>60.100500000000004</c:v>
                </c:pt>
                <c:pt idx="15">
                  <c:v>72.172099999999986</c:v>
                </c:pt>
                <c:pt idx="16">
                  <c:v>71.8322</c:v>
                </c:pt>
                <c:pt idx="17">
                  <c:v>72.460499999999996</c:v>
                </c:pt>
                <c:pt idx="18">
                  <c:v>80.566599999999994</c:v>
                </c:pt>
                <c:pt idx="19">
                  <c:v>85.294300000000007</c:v>
                </c:pt>
                <c:pt idx="20">
                  <c:v>86.530300000000011</c:v>
                </c:pt>
                <c:pt idx="21">
                  <c:v>86.767199999999988</c:v>
                </c:pt>
                <c:pt idx="22">
                  <c:v>85.76809999999999</c:v>
                </c:pt>
                <c:pt idx="23">
                  <c:v>85.829899999999995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55-482E-AC9C-51F31FCC6334}"/>
            </c:ext>
          </c:extLst>
        </c:ser>
        <c:ser>
          <c:idx val="1"/>
          <c:order val="1"/>
          <c:tx>
            <c:strRef>
              <c:f>'25-05-28'!$M$11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'25-05-28'!$M$12:$M$35</c:f>
              <c:numCache>
                <c:formatCode>0</c:formatCode>
                <c:ptCount val="24"/>
                <c:pt idx="0">
                  <c:v>87.22</c:v>
                </c:pt>
                <c:pt idx="1">
                  <c:v>88.75</c:v>
                </c:pt>
                <c:pt idx="2">
                  <c:v>89.74</c:v>
                </c:pt>
                <c:pt idx="3">
                  <c:v>89.98</c:v>
                </c:pt>
                <c:pt idx="4">
                  <c:v>90</c:v>
                </c:pt>
                <c:pt idx="5">
                  <c:v>90.37</c:v>
                </c:pt>
                <c:pt idx="6">
                  <c:v>89.14</c:v>
                </c:pt>
                <c:pt idx="7">
                  <c:v>87.5</c:v>
                </c:pt>
                <c:pt idx="8">
                  <c:v>86.31</c:v>
                </c:pt>
                <c:pt idx="9">
                  <c:v>82.72</c:v>
                </c:pt>
                <c:pt idx="10">
                  <c:v>75.739999999999995</c:v>
                </c:pt>
                <c:pt idx="11">
                  <c:v>63.74</c:v>
                </c:pt>
                <c:pt idx="12">
                  <c:v>58.77</c:v>
                </c:pt>
                <c:pt idx="13">
                  <c:v>53.94</c:v>
                </c:pt>
                <c:pt idx="14">
                  <c:v>58.35</c:v>
                </c:pt>
                <c:pt idx="15">
                  <c:v>70.069999999999993</c:v>
                </c:pt>
                <c:pt idx="16">
                  <c:v>69.739999999999995</c:v>
                </c:pt>
                <c:pt idx="17">
                  <c:v>70.349999999999994</c:v>
                </c:pt>
                <c:pt idx="18">
                  <c:v>78.22</c:v>
                </c:pt>
                <c:pt idx="19">
                  <c:v>82.81</c:v>
                </c:pt>
                <c:pt idx="20">
                  <c:v>84.01</c:v>
                </c:pt>
                <c:pt idx="21">
                  <c:v>84.24</c:v>
                </c:pt>
                <c:pt idx="22">
                  <c:v>83.27</c:v>
                </c:pt>
                <c:pt idx="23">
                  <c:v>83.33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55-482E-AC9C-51F31FCC6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59680"/>
        <c:axId val="762462944"/>
      </c:lineChart>
      <c:catAx>
        <c:axId val="762459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2944"/>
        <c:crosses val="autoZero"/>
        <c:auto val="1"/>
        <c:lblAlgn val="ctr"/>
        <c:lblOffset val="100"/>
        <c:noMultiLvlLbl val="0"/>
      </c:catAx>
      <c:valAx>
        <c:axId val="76246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5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Dir.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'25-05-28'!$G$11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'25-05-28'!$G$12:$G$35</c:f>
              <c:numCache>
                <c:formatCode>0</c:formatCode>
                <c:ptCount val="24"/>
                <c:pt idx="0">
                  <c:v>25.59</c:v>
                </c:pt>
                <c:pt idx="1">
                  <c:v>27.47</c:v>
                </c:pt>
                <c:pt idx="2">
                  <c:v>354.41</c:v>
                </c:pt>
                <c:pt idx="3">
                  <c:v>179.89</c:v>
                </c:pt>
                <c:pt idx="4">
                  <c:v>346.89</c:v>
                </c:pt>
                <c:pt idx="5">
                  <c:v>25.8</c:v>
                </c:pt>
                <c:pt idx="6">
                  <c:v>47.52</c:v>
                </c:pt>
                <c:pt idx="7">
                  <c:v>48.15</c:v>
                </c:pt>
                <c:pt idx="8">
                  <c:v>111.66</c:v>
                </c:pt>
                <c:pt idx="9">
                  <c:v>65.33</c:v>
                </c:pt>
                <c:pt idx="10">
                  <c:v>33.78</c:v>
                </c:pt>
                <c:pt idx="11">
                  <c:v>42.2</c:v>
                </c:pt>
                <c:pt idx="12">
                  <c:v>322.87</c:v>
                </c:pt>
                <c:pt idx="13">
                  <c:v>119.16</c:v>
                </c:pt>
                <c:pt idx="14">
                  <c:v>122.93</c:v>
                </c:pt>
                <c:pt idx="15">
                  <c:v>272.70999999999998</c:v>
                </c:pt>
                <c:pt idx="16">
                  <c:v>266.63</c:v>
                </c:pt>
                <c:pt idx="17">
                  <c:v>220.89</c:v>
                </c:pt>
                <c:pt idx="18">
                  <c:v>197.02</c:v>
                </c:pt>
                <c:pt idx="19">
                  <c:v>235.2</c:v>
                </c:pt>
                <c:pt idx="20">
                  <c:v>220.73</c:v>
                </c:pt>
                <c:pt idx="21">
                  <c:v>212.41</c:v>
                </c:pt>
                <c:pt idx="22">
                  <c:v>254.53</c:v>
                </c:pt>
                <c:pt idx="23">
                  <c:v>218.68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F8-4E57-91AB-C4716016F527}"/>
            </c:ext>
          </c:extLst>
        </c:ser>
        <c:ser>
          <c:idx val="1"/>
          <c:order val="1"/>
          <c:tx>
            <c:strRef>
              <c:f>'25-05-28'!$O$11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'25-05-28'!$O$12:$O$35</c:f>
              <c:numCache>
                <c:formatCode>0</c:formatCode>
                <c:ptCount val="24"/>
                <c:pt idx="0">
                  <c:v>17.59</c:v>
                </c:pt>
                <c:pt idx="1">
                  <c:v>21.47</c:v>
                </c:pt>
                <c:pt idx="2">
                  <c:v>345.41</c:v>
                </c:pt>
                <c:pt idx="3">
                  <c:v>174.89</c:v>
                </c:pt>
                <c:pt idx="4">
                  <c:v>346.89</c:v>
                </c:pt>
                <c:pt idx="5">
                  <c:v>19.8</c:v>
                </c:pt>
                <c:pt idx="6">
                  <c:v>40.520000000000003</c:v>
                </c:pt>
                <c:pt idx="7">
                  <c:v>38.15</c:v>
                </c:pt>
                <c:pt idx="8">
                  <c:v>101.66</c:v>
                </c:pt>
                <c:pt idx="9">
                  <c:v>58.33</c:v>
                </c:pt>
                <c:pt idx="10">
                  <c:v>32.78</c:v>
                </c:pt>
                <c:pt idx="11">
                  <c:v>38.200000000000003</c:v>
                </c:pt>
                <c:pt idx="12">
                  <c:v>314.87</c:v>
                </c:pt>
                <c:pt idx="13">
                  <c:v>114.16</c:v>
                </c:pt>
                <c:pt idx="14">
                  <c:v>122.93</c:v>
                </c:pt>
                <c:pt idx="15">
                  <c:v>271.70999999999998</c:v>
                </c:pt>
                <c:pt idx="16">
                  <c:v>259.63</c:v>
                </c:pt>
                <c:pt idx="17">
                  <c:v>215.89</c:v>
                </c:pt>
                <c:pt idx="18">
                  <c:v>194.02</c:v>
                </c:pt>
                <c:pt idx="19">
                  <c:v>230.2</c:v>
                </c:pt>
                <c:pt idx="20">
                  <c:v>215.73</c:v>
                </c:pt>
                <c:pt idx="21">
                  <c:v>205.41</c:v>
                </c:pt>
                <c:pt idx="22">
                  <c:v>247.53</c:v>
                </c:pt>
                <c:pt idx="23">
                  <c:v>218.68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F8-4E57-91AB-C4716016F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67296"/>
        <c:axId val="762460768"/>
      </c:lineChart>
      <c:catAx>
        <c:axId val="762467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0768"/>
        <c:crosses val="autoZero"/>
        <c:auto val="1"/>
        <c:lblAlgn val="ctr"/>
        <c:lblOffset val="100"/>
        <c:noMultiLvlLbl val="0"/>
      </c:catAx>
      <c:valAx>
        <c:axId val="76246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V.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'25-05-28'!$H$11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'25-05-28'!$H$12:$H$35</c:f>
              <c:numCache>
                <c:formatCode>0</c:formatCode>
                <c:ptCount val="24"/>
                <c:pt idx="0">
                  <c:v>0.06</c:v>
                </c:pt>
                <c:pt idx="1">
                  <c:v>1.65</c:v>
                </c:pt>
                <c:pt idx="2">
                  <c:v>1.1299999999999999</c:v>
                </c:pt>
                <c:pt idx="3">
                  <c:v>1.03</c:v>
                </c:pt>
                <c:pt idx="4">
                  <c:v>0.22</c:v>
                </c:pt>
                <c:pt idx="5">
                  <c:v>0.22</c:v>
                </c:pt>
                <c:pt idx="6">
                  <c:v>1.02</c:v>
                </c:pt>
                <c:pt idx="7">
                  <c:v>0.31</c:v>
                </c:pt>
                <c:pt idx="8">
                  <c:v>1.44</c:v>
                </c:pt>
                <c:pt idx="9">
                  <c:v>1.1100000000000001</c:v>
                </c:pt>
                <c:pt idx="10">
                  <c:v>2.08</c:v>
                </c:pt>
                <c:pt idx="11">
                  <c:v>1.81</c:v>
                </c:pt>
                <c:pt idx="12">
                  <c:v>1.24</c:v>
                </c:pt>
                <c:pt idx="13">
                  <c:v>1.94</c:v>
                </c:pt>
                <c:pt idx="14">
                  <c:v>1.95</c:v>
                </c:pt>
                <c:pt idx="15">
                  <c:v>2.29</c:v>
                </c:pt>
                <c:pt idx="16">
                  <c:v>2.8200000000000003</c:v>
                </c:pt>
                <c:pt idx="17">
                  <c:v>2.4299999999999997</c:v>
                </c:pt>
                <c:pt idx="18">
                  <c:v>1.99</c:v>
                </c:pt>
                <c:pt idx="19">
                  <c:v>1.08</c:v>
                </c:pt>
                <c:pt idx="20">
                  <c:v>0.23</c:v>
                </c:pt>
                <c:pt idx="21">
                  <c:v>0.11</c:v>
                </c:pt>
                <c:pt idx="22">
                  <c:v>1.1599999999999999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73-48E9-9206-A949D4B975E9}"/>
            </c:ext>
          </c:extLst>
        </c:ser>
        <c:ser>
          <c:idx val="1"/>
          <c:order val="1"/>
          <c:tx>
            <c:strRef>
              <c:f>'25-05-28'!$P$11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'25-05-28'!$P$12:$P$35</c:f>
              <c:numCache>
                <c:formatCode>0</c:formatCode>
                <c:ptCount val="24"/>
                <c:pt idx="0">
                  <c:v>0.06</c:v>
                </c:pt>
                <c:pt idx="1">
                  <c:v>0.65</c:v>
                </c:pt>
                <c:pt idx="2">
                  <c:v>0.13</c:v>
                </c:pt>
                <c:pt idx="3">
                  <c:v>0.03</c:v>
                </c:pt>
                <c:pt idx="4">
                  <c:v>0.22</c:v>
                </c:pt>
                <c:pt idx="5">
                  <c:v>0.22</c:v>
                </c:pt>
                <c:pt idx="6">
                  <c:v>0.02</c:v>
                </c:pt>
                <c:pt idx="7">
                  <c:v>0.31</c:v>
                </c:pt>
                <c:pt idx="8">
                  <c:v>0.44</c:v>
                </c:pt>
                <c:pt idx="9">
                  <c:v>1.1100000000000001</c:v>
                </c:pt>
                <c:pt idx="10">
                  <c:v>1.08</c:v>
                </c:pt>
                <c:pt idx="11">
                  <c:v>1.81</c:v>
                </c:pt>
                <c:pt idx="12">
                  <c:v>1.24</c:v>
                </c:pt>
                <c:pt idx="13">
                  <c:v>0.94</c:v>
                </c:pt>
                <c:pt idx="14">
                  <c:v>1.95</c:v>
                </c:pt>
                <c:pt idx="15">
                  <c:v>2.29</c:v>
                </c:pt>
                <c:pt idx="16">
                  <c:v>1.82</c:v>
                </c:pt>
                <c:pt idx="17">
                  <c:v>1.43</c:v>
                </c:pt>
                <c:pt idx="18">
                  <c:v>0.99</c:v>
                </c:pt>
                <c:pt idx="19">
                  <c:v>0.08</c:v>
                </c:pt>
                <c:pt idx="20">
                  <c:v>0.23</c:v>
                </c:pt>
                <c:pt idx="21">
                  <c:v>0.11</c:v>
                </c:pt>
                <c:pt idx="22">
                  <c:v>0.16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73-48E9-9206-A949D4B97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67840"/>
        <c:axId val="762469472"/>
      </c:lineChart>
      <c:catAx>
        <c:axId val="762467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9472"/>
        <c:crosses val="autoZero"/>
        <c:auto val="1"/>
        <c:lblAlgn val="ctr"/>
        <c:lblOffset val="100"/>
        <c:noMultiLvlLbl val="0"/>
      </c:catAx>
      <c:valAx>
        <c:axId val="76246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Uv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'25-05-28'!$J$11</c:f>
              <c:strCache>
                <c:ptCount val="1"/>
                <c:pt idx="0">
                  <c:v>Uv
Index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'25-05-28'!$J$12:$J$35</c:f>
              <c:numCache>
                <c:formatCode>0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9E-BC70-22DD699CEB22}"/>
            </c:ext>
          </c:extLst>
        </c:ser>
        <c:ser>
          <c:idx val="1"/>
          <c:order val="1"/>
          <c:tx>
            <c:strRef>
              <c:f>'25-05-28'!$R$11</c:f>
              <c:strCache>
                <c:ptCount val="1"/>
                <c:pt idx="0">
                  <c:v>Uv.
Index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'25-05-28'!$R$12:$R$35</c:f>
              <c:numCache>
                <c:formatCode>0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AC-459E-BC70-22DD699CE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70560"/>
        <c:axId val="762471648"/>
      </c:lineChart>
      <c:catAx>
        <c:axId val="762470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71648"/>
        <c:crosses val="autoZero"/>
        <c:auto val="1"/>
        <c:lblAlgn val="ctr"/>
        <c:lblOffset val="100"/>
        <c:noMultiLvlLbl val="0"/>
      </c:catAx>
      <c:valAx>
        <c:axId val="76247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7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P. 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'25-05-28'!$F$11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'25-05-28'!$F$12:$F$35</c:f>
              <c:numCache>
                <c:formatCode>0</c:formatCode>
                <c:ptCount val="24"/>
                <c:pt idx="0">
                  <c:v>567.32000000000005</c:v>
                </c:pt>
                <c:pt idx="1">
                  <c:v>567.64</c:v>
                </c:pt>
                <c:pt idx="2">
                  <c:v>566.46</c:v>
                </c:pt>
                <c:pt idx="3">
                  <c:v>567.84</c:v>
                </c:pt>
                <c:pt idx="4">
                  <c:v>567.03</c:v>
                </c:pt>
                <c:pt idx="5">
                  <c:v>567.66999999999996</c:v>
                </c:pt>
                <c:pt idx="6">
                  <c:v>568.17999999999995</c:v>
                </c:pt>
                <c:pt idx="7">
                  <c:v>568.66999999999996</c:v>
                </c:pt>
                <c:pt idx="8">
                  <c:v>568.97</c:v>
                </c:pt>
                <c:pt idx="9">
                  <c:v>570.12</c:v>
                </c:pt>
                <c:pt idx="10">
                  <c:v>568.67999999999995</c:v>
                </c:pt>
                <c:pt idx="11">
                  <c:v>568.63</c:v>
                </c:pt>
                <c:pt idx="12">
                  <c:v>566.57000000000005</c:v>
                </c:pt>
                <c:pt idx="13">
                  <c:v>566.54</c:v>
                </c:pt>
                <c:pt idx="14">
                  <c:v>565.62</c:v>
                </c:pt>
                <c:pt idx="15">
                  <c:v>563.91999999999996</c:v>
                </c:pt>
                <c:pt idx="16">
                  <c:v>564.75</c:v>
                </c:pt>
                <c:pt idx="17">
                  <c:v>565.37</c:v>
                </c:pt>
                <c:pt idx="18">
                  <c:v>566.38</c:v>
                </c:pt>
                <c:pt idx="19">
                  <c:v>566.38</c:v>
                </c:pt>
                <c:pt idx="20">
                  <c:v>567.91</c:v>
                </c:pt>
                <c:pt idx="21">
                  <c:v>568.65</c:v>
                </c:pt>
                <c:pt idx="22">
                  <c:v>568.85</c:v>
                </c:pt>
                <c:pt idx="23">
                  <c:v>568.74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19-469D-AA9A-3212E053CF6F}"/>
            </c:ext>
          </c:extLst>
        </c:ser>
        <c:ser>
          <c:idx val="1"/>
          <c:order val="1"/>
          <c:tx>
            <c:strRef>
              <c:f>'25-05-28'!$N$11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'25-05-28'!$N$12:$N$35</c:f>
              <c:numCache>
                <c:formatCode>0</c:formatCode>
                <c:ptCount val="24"/>
                <c:pt idx="0">
                  <c:v>567.32000000000005</c:v>
                </c:pt>
                <c:pt idx="1">
                  <c:v>566.64</c:v>
                </c:pt>
                <c:pt idx="2">
                  <c:v>566.46</c:v>
                </c:pt>
                <c:pt idx="3">
                  <c:v>566.84</c:v>
                </c:pt>
                <c:pt idx="4">
                  <c:v>567.03</c:v>
                </c:pt>
                <c:pt idx="5">
                  <c:v>567.66999999999996</c:v>
                </c:pt>
                <c:pt idx="6">
                  <c:v>568.17999999999995</c:v>
                </c:pt>
                <c:pt idx="7">
                  <c:v>568.66999999999996</c:v>
                </c:pt>
                <c:pt idx="8">
                  <c:v>568.97</c:v>
                </c:pt>
                <c:pt idx="9">
                  <c:v>569.12</c:v>
                </c:pt>
                <c:pt idx="10">
                  <c:v>568.67999999999995</c:v>
                </c:pt>
                <c:pt idx="11">
                  <c:v>567.63</c:v>
                </c:pt>
                <c:pt idx="12">
                  <c:v>566.57000000000005</c:v>
                </c:pt>
                <c:pt idx="13">
                  <c:v>565.54</c:v>
                </c:pt>
                <c:pt idx="14">
                  <c:v>564.62</c:v>
                </c:pt>
                <c:pt idx="15">
                  <c:v>563.91999999999996</c:v>
                </c:pt>
                <c:pt idx="16">
                  <c:v>563.75</c:v>
                </c:pt>
                <c:pt idx="17">
                  <c:v>564.37</c:v>
                </c:pt>
                <c:pt idx="18">
                  <c:v>565.38</c:v>
                </c:pt>
                <c:pt idx="19">
                  <c:v>566.38</c:v>
                </c:pt>
                <c:pt idx="20">
                  <c:v>566.91</c:v>
                </c:pt>
                <c:pt idx="21">
                  <c:v>567.65</c:v>
                </c:pt>
                <c:pt idx="22">
                  <c:v>567.85</c:v>
                </c:pt>
                <c:pt idx="23">
                  <c:v>567.74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19-469D-AA9A-3212E053C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58048"/>
        <c:axId val="853779168"/>
      </c:lineChart>
      <c:catAx>
        <c:axId val="762458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9168"/>
        <c:crosses val="autoZero"/>
        <c:auto val="1"/>
        <c:lblAlgn val="ctr"/>
        <c:lblOffset val="100"/>
        <c:noMultiLvlLbl val="0"/>
      </c:catAx>
      <c:valAx>
        <c:axId val="85377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5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Precipitación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'25-05-28'!$K$11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'25-05-28'!$K$12:$K$35</c:f>
              <c:numCache>
                <c:formatCode>0</c:formatCode>
                <c:ptCount val="24"/>
                <c:pt idx="0">
                  <c:v>3.2</c:v>
                </c:pt>
                <c:pt idx="1">
                  <c:v>1.8</c:v>
                </c:pt>
                <c:pt idx="2">
                  <c:v>0.60000000000000009</c:v>
                </c:pt>
                <c:pt idx="3">
                  <c:v>1.2000000000000002</c:v>
                </c:pt>
                <c:pt idx="4">
                  <c:v>0.2</c:v>
                </c:pt>
                <c:pt idx="5">
                  <c:v>1.4000000000000001</c:v>
                </c:pt>
                <c:pt idx="6">
                  <c:v>2.2000000000000002</c:v>
                </c:pt>
                <c:pt idx="7">
                  <c:v>1</c:v>
                </c:pt>
                <c:pt idx="8">
                  <c:v>1</c:v>
                </c:pt>
                <c:pt idx="9">
                  <c:v>0.4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D3-4D96-A137-FEF71B45FA17}"/>
            </c:ext>
          </c:extLst>
        </c:ser>
        <c:ser>
          <c:idx val="1"/>
          <c:order val="1"/>
          <c:tx>
            <c:strRef>
              <c:f>'25-05-28'!$S$11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'25-05-28'!$S$12:$S$35</c:f>
              <c:numCache>
                <c:formatCode>0</c:formatCode>
                <c:ptCount val="24"/>
                <c:pt idx="0">
                  <c:v>3.2</c:v>
                </c:pt>
                <c:pt idx="1">
                  <c:v>1.8</c:v>
                </c:pt>
                <c:pt idx="2">
                  <c:v>0.6</c:v>
                </c:pt>
                <c:pt idx="3">
                  <c:v>1.2</c:v>
                </c:pt>
                <c:pt idx="4">
                  <c:v>0.2</c:v>
                </c:pt>
                <c:pt idx="5">
                  <c:v>1.4</c:v>
                </c:pt>
                <c:pt idx="6">
                  <c:v>2.2000000000000002</c:v>
                </c:pt>
                <c:pt idx="7">
                  <c:v>1</c:v>
                </c:pt>
                <c:pt idx="8">
                  <c:v>1</c:v>
                </c:pt>
                <c:pt idx="9">
                  <c:v>0.4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D3-4D96-A137-FEF71B45F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3773184"/>
        <c:axId val="853775360"/>
      </c:lineChart>
      <c:catAx>
        <c:axId val="853773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5360"/>
        <c:crosses val="autoZero"/>
        <c:auto val="1"/>
        <c:lblAlgn val="ctr"/>
        <c:lblOffset val="100"/>
        <c:noMultiLvlLbl val="0"/>
      </c:catAx>
      <c:valAx>
        <c:axId val="85377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Solar</a:t>
            </a:r>
            <a:r>
              <a:rPr lang="es-419" baseline="0"/>
              <a:t> Rad.</a:t>
            </a:r>
            <a:endParaRPr lang="es-419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'25-05-28'!$I$11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'25-05-28'!$I$12:$I$35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45.12</c:v>
                </c:pt>
                <c:pt idx="7">
                  <c:v>87.14</c:v>
                </c:pt>
                <c:pt idx="8">
                  <c:v>89.61</c:v>
                </c:pt>
                <c:pt idx="9">
                  <c:v>304.15999999999997</c:v>
                </c:pt>
                <c:pt idx="10">
                  <c:v>380.75</c:v>
                </c:pt>
                <c:pt idx="11">
                  <c:v>761.16</c:v>
                </c:pt>
                <c:pt idx="12">
                  <c:v>583.25</c:v>
                </c:pt>
                <c:pt idx="13">
                  <c:v>346.37</c:v>
                </c:pt>
                <c:pt idx="14">
                  <c:v>414.61</c:v>
                </c:pt>
                <c:pt idx="15">
                  <c:v>248.09</c:v>
                </c:pt>
                <c:pt idx="16">
                  <c:v>260.57</c:v>
                </c:pt>
                <c:pt idx="17">
                  <c:v>106.33</c:v>
                </c:pt>
                <c:pt idx="18">
                  <c:v>83.18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13-4B79-93ED-11AC3FAAE5DC}"/>
            </c:ext>
          </c:extLst>
        </c:ser>
        <c:ser>
          <c:idx val="1"/>
          <c:order val="1"/>
          <c:tx>
            <c:strRef>
              <c:f>'25-05-28'!$Q$11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'25-05-28'!$Q$12:$Q$35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10.119999999999999</c:v>
                </c:pt>
                <c:pt idx="7">
                  <c:v>67.14</c:v>
                </c:pt>
                <c:pt idx="8">
                  <c:v>82.61</c:v>
                </c:pt>
                <c:pt idx="9">
                  <c:v>251.16</c:v>
                </c:pt>
                <c:pt idx="10">
                  <c:v>336.75</c:v>
                </c:pt>
                <c:pt idx="11">
                  <c:v>691.16</c:v>
                </c:pt>
                <c:pt idx="12">
                  <c:v>545.25</c:v>
                </c:pt>
                <c:pt idx="13">
                  <c:v>262.37</c:v>
                </c:pt>
                <c:pt idx="14">
                  <c:v>376.61</c:v>
                </c:pt>
                <c:pt idx="15">
                  <c:v>216.09</c:v>
                </c:pt>
                <c:pt idx="16">
                  <c:v>183.57</c:v>
                </c:pt>
                <c:pt idx="17">
                  <c:v>73.33</c:v>
                </c:pt>
                <c:pt idx="18">
                  <c:v>2.1800000000000002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13-4B79-93ED-11AC3FAAE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3776992"/>
        <c:axId val="853771008"/>
      </c:lineChart>
      <c:catAx>
        <c:axId val="853776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1008"/>
        <c:crosses val="autoZero"/>
        <c:auto val="1"/>
        <c:lblAlgn val="ctr"/>
        <c:lblOffset val="100"/>
        <c:noMultiLvlLbl val="0"/>
      </c:catAx>
      <c:valAx>
        <c:axId val="85377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image" Target="../media/image1.png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Relationship Id="rId9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12" Type="http://schemas.openxmlformats.org/officeDocument/2006/relationships/image" Target="../media/image4.png"/><Relationship Id="rId2" Type="http://schemas.openxmlformats.org/officeDocument/2006/relationships/chart" Target="../charts/chart17.xml"/><Relationship Id="rId1" Type="http://schemas.openxmlformats.org/officeDocument/2006/relationships/image" Target="../media/image1.png"/><Relationship Id="rId6" Type="http://schemas.openxmlformats.org/officeDocument/2006/relationships/chart" Target="../charts/chart21.xml"/><Relationship Id="rId11" Type="http://schemas.openxmlformats.org/officeDocument/2006/relationships/image" Target="../media/image3.png"/><Relationship Id="rId5" Type="http://schemas.openxmlformats.org/officeDocument/2006/relationships/chart" Target="../charts/chart20.xml"/><Relationship Id="rId10" Type="http://schemas.openxmlformats.org/officeDocument/2006/relationships/image" Target="../media/image2.jpeg"/><Relationship Id="rId4" Type="http://schemas.openxmlformats.org/officeDocument/2006/relationships/chart" Target="../charts/chart19.xml"/><Relationship Id="rId9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13" Type="http://schemas.openxmlformats.org/officeDocument/2006/relationships/image" Target="../media/image4.png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12" Type="http://schemas.openxmlformats.org/officeDocument/2006/relationships/image" Target="../media/image3.png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11" Type="http://schemas.openxmlformats.org/officeDocument/2006/relationships/image" Target="../media/image2.jpeg"/><Relationship Id="rId5" Type="http://schemas.openxmlformats.org/officeDocument/2006/relationships/chart" Target="../charts/chart29.xml"/><Relationship Id="rId10" Type="http://schemas.openxmlformats.org/officeDocument/2006/relationships/image" Target="../media/image6.svg"/><Relationship Id="rId4" Type="http://schemas.openxmlformats.org/officeDocument/2006/relationships/chart" Target="../charts/chart28.xml"/><Relationship Id="rId9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0.xml"/><Relationship Id="rId13" Type="http://schemas.openxmlformats.org/officeDocument/2006/relationships/image" Target="../media/image4.png"/><Relationship Id="rId3" Type="http://schemas.openxmlformats.org/officeDocument/2006/relationships/chart" Target="../charts/chart35.xml"/><Relationship Id="rId7" Type="http://schemas.openxmlformats.org/officeDocument/2006/relationships/chart" Target="../charts/chart39.xml"/><Relationship Id="rId12" Type="http://schemas.openxmlformats.org/officeDocument/2006/relationships/image" Target="../media/image3.png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6" Type="http://schemas.openxmlformats.org/officeDocument/2006/relationships/chart" Target="../charts/chart38.xml"/><Relationship Id="rId11" Type="http://schemas.openxmlformats.org/officeDocument/2006/relationships/image" Target="../media/image2.jpeg"/><Relationship Id="rId5" Type="http://schemas.openxmlformats.org/officeDocument/2006/relationships/chart" Target="../charts/chart37.xml"/><Relationship Id="rId10" Type="http://schemas.openxmlformats.org/officeDocument/2006/relationships/image" Target="../media/image6.svg"/><Relationship Id="rId4" Type="http://schemas.openxmlformats.org/officeDocument/2006/relationships/chart" Target="../charts/chart36.xml"/><Relationship Id="rId9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8.xml"/><Relationship Id="rId13" Type="http://schemas.openxmlformats.org/officeDocument/2006/relationships/image" Target="../media/image4.png"/><Relationship Id="rId3" Type="http://schemas.openxmlformats.org/officeDocument/2006/relationships/chart" Target="../charts/chart43.xml"/><Relationship Id="rId7" Type="http://schemas.openxmlformats.org/officeDocument/2006/relationships/chart" Target="../charts/chart47.xml"/><Relationship Id="rId12" Type="http://schemas.openxmlformats.org/officeDocument/2006/relationships/image" Target="../media/image3.png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6" Type="http://schemas.openxmlformats.org/officeDocument/2006/relationships/chart" Target="../charts/chart46.xml"/><Relationship Id="rId11" Type="http://schemas.openxmlformats.org/officeDocument/2006/relationships/image" Target="../media/image2.jpeg"/><Relationship Id="rId5" Type="http://schemas.openxmlformats.org/officeDocument/2006/relationships/chart" Target="../charts/chart45.xml"/><Relationship Id="rId10" Type="http://schemas.openxmlformats.org/officeDocument/2006/relationships/image" Target="../media/image6.svg"/><Relationship Id="rId4" Type="http://schemas.openxmlformats.org/officeDocument/2006/relationships/chart" Target="../charts/chart44.xm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330389</xdr:colOff>
      <xdr:row>0</xdr:row>
      <xdr:rowOff>44747</xdr:rowOff>
    </xdr:from>
    <xdr:to>
      <xdr:col>2</xdr:col>
      <xdr:colOff>449580</xdr:colOff>
      <xdr:row>3</xdr:row>
      <xdr:rowOff>194795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19C1F4D0-C731-440E-9EE1-FDBC17795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249" y="44747"/>
          <a:ext cx="896431" cy="8358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63500</xdr:colOff>
      <xdr:row>39</xdr:row>
      <xdr:rowOff>112712</xdr:rowOff>
    </xdr:from>
    <xdr:to>
      <xdr:col>9</xdr:col>
      <xdr:colOff>15875</xdr:colOff>
      <xdr:row>53</xdr:row>
      <xdr:rowOff>188912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08750C6-5BD3-4DF5-B223-2516BAF825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111125</xdr:colOff>
      <xdr:row>39</xdr:row>
      <xdr:rowOff>96837</xdr:rowOff>
    </xdr:from>
    <xdr:to>
      <xdr:col>19</xdr:col>
      <xdr:colOff>571500</xdr:colOff>
      <xdr:row>53</xdr:row>
      <xdr:rowOff>173037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C430E2C-EB16-45F5-ACB1-10431098F2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47625</xdr:colOff>
      <xdr:row>54</xdr:row>
      <xdr:rowOff>144462</xdr:rowOff>
    </xdr:from>
    <xdr:to>
      <xdr:col>8</xdr:col>
      <xdr:colOff>555625</xdr:colOff>
      <xdr:row>66</xdr:row>
      <xdr:rowOff>254000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55354B5-D90E-4F0E-B853-F6ECC365B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63500</xdr:colOff>
      <xdr:row>54</xdr:row>
      <xdr:rowOff>144462</xdr:rowOff>
    </xdr:from>
    <xdr:to>
      <xdr:col>19</xdr:col>
      <xdr:colOff>571500</xdr:colOff>
      <xdr:row>66</xdr:row>
      <xdr:rowOff>254000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1EA056A-06F5-47E4-823D-836C28FDFE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63501</xdr:colOff>
      <xdr:row>54</xdr:row>
      <xdr:rowOff>144462</xdr:rowOff>
    </xdr:from>
    <xdr:to>
      <xdr:col>27</xdr:col>
      <xdr:colOff>1238251</xdr:colOff>
      <xdr:row>66</xdr:row>
      <xdr:rowOff>254000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145E8B4-B8AC-4FBC-ADBE-8B0504495C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47625</xdr:colOff>
      <xdr:row>66</xdr:row>
      <xdr:rowOff>350837</xdr:rowOff>
    </xdr:from>
    <xdr:to>
      <xdr:col>9</xdr:col>
      <xdr:colOff>0</xdr:colOff>
      <xdr:row>79</xdr:row>
      <xdr:rowOff>141287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B7FFC3D-56AD-408C-A687-8829DBBD8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63500</xdr:colOff>
      <xdr:row>39</xdr:row>
      <xdr:rowOff>112711</xdr:rowOff>
    </xdr:from>
    <xdr:to>
      <xdr:col>27</xdr:col>
      <xdr:colOff>1238250</xdr:colOff>
      <xdr:row>54</xdr:row>
      <xdr:rowOff>15874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BB70234-38BD-422B-A887-A87834562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103186</xdr:colOff>
      <xdr:row>66</xdr:row>
      <xdr:rowOff>350837</xdr:rowOff>
    </xdr:from>
    <xdr:to>
      <xdr:col>19</xdr:col>
      <xdr:colOff>571499</xdr:colOff>
      <xdr:row>79</xdr:row>
      <xdr:rowOff>174625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19C46B1-C1B2-4170-BAF1-43877B3EAF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330389</xdr:colOff>
      <xdr:row>0</xdr:row>
      <xdr:rowOff>44747</xdr:rowOff>
    </xdr:from>
    <xdr:to>
      <xdr:col>2</xdr:col>
      <xdr:colOff>449580</xdr:colOff>
      <xdr:row>3</xdr:row>
      <xdr:rowOff>194795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AAF05CCC-D6BC-46F5-80CD-FD19E0CA3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249" y="44747"/>
          <a:ext cx="896431" cy="8358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63500</xdr:colOff>
      <xdr:row>39</xdr:row>
      <xdr:rowOff>112712</xdr:rowOff>
    </xdr:from>
    <xdr:to>
      <xdr:col>9</xdr:col>
      <xdr:colOff>15875</xdr:colOff>
      <xdr:row>53</xdr:row>
      <xdr:rowOff>188912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BC8CBA5-F6CF-4A2D-97B9-5974C8A8FE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111125</xdr:colOff>
      <xdr:row>39</xdr:row>
      <xdr:rowOff>96837</xdr:rowOff>
    </xdr:from>
    <xdr:to>
      <xdr:col>19</xdr:col>
      <xdr:colOff>571500</xdr:colOff>
      <xdr:row>53</xdr:row>
      <xdr:rowOff>173037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22BB3BF-F025-424F-BCEF-04CFF5440E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47625</xdr:colOff>
      <xdr:row>54</xdr:row>
      <xdr:rowOff>144462</xdr:rowOff>
    </xdr:from>
    <xdr:to>
      <xdr:col>8</xdr:col>
      <xdr:colOff>555625</xdr:colOff>
      <xdr:row>66</xdr:row>
      <xdr:rowOff>254000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D4D667A-A52E-48E1-AD3F-1549763F25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63500</xdr:colOff>
      <xdr:row>54</xdr:row>
      <xdr:rowOff>144462</xdr:rowOff>
    </xdr:from>
    <xdr:to>
      <xdr:col>19</xdr:col>
      <xdr:colOff>571500</xdr:colOff>
      <xdr:row>66</xdr:row>
      <xdr:rowOff>254000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13D0824-A054-4395-84AC-930A8E7A53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63501</xdr:colOff>
      <xdr:row>54</xdr:row>
      <xdr:rowOff>144462</xdr:rowOff>
    </xdr:from>
    <xdr:to>
      <xdr:col>27</xdr:col>
      <xdr:colOff>1238251</xdr:colOff>
      <xdr:row>66</xdr:row>
      <xdr:rowOff>254000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43B0ECB-966B-4CF3-A7B7-F3FDB9D531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47625</xdr:colOff>
      <xdr:row>66</xdr:row>
      <xdr:rowOff>350837</xdr:rowOff>
    </xdr:from>
    <xdr:to>
      <xdr:col>9</xdr:col>
      <xdr:colOff>0</xdr:colOff>
      <xdr:row>79</xdr:row>
      <xdr:rowOff>141287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FA9FE7C-6080-4C60-AAF1-A7BD8EF908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63500</xdr:colOff>
      <xdr:row>39</xdr:row>
      <xdr:rowOff>112711</xdr:rowOff>
    </xdr:from>
    <xdr:to>
      <xdr:col>27</xdr:col>
      <xdr:colOff>1238250</xdr:colOff>
      <xdr:row>54</xdr:row>
      <xdr:rowOff>15874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DB10B8B-6408-4DA2-8151-6F8713A7DA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103186</xdr:colOff>
      <xdr:row>66</xdr:row>
      <xdr:rowOff>350837</xdr:rowOff>
    </xdr:from>
    <xdr:to>
      <xdr:col>19</xdr:col>
      <xdr:colOff>571499</xdr:colOff>
      <xdr:row>79</xdr:row>
      <xdr:rowOff>174625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427A9141-7F04-4D65-A494-AD034A9EE4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330389</xdr:colOff>
      <xdr:row>0</xdr:row>
      <xdr:rowOff>44747</xdr:rowOff>
    </xdr:from>
    <xdr:to>
      <xdr:col>2</xdr:col>
      <xdr:colOff>452755</xdr:colOff>
      <xdr:row>3</xdr:row>
      <xdr:rowOff>194795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A26B4574-6283-469A-93FD-2451E94EE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249" y="44747"/>
          <a:ext cx="896431" cy="8358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63500</xdr:colOff>
      <xdr:row>39</xdr:row>
      <xdr:rowOff>112712</xdr:rowOff>
    </xdr:from>
    <xdr:to>
      <xdr:col>9</xdr:col>
      <xdr:colOff>15875</xdr:colOff>
      <xdr:row>53</xdr:row>
      <xdr:rowOff>188912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33D038-8938-4738-9827-47CE4B5C56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111125</xdr:colOff>
      <xdr:row>39</xdr:row>
      <xdr:rowOff>96837</xdr:rowOff>
    </xdr:from>
    <xdr:to>
      <xdr:col>19</xdr:col>
      <xdr:colOff>571500</xdr:colOff>
      <xdr:row>53</xdr:row>
      <xdr:rowOff>173037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DE8F815-D432-460D-9840-EFB5F3D170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47625</xdr:colOff>
      <xdr:row>54</xdr:row>
      <xdr:rowOff>144462</xdr:rowOff>
    </xdr:from>
    <xdr:to>
      <xdr:col>8</xdr:col>
      <xdr:colOff>555625</xdr:colOff>
      <xdr:row>66</xdr:row>
      <xdr:rowOff>254000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E29669-B493-4E27-AAF1-6B54E3B5CE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63500</xdr:colOff>
      <xdr:row>54</xdr:row>
      <xdr:rowOff>144462</xdr:rowOff>
    </xdr:from>
    <xdr:to>
      <xdr:col>19</xdr:col>
      <xdr:colOff>571500</xdr:colOff>
      <xdr:row>66</xdr:row>
      <xdr:rowOff>254000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D0D1049-39BF-4E9E-82EC-D408F83123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63501</xdr:colOff>
      <xdr:row>54</xdr:row>
      <xdr:rowOff>144462</xdr:rowOff>
    </xdr:from>
    <xdr:to>
      <xdr:col>27</xdr:col>
      <xdr:colOff>1238251</xdr:colOff>
      <xdr:row>66</xdr:row>
      <xdr:rowOff>254000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1629A76-32BF-4AF8-A78F-26B15A940E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47625</xdr:colOff>
      <xdr:row>66</xdr:row>
      <xdr:rowOff>350837</xdr:rowOff>
    </xdr:from>
    <xdr:to>
      <xdr:col>9</xdr:col>
      <xdr:colOff>0</xdr:colOff>
      <xdr:row>79</xdr:row>
      <xdr:rowOff>141287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3D4F610-3FA9-40A9-87BA-5EC638DC4A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63500</xdr:colOff>
      <xdr:row>39</xdr:row>
      <xdr:rowOff>112711</xdr:rowOff>
    </xdr:from>
    <xdr:to>
      <xdr:col>27</xdr:col>
      <xdr:colOff>1238250</xdr:colOff>
      <xdr:row>54</xdr:row>
      <xdr:rowOff>15874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215C448-54DA-44DF-B912-3E57B3C5AA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103186</xdr:colOff>
      <xdr:row>66</xdr:row>
      <xdr:rowOff>350837</xdr:rowOff>
    </xdr:from>
    <xdr:to>
      <xdr:col>19</xdr:col>
      <xdr:colOff>571499</xdr:colOff>
      <xdr:row>79</xdr:row>
      <xdr:rowOff>174625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86FDFFC-6771-451B-8214-0C239C16A6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9</xdr:col>
      <xdr:colOff>179614</xdr:colOff>
      <xdr:row>5</xdr:row>
      <xdr:rowOff>20411</xdr:rowOff>
    </xdr:from>
    <xdr:to>
      <xdr:col>10</xdr:col>
      <xdr:colOff>449172</xdr:colOff>
      <xdr:row>5</xdr:row>
      <xdr:rowOff>362876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0E78070-ED01-4FEC-8CAA-4521F0BFE611}"/>
            </a:ext>
            <a:ext uri="{147F2762-F138-4A5C-976F-8EAC2B608ADB}">
              <a16:predDERef xmlns:a16="http://schemas.microsoft.com/office/drawing/2014/main" pred="{BA0D37F0-7E82-42CC-A1AE-90363E26F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994" y="1018631"/>
          <a:ext cx="863918" cy="342465"/>
        </a:xfrm>
        <a:prstGeom prst="rect">
          <a:avLst/>
        </a:prstGeom>
      </xdr:spPr>
    </xdr:pic>
    <xdr:clientData/>
  </xdr:twoCellAnchor>
  <xdr:twoCellAnchor editAs="oneCell">
    <xdr:from>
      <xdr:col>9</xdr:col>
      <xdr:colOff>309467</xdr:colOff>
      <xdr:row>6</xdr:row>
      <xdr:rowOff>53340</xdr:rowOff>
    </xdr:from>
    <xdr:to>
      <xdr:col>10</xdr:col>
      <xdr:colOff>346211</xdr:colOff>
      <xdr:row>6</xdr:row>
      <xdr:rowOff>396240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B648484-0A65-4EF4-A215-FE414706B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635847" y="1478280"/>
          <a:ext cx="631104" cy="342900"/>
        </a:xfrm>
        <a:prstGeom prst="rect">
          <a:avLst/>
        </a:prstGeom>
      </xdr:spPr>
    </xdr:pic>
    <xdr:clientData/>
  </xdr:twoCellAnchor>
  <xdr:twoCellAnchor editAs="oneCell">
    <xdr:from>
      <xdr:col>8</xdr:col>
      <xdr:colOff>312420</xdr:colOff>
      <xdr:row>7</xdr:row>
      <xdr:rowOff>70951</xdr:rowOff>
    </xdr:from>
    <xdr:to>
      <xdr:col>10</xdr:col>
      <xdr:colOff>559582</xdr:colOff>
      <xdr:row>7</xdr:row>
      <xdr:rowOff>345271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37641A9-4C45-4D4D-9A19-C4D614A4A2CB}"/>
            </a:ext>
          </a:extLst>
        </xdr:cNvPr>
        <xdr:cNvPicPr/>
      </xdr:nvPicPr>
      <xdr:blipFill>
        <a:blip xmlns:r="http://schemas.openxmlformats.org/officeDocument/2006/relationships" r:embed="rId12">
          <a:lum bright="-4000" contrast="22000"/>
        </a:blip>
        <a:srcRect l="2695" t="17084" r="30188" b="41273"/>
        <a:stretch>
          <a:fillRect/>
        </a:stretch>
      </xdr:blipFill>
      <xdr:spPr>
        <a:xfrm>
          <a:off x="5044440" y="1922611"/>
          <a:ext cx="1435882" cy="274320"/>
        </a:xfrm>
        <a:prstGeom prst="rect">
          <a:avLst/>
        </a:prstGeom>
        <a:noFill/>
        <a:ln>
          <a:noFill/>
          <a:prstDash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39</xdr:row>
      <xdr:rowOff>112712</xdr:rowOff>
    </xdr:from>
    <xdr:to>
      <xdr:col>9</xdr:col>
      <xdr:colOff>15875</xdr:colOff>
      <xdr:row>53</xdr:row>
      <xdr:rowOff>188912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E1BA6D-C6C3-4C67-BC46-7D1E9E4626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111125</xdr:colOff>
      <xdr:row>39</xdr:row>
      <xdr:rowOff>96837</xdr:rowOff>
    </xdr:from>
    <xdr:to>
      <xdr:col>19</xdr:col>
      <xdr:colOff>571500</xdr:colOff>
      <xdr:row>53</xdr:row>
      <xdr:rowOff>173037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6D9AEBF-0A0D-4E69-A3C6-8EC6A5DC2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54</xdr:row>
      <xdr:rowOff>144462</xdr:rowOff>
    </xdr:from>
    <xdr:to>
      <xdr:col>8</xdr:col>
      <xdr:colOff>555625</xdr:colOff>
      <xdr:row>66</xdr:row>
      <xdr:rowOff>254000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67057A1-0D18-424C-838D-9F6D78CED1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63500</xdr:colOff>
      <xdr:row>54</xdr:row>
      <xdr:rowOff>144462</xdr:rowOff>
    </xdr:from>
    <xdr:to>
      <xdr:col>19</xdr:col>
      <xdr:colOff>571500</xdr:colOff>
      <xdr:row>66</xdr:row>
      <xdr:rowOff>254000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E86B679-0771-42B7-A8FA-1648C3A2D9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66</xdr:row>
      <xdr:rowOff>350837</xdr:rowOff>
    </xdr:from>
    <xdr:to>
      <xdr:col>9</xdr:col>
      <xdr:colOff>0</xdr:colOff>
      <xdr:row>79</xdr:row>
      <xdr:rowOff>141287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AD60389-81D3-4561-B03B-9249D60857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63500</xdr:colOff>
      <xdr:row>39</xdr:row>
      <xdr:rowOff>112711</xdr:rowOff>
    </xdr:from>
    <xdr:to>
      <xdr:col>27</xdr:col>
      <xdr:colOff>1238250</xdr:colOff>
      <xdr:row>54</xdr:row>
      <xdr:rowOff>15874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DB74632-D83D-4FF4-82E5-300ED6E71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103186</xdr:colOff>
      <xdr:row>66</xdr:row>
      <xdr:rowOff>350837</xdr:rowOff>
    </xdr:from>
    <xdr:to>
      <xdr:col>19</xdr:col>
      <xdr:colOff>571499</xdr:colOff>
      <xdr:row>79</xdr:row>
      <xdr:rowOff>174625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1B778F8-94B0-4714-9713-C0E174A3C2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92364</xdr:colOff>
      <xdr:row>54</xdr:row>
      <xdr:rowOff>150090</xdr:rowOff>
    </xdr:from>
    <xdr:to>
      <xdr:col>27</xdr:col>
      <xdr:colOff>1189182</xdr:colOff>
      <xdr:row>66</xdr:row>
      <xdr:rowOff>392545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A0BB899-CC82-4DE6-BA4E-B09450124C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149679</xdr:colOff>
      <xdr:row>1</xdr:row>
      <xdr:rowOff>81644</xdr:rowOff>
    </xdr:from>
    <xdr:to>
      <xdr:col>2</xdr:col>
      <xdr:colOff>727166</xdr:colOff>
      <xdr:row>3</xdr:row>
      <xdr:rowOff>23172</xdr:rowOff>
    </xdr:to>
    <xdr:pic>
      <xdr:nvPicPr>
        <xdr:cNvPr id="10" name="Gráfico 3">
          <a:extLst>
            <a:ext uri="{FF2B5EF4-FFF2-40B4-BE49-F238E27FC236}">
              <a16:creationId xmlns:a16="http://schemas.microsoft.com/office/drawing/2014/main" id="{FD37EC6C-D1B6-425C-AB0E-22CDE60D3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72539" y="310244"/>
          <a:ext cx="1362347" cy="307288"/>
        </a:xfrm>
        <a:prstGeom prst="rect">
          <a:avLst/>
        </a:prstGeom>
      </xdr:spPr>
    </xdr:pic>
    <xdr:clientData/>
  </xdr:twoCellAnchor>
  <xdr:twoCellAnchor editAs="oneCell">
    <xdr:from>
      <xdr:col>9</xdr:col>
      <xdr:colOff>179614</xdr:colOff>
      <xdr:row>5</xdr:row>
      <xdr:rowOff>20411</xdr:rowOff>
    </xdr:from>
    <xdr:to>
      <xdr:col>10</xdr:col>
      <xdr:colOff>449172</xdr:colOff>
      <xdr:row>5</xdr:row>
      <xdr:rowOff>362876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B7348B7-872A-40FA-AD80-71D6D627BAB0}"/>
            </a:ext>
            <a:ext uri="{147F2762-F138-4A5C-976F-8EAC2B608ADB}">
              <a16:predDERef xmlns:a16="http://schemas.microsoft.com/office/drawing/2014/main" pred="{BA0D37F0-7E82-42CC-A1AE-90363E26F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994" y="1018631"/>
          <a:ext cx="863918" cy="342465"/>
        </a:xfrm>
        <a:prstGeom prst="rect">
          <a:avLst/>
        </a:prstGeom>
      </xdr:spPr>
    </xdr:pic>
    <xdr:clientData/>
  </xdr:twoCellAnchor>
  <xdr:twoCellAnchor editAs="oneCell">
    <xdr:from>
      <xdr:col>9</xdr:col>
      <xdr:colOff>179614</xdr:colOff>
      <xdr:row>5</xdr:row>
      <xdr:rowOff>20411</xdr:rowOff>
    </xdr:from>
    <xdr:to>
      <xdr:col>10</xdr:col>
      <xdr:colOff>449172</xdr:colOff>
      <xdr:row>5</xdr:row>
      <xdr:rowOff>362876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BC3931E-4B19-444C-BD1B-26AD08AA3368}"/>
            </a:ext>
            <a:ext uri="{147F2762-F138-4A5C-976F-8EAC2B608ADB}">
              <a16:predDERef xmlns:a16="http://schemas.microsoft.com/office/drawing/2014/main" pred="{BA0D37F0-7E82-42CC-A1AE-90363E26F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994" y="1018631"/>
          <a:ext cx="863918" cy="342465"/>
        </a:xfrm>
        <a:prstGeom prst="rect">
          <a:avLst/>
        </a:prstGeom>
      </xdr:spPr>
    </xdr:pic>
    <xdr:clientData/>
  </xdr:twoCellAnchor>
  <xdr:twoCellAnchor editAs="oneCell">
    <xdr:from>
      <xdr:col>9</xdr:col>
      <xdr:colOff>309467</xdr:colOff>
      <xdr:row>6</xdr:row>
      <xdr:rowOff>53340</xdr:rowOff>
    </xdr:from>
    <xdr:to>
      <xdr:col>10</xdr:col>
      <xdr:colOff>346211</xdr:colOff>
      <xdr:row>6</xdr:row>
      <xdr:rowOff>396240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3812A59E-1107-435F-BC72-4CF7F2AA0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635847" y="1478280"/>
          <a:ext cx="631104" cy="342900"/>
        </a:xfrm>
        <a:prstGeom prst="rect">
          <a:avLst/>
        </a:prstGeom>
      </xdr:spPr>
    </xdr:pic>
    <xdr:clientData/>
  </xdr:twoCellAnchor>
  <xdr:twoCellAnchor editAs="oneCell">
    <xdr:from>
      <xdr:col>8</xdr:col>
      <xdr:colOff>312420</xdr:colOff>
      <xdr:row>7</xdr:row>
      <xdr:rowOff>70951</xdr:rowOff>
    </xdr:from>
    <xdr:to>
      <xdr:col>10</xdr:col>
      <xdr:colOff>559582</xdr:colOff>
      <xdr:row>7</xdr:row>
      <xdr:rowOff>345271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39BA4F3-37F3-447A-A2AF-5FAAA489E8E5}"/>
            </a:ext>
          </a:extLst>
        </xdr:cNvPr>
        <xdr:cNvPicPr/>
      </xdr:nvPicPr>
      <xdr:blipFill>
        <a:blip xmlns:r="http://schemas.openxmlformats.org/officeDocument/2006/relationships" r:embed="rId13">
          <a:lum bright="-4000" contrast="22000"/>
        </a:blip>
        <a:srcRect l="2695" t="17084" r="30188" b="41273"/>
        <a:stretch>
          <a:fillRect/>
        </a:stretch>
      </xdr:blipFill>
      <xdr:spPr>
        <a:xfrm>
          <a:off x="5044440" y="1922611"/>
          <a:ext cx="1435882" cy="274320"/>
        </a:xfrm>
        <a:prstGeom prst="rect">
          <a:avLst/>
        </a:prstGeom>
        <a:noFill/>
        <a:ln>
          <a:noFill/>
          <a:prstDash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39</xdr:row>
      <xdr:rowOff>112712</xdr:rowOff>
    </xdr:from>
    <xdr:to>
      <xdr:col>9</xdr:col>
      <xdr:colOff>15875</xdr:colOff>
      <xdr:row>53</xdr:row>
      <xdr:rowOff>188912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3C8D560-5FAD-46B8-992B-5B3A700590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111125</xdr:colOff>
      <xdr:row>39</xdr:row>
      <xdr:rowOff>96837</xdr:rowOff>
    </xdr:from>
    <xdr:to>
      <xdr:col>19</xdr:col>
      <xdr:colOff>571500</xdr:colOff>
      <xdr:row>53</xdr:row>
      <xdr:rowOff>173037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A0BD574-D278-40F4-B874-7171605A67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54</xdr:row>
      <xdr:rowOff>144462</xdr:rowOff>
    </xdr:from>
    <xdr:to>
      <xdr:col>8</xdr:col>
      <xdr:colOff>555625</xdr:colOff>
      <xdr:row>66</xdr:row>
      <xdr:rowOff>254000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E4715A8-4BB4-4FAE-BE68-EE6DE789CA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63500</xdr:colOff>
      <xdr:row>54</xdr:row>
      <xdr:rowOff>144462</xdr:rowOff>
    </xdr:from>
    <xdr:to>
      <xdr:col>19</xdr:col>
      <xdr:colOff>571500</xdr:colOff>
      <xdr:row>66</xdr:row>
      <xdr:rowOff>254000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8B4B86D-7C28-4B98-AFF6-700ACCDC7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66</xdr:row>
      <xdr:rowOff>350837</xdr:rowOff>
    </xdr:from>
    <xdr:to>
      <xdr:col>9</xdr:col>
      <xdr:colOff>0</xdr:colOff>
      <xdr:row>79</xdr:row>
      <xdr:rowOff>141287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2B94443-D575-44DA-87D7-86F5FCC6DA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63500</xdr:colOff>
      <xdr:row>39</xdr:row>
      <xdr:rowOff>112711</xdr:rowOff>
    </xdr:from>
    <xdr:to>
      <xdr:col>27</xdr:col>
      <xdr:colOff>1238250</xdr:colOff>
      <xdr:row>54</xdr:row>
      <xdr:rowOff>15874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26B0496-BAC6-4492-B6BE-32D1A7CBD8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103186</xdr:colOff>
      <xdr:row>66</xdr:row>
      <xdr:rowOff>350837</xdr:rowOff>
    </xdr:from>
    <xdr:to>
      <xdr:col>19</xdr:col>
      <xdr:colOff>571499</xdr:colOff>
      <xdr:row>79</xdr:row>
      <xdr:rowOff>174625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0FC3167-6ACA-4DB4-8293-182E4D5FEF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92364</xdr:colOff>
      <xdr:row>54</xdr:row>
      <xdr:rowOff>150090</xdr:rowOff>
    </xdr:from>
    <xdr:to>
      <xdr:col>27</xdr:col>
      <xdr:colOff>1189182</xdr:colOff>
      <xdr:row>66</xdr:row>
      <xdr:rowOff>392545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0EB0DAC-3F57-4287-A9A3-DD14DBCCFF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149679</xdr:colOff>
      <xdr:row>1</xdr:row>
      <xdr:rowOff>81644</xdr:rowOff>
    </xdr:from>
    <xdr:to>
      <xdr:col>2</xdr:col>
      <xdr:colOff>727166</xdr:colOff>
      <xdr:row>3</xdr:row>
      <xdr:rowOff>23172</xdr:rowOff>
    </xdr:to>
    <xdr:pic>
      <xdr:nvPicPr>
        <xdr:cNvPr id="10" name="Gráfico 3">
          <a:extLst>
            <a:ext uri="{FF2B5EF4-FFF2-40B4-BE49-F238E27FC236}">
              <a16:creationId xmlns:a16="http://schemas.microsoft.com/office/drawing/2014/main" id="{D06D9559-0866-430A-8A60-F69AD8C17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68729" y="310244"/>
          <a:ext cx="1364887" cy="398728"/>
        </a:xfrm>
        <a:prstGeom prst="rect">
          <a:avLst/>
        </a:prstGeom>
      </xdr:spPr>
    </xdr:pic>
    <xdr:clientData/>
  </xdr:twoCellAnchor>
  <xdr:twoCellAnchor editAs="oneCell">
    <xdr:from>
      <xdr:col>9</xdr:col>
      <xdr:colOff>179614</xdr:colOff>
      <xdr:row>5</xdr:row>
      <xdr:rowOff>20411</xdr:rowOff>
    </xdr:from>
    <xdr:to>
      <xdr:col>10</xdr:col>
      <xdr:colOff>449172</xdr:colOff>
      <xdr:row>5</xdr:row>
      <xdr:rowOff>362876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66CEB80-199B-420A-A1BC-0C7AE85BB9AF}"/>
            </a:ext>
            <a:ext uri="{147F2762-F138-4A5C-976F-8EAC2B608ADB}">
              <a16:predDERef xmlns:a16="http://schemas.microsoft.com/office/drawing/2014/main" pred="{BA0D37F0-7E82-42CC-A1AE-90363E26F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994" y="1018631"/>
          <a:ext cx="863918" cy="342465"/>
        </a:xfrm>
        <a:prstGeom prst="rect">
          <a:avLst/>
        </a:prstGeom>
      </xdr:spPr>
    </xdr:pic>
    <xdr:clientData/>
  </xdr:twoCellAnchor>
  <xdr:twoCellAnchor editAs="oneCell">
    <xdr:from>
      <xdr:col>9</xdr:col>
      <xdr:colOff>179614</xdr:colOff>
      <xdr:row>5</xdr:row>
      <xdr:rowOff>20411</xdr:rowOff>
    </xdr:from>
    <xdr:to>
      <xdr:col>10</xdr:col>
      <xdr:colOff>449172</xdr:colOff>
      <xdr:row>5</xdr:row>
      <xdr:rowOff>362876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B6B3337-BF54-461A-8857-EBBB76B0582C}"/>
            </a:ext>
            <a:ext uri="{147F2762-F138-4A5C-976F-8EAC2B608ADB}">
              <a16:predDERef xmlns:a16="http://schemas.microsoft.com/office/drawing/2014/main" pred="{BA0D37F0-7E82-42CC-A1AE-90363E26F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994" y="1018631"/>
          <a:ext cx="863918" cy="342465"/>
        </a:xfrm>
        <a:prstGeom prst="rect">
          <a:avLst/>
        </a:prstGeom>
      </xdr:spPr>
    </xdr:pic>
    <xdr:clientData/>
  </xdr:twoCellAnchor>
  <xdr:twoCellAnchor editAs="oneCell">
    <xdr:from>
      <xdr:col>9</xdr:col>
      <xdr:colOff>309467</xdr:colOff>
      <xdr:row>6</xdr:row>
      <xdr:rowOff>53340</xdr:rowOff>
    </xdr:from>
    <xdr:to>
      <xdr:col>10</xdr:col>
      <xdr:colOff>346211</xdr:colOff>
      <xdr:row>6</xdr:row>
      <xdr:rowOff>396240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5E2383B4-A485-4E40-A79E-53EC6E024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635847" y="1478280"/>
          <a:ext cx="631104" cy="342900"/>
        </a:xfrm>
        <a:prstGeom prst="rect">
          <a:avLst/>
        </a:prstGeom>
      </xdr:spPr>
    </xdr:pic>
    <xdr:clientData/>
  </xdr:twoCellAnchor>
  <xdr:twoCellAnchor editAs="oneCell">
    <xdr:from>
      <xdr:col>8</xdr:col>
      <xdr:colOff>312420</xdr:colOff>
      <xdr:row>7</xdr:row>
      <xdr:rowOff>70951</xdr:rowOff>
    </xdr:from>
    <xdr:to>
      <xdr:col>10</xdr:col>
      <xdr:colOff>559582</xdr:colOff>
      <xdr:row>7</xdr:row>
      <xdr:rowOff>345271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A9C1A2B5-1A5D-4BA9-92F4-34066E0D982C}"/>
            </a:ext>
          </a:extLst>
        </xdr:cNvPr>
        <xdr:cNvPicPr/>
      </xdr:nvPicPr>
      <xdr:blipFill>
        <a:blip xmlns:r="http://schemas.openxmlformats.org/officeDocument/2006/relationships" r:embed="rId13">
          <a:lum bright="-4000" contrast="22000"/>
        </a:blip>
        <a:srcRect l="2695" t="17084" r="30188" b="41273"/>
        <a:stretch>
          <a:fillRect/>
        </a:stretch>
      </xdr:blipFill>
      <xdr:spPr>
        <a:xfrm>
          <a:off x="5044440" y="1922611"/>
          <a:ext cx="1435882" cy="274320"/>
        </a:xfrm>
        <a:prstGeom prst="rect">
          <a:avLst/>
        </a:prstGeom>
        <a:noFill/>
        <a:ln>
          <a:noFill/>
          <a:prstDash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39</xdr:row>
      <xdr:rowOff>112712</xdr:rowOff>
    </xdr:from>
    <xdr:to>
      <xdr:col>9</xdr:col>
      <xdr:colOff>15875</xdr:colOff>
      <xdr:row>53</xdr:row>
      <xdr:rowOff>188912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C05B76-B6FB-4E08-807F-19BFEFFF1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111125</xdr:colOff>
      <xdr:row>39</xdr:row>
      <xdr:rowOff>96837</xdr:rowOff>
    </xdr:from>
    <xdr:to>
      <xdr:col>19</xdr:col>
      <xdr:colOff>571500</xdr:colOff>
      <xdr:row>53</xdr:row>
      <xdr:rowOff>173037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DD134E8-989F-42B1-B6BB-B544427C14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54</xdr:row>
      <xdr:rowOff>144462</xdr:rowOff>
    </xdr:from>
    <xdr:to>
      <xdr:col>8</xdr:col>
      <xdr:colOff>555625</xdr:colOff>
      <xdr:row>66</xdr:row>
      <xdr:rowOff>254000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55E17FD-2E43-4809-9DF7-FD12A0856E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63500</xdr:colOff>
      <xdr:row>54</xdr:row>
      <xdr:rowOff>144462</xdr:rowOff>
    </xdr:from>
    <xdr:to>
      <xdr:col>19</xdr:col>
      <xdr:colOff>571500</xdr:colOff>
      <xdr:row>66</xdr:row>
      <xdr:rowOff>254000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27F04E1-D371-4001-9ACD-93D274F64B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66</xdr:row>
      <xdr:rowOff>350837</xdr:rowOff>
    </xdr:from>
    <xdr:to>
      <xdr:col>9</xdr:col>
      <xdr:colOff>0</xdr:colOff>
      <xdr:row>79</xdr:row>
      <xdr:rowOff>141287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C15BCFA-81E1-44C7-86C1-D08E989134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63500</xdr:colOff>
      <xdr:row>39</xdr:row>
      <xdr:rowOff>112711</xdr:rowOff>
    </xdr:from>
    <xdr:to>
      <xdr:col>27</xdr:col>
      <xdr:colOff>1238250</xdr:colOff>
      <xdr:row>54</xdr:row>
      <xdr:rowOff>15874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7531E25-4B5F-40BE-8900-9DECF695E7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103186</xdr:colOff>
      <xdr:row>66</xdr:row>
      <xdr:rowOff>350837</xdr:rowOff>
    </xdr:from>
    <xdr:to>
      <xdr:col>19</xdr:col>
      <xdr:colOff>571499</xdr:colOff>
      <xdr:row>79</xdr:row>
      <xdr:rowOff>174625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2CA4AD3-9E4E-49A0-985C-DB7419CFA7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92364</xdr:colOff>
      <xdr:row>54</xdr:row>
      <xdr:rowOff>150090</xdr:rowOff>
    </xdr:from>
    <xdr:to>
      <xdr:col>27</xdr:col>
      <xdr:colOff>1189182</xdr:colOff>
      <xdr:row>66</xdr:row>
      <xdr:rowOff>392545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F5A0339-A38A-479B-B200-C37B09A0DA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149679</xdr:colOff>
      <xdr:row>1</xdr:row>
      <xdr:rowOff>81644</xdr:rowOff>
    </xdr:from>
    <xdr:to>
      <xdr:col>2</xdr:col>
      <xdr:colOff>727166</xdr:colOff>
      <xdr:row>3</xdr:row>
      <xdr:rowOff>23172</xdr:rowOff>
    </xdr:to>
    <xdr:pic>
      <xdr:nvPicPr>
        <xdr:cNvPr id="10" name="Gráfico 3">
          <a:extLst>
            <a:ext uri="{FF2B5EF4-FFF2-40B4-BE49-F238E27FC236}">
              <a16:creationId xmlns:a16="http://schemas.microsoft.com/office/drawing/2014/main" id="{AA2FD73A-E913-4374-BF77-7C2A7465A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72539" y="310244"/>
          <a:ext cx="1354727" cy="398728"/>
        </a:xfrm>
        <a:prstGeom prst="rect">
          <a:avLst/>
        </a:prstGeom>
      </xdr:spPr>
    </xdr:pic>
    <xdr:clientData/>
  </xdr:twoCellAnchor>
  <xdr:twoCellAnchor editAs="oneCell">
    <xdr:from>
      <xdr:col>9</xdr:col>
      <xdr:colOff>179614</xdr:colOff>
      <xdr:row>5</xdr:row>
      <xdr:rowOff>20411</xdr:rowOff>
    </xdr:from>
    <xdr:to>
      <xdr:col>10</xdr:col>
      <xdr:colOff>449172</xdr:colOff>
      <xdr:row>5</xdr:row>
      <xdr:rowOff>362876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8C5D30F2-A4BB-45ED-8032-9C61F535F34A}"/>
            </a:ext>
            <a:ext uri="{147F2762-F138-4A5C-976F-8EAC2B608ADB}">
              <a16:predDERef xmlns:a16="http://schemas.microsoft.com/office/drawing/2014/main" pred="{BA0D37F0-7E82-42CC-A1AE-90363E26F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994" y="1018631"/>
          <a:ext cx="863918" cy="342465"/>
        </a:xfrm>
        <a:prstGeom prst="rect">
          <a:avLst/>
        </a:prstGeom>
      </xdr:spPr>
    </xdr:pic>
    <xdr:clientData/>
  </xdr:twoCellAnchor>
  <xdr:twoCellAnchor editAs="oneCell">
    <xdr:from>
      <xdr:col>9</xdr:col>
      <xdr:colOff>309467</xdr:colOff>
      <xdr:row>6</xdr:row>
      <xdr:rowOff>53340</xdr:rowOff>
    </xdr:from>
    <xdr:to>
      <xdr:col>10</xdr:col>
      <xdr:colOff>346211</xdr:colOff>
      <xdr:row>6</xdr:row>
      <xdr:rowOff>396240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4D91EA7-CD41-411C-88FF-87C54638B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635847" y="1478280"/>
          <a:ext cx="631104" cy="342900"/>
        </a:xfrm>
        <a:prstGeom prst="rect">
          <a:avLst/>
        </a:prstGeom>
      </xdr:spPr>
    </xdr:pic>
    <xdr:clientData/>
  </xdr:twoCellAnchor>
  <xdr:twoCellAnchor editAs="oneCell">
    <xdr:from>
      <xdr:col>8</xdr:col>
      <xdr:colOff>312420</xdr:colOff>
      <xdr:row>7</xdr:row>
      <xdr:rowOff>70951</xdr:rowOff>
    </xdr:from>
    <xdr:to>
      <xdr:col>10</xdr:col>
      <xdr:colOff>559582</xdr:colOff>
      <xdr:row>7</xdr:row>
      <xdr:rowOff>345271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969701B6-5168-4C80-911B-A88DBC4C76C2}"/>
            </a:ext>
          </a:extLst>
        </xdr:cNvPr>
        <xdr:cNvPicPr/>
      </xdr:nvPicPr>
      <xdr:blipFill>
        <a:blip xmlns:r="http://schemas.openxmlformats.org/officeDocument/2006/relationships" r:embed="rId13">
          <a:lum bright="-4000" contrast="22000"/>
        </a:blip>
        <a:srcRect l="2695" t="17084" r="30188" b="41273"/>
        <a:stretch>
          <a:fillRect/>
        </a:stretch>
      </xdr:blipFill>
      <xdr:spPr>
        <a:xfrm>
          <a:off x="5044440" y="1922611"/>
          <a:ext cx="1435882" cy="274320"/>
        </a:xfrm>
        <a:prstGeom prst="rect">
          <a:avLst/>
        </a:prstGeom>
        <a:noFill/>
        <a:ln>
          <a:noFill/>
          <a:prstDash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plusglobal-my.sharepoint.com/C/UST/Lab_Ref_Transp/ID0120_BIOT/Area%20Bioensayos/Manuales/PTE,%20PTO,%20PTG_NUEVA%20PLANTILLA%202010/Plantilla_DatosGeomorfologicos%20(3)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erson.bueno\Downloads\FOA802-13%20Formato%20Comprobaci&#243;n%20de%20estaci&#243;n%20meteorol&#243;gica%20V2.xlsx" TargetMode="External"/><Relationship Id="rId1" Type="http://schemas.openxmlformats.org/officeDocument/2006/relationships/externalLinkPath" Target="https://applusglobal-my.sharepoint.com/Users/jerson.bueno/Downloads/FOA802-13%20Formato%20Comprobaci&#243;n%20de%20estaci&#243;n%20meteorol&#243;gica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LAB"/>
      <sheetName val="Punto1"/>
      <sheetName val="U. Biogeografica"/>
    </sheetNames>
    <sheetDataSet>
      <sheetData sheetId="0" refreshError="1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A802-13_BA171114005"/>
    </sheetNames>
    <sheetDataSet>
      <sheetData sheetId="0">
        <row r="11">
          <cell r="D11" t="str">
            <v>Temp. Out</v>
          </cell>
          <cell r="E11" t="str">
            <v>H. Out</v>
          </cell>
          <cell r="F11" t="str">
            <v>P. Bar</v>
          </cell>
          <cell r="G11" t="str">
            <v>Dir.
Viento</v>
          </cell>
          <cell r="H11" t="str">
            <v>V. Viento</v>
          </cell>
          <cell r="I11" t="str">
            <v>Rad
Solar</v>
          </cell>
          <cell r="J11" t="str">
            <v>Uv
Index</v>
          </cell>
          <cell r="K11" t="str">
            <v>Precipitación</v>
          </cell>
          <cell r="L11" t="str">
            <v>Temp. Out R</v>
          </cell>
          <cell r="M11" t="str">
            <v>H. Out</v>
          </cell>
          <cell r="N11" t="str">
            <v>P. Bar</v>
          </cell>
          <cell r="O11" t="str">
            <v>Dir.
Viento</v>
          </cell>
          <cell r="P11" t="str">
            <v>V. Viento</v>
          </cell>
          <cell r="Q11" t="str">
            <v>Rad
Solar</v>
          </cell>
          <cell r="R11" t="str">
            <v>Uv.
Index</v>
          </cell>
          <cell r="S11" t="str">
            <v>Precipitación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808A3-3DF8-4BB8-8193-FE7157FB568A}">
  <dimension ref="B2:E8"/>
  <sheetViews>
    <sheetView workbookViewId="0">
      <selection activeCell="N14" sqref="N14"/>
    </sheetView>
  </sheetViews>
  <sheetFormatPr baseColWidth="10" defaultColWidth="11.42578125" defaultRowHeight="15"/>
  <cols>
    <col min="2" max="2" width="17" bestFit="1" customWidth="1"/>
    <col min="3" max="3" width="16.28515625" bestFit="1" customWidth="1"/>
    <col min="4" max="4" width="14.28515625" bestFit="1" customWidth="1"/>
    <col min="5" max="5" width="16.7109375" bestFit="1" customWidth="1"/>
  </cols>
  <sheetData>
    <row r="2" spans="2:5" ht="15.75" thickBot="1">
      <c r="B2" s="79" t="s">
        <v>0</v>
      </c>
      <c r="C2" s="79" t="s">
        <v>1</v>
      </c>
      <c r="D2" s="79" t="s">
        <v>2</v>
      </c>
      <c r="E2" s="79" t="s">
        <v>3</v>
      </c>
    </row>
    <row r="3" spans="2:5">
      <c r="B3" s="64">
        <v>44986</v>
      </c>
      <c r="C3" s="65">
        <v>44988</v>
      </c>
      <c r="D3" s="66" t="s">
        <v>4</v>
      </c>
      <c r="E3" s="67" t="s">
        <v>5</v>
      </c>
    </row>
    <row r="4" spans="2:5">
      <c r="B4" s="68">
        <v>45170</v>
      </c>
      <c r="C4" s="69">
        <v>45172</v>
      </c>
      <c r="D4" s="70" t="s">
        <v>4</v>
      </c>
      <c r="E4" s="71" t="s">
        <v>5</v>
      </c>
    </row>
    <row r="5" spans="2:5">
      <c r="B5" s="68"/>
      <c r="C5" s="69"/>
      <c r="D5" s="70"/>
      <c r="E5" s="71"/>
    </row>
    <row r="6" spans="2:5">
      <c r="B6" s="72"/>
      <c r="C6" s="73"/>
      <c r="D6" s="1"/>
      <c r="E6" s="74"/>
    </row>
    <row r="7" spans="2:5">
      <c r="B7" s="72"/>
      <c r="C7" s="73"/>
      <c r="D7" s="1"/>
      <c r="E7" s="74"/>
    </row>
    <row r="8" spans="2:5" ht="15.75" thickBot="1">
      <c r="B8" s="75"/>
      <c r="C8" s="76"/>
      <c r="D8" s="77"/>
      <c r="E8" s="78"/>
    </row>
  </sheetData>
  <autoFilter ref="B2:E4" xr:uid="{F6A808A3-3DF8-4BB8-8193-FE7157FB568A}">
    <sortState xmlns:xlrd2="http://schemas.microsoft.com/office/spreadsheetml/2017/richdata2" ref="B3:E8">
      <sortCondition ref="C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1910F-6E96-41BA-B489-F6E8120C161B}">
  <dimension ref="B1:AB68"/>
  <sheetViews>
    <sheetView workbookViewId="0">
      <selection activeCell="F18" sqref="F18"/>
    </sheetView>
  </sheetViews>
  <sheetFormatPr baseColWidth="10" defaultColWidth="11.42578125" defaultRowHeight="15"/>
  <cols>
    <col min="1" max="1" width="0.28515625" customWidth="1"/>
    <col min="2" max="2" width="11.28515625" customWidth="1"/>
    <col min="3" max="3" width="14" customWidth="1"/>
    <col min="4" max="27" width="8.7109375" customWidth="1"/>
    <col min="28" max="28" width="20.85546875" bestFit="1" customWidth="1"/>
  </cols>
  <sheetData>
    <row r="1" spans="2:28" ht="18" customHeight="1">
      <c r="B1" s="106"/>
      <c r="C1" s="188"/>
      <c r="D1" s="191" t="s">
        <v>6</v>
      </c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3"/>
      <c r="AA1" s="2"/>
      <c r="AB1" s="194" t="s">
        <v>7</v>
      </c>
    </row>
    <row r="2" spans="2:28" ht="18" customHeight="1">
      <c r="B2" s="108"/>
      <c r="C2" s="189"/>
      <c r="D2" s="191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3"/>
      <c r="AA2" s="2"/>
      <c r="AB2" s="195"/>
    </row>
    <row r="3" spans="2:28" ht="18" customHeight="1">
      <c r="B3" s="108"/>
      <c r="C3" s="189"/>
      <c r="D3" s="191" t="s">
        <v>8</v>
      </c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3"/>
      <c r="AA3" s="2"/>
      <c r="AB3" s="195"/>
    </row>
    <row r="4" spans="2:28" ht="18" customHeight="1" thickBot="1">
      <c r="B4" s="110"/>
      <c r="C4" s="190"/>
      <c r="D4" s="197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9"/>
      <c r="AA4" s="3"/>
      <c r="AB4" s="196"/>
    </row>
    <row r="5" spans="2:28" ht="15" customHeight="1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2:28" ht="33.75" customHeight="1">
      <c r="B6" s="200" t="s">
        <v>9</v>
      </c>
      <c r="C6" s="200"/>
      <c r="D6" s="201"/>
      <c r="E6" s="201"/>
      <c r="F6" s="201"/>
      <c r="G6" s="201"/>
      <c r="H6" s="201"/>
      <c r="I6" s="201"/>
      <c r="J6" s="201"/>
      <c r="K6" s="5"/>
      <c r="L6" s="202" t="s">
        <v>10</v>
      </c>
      <c r="M6" s="202"/>
      <c r="N6" s="202"/>
      <c r="O6" s="202"/>
      <c r="P6" s="202"/>
      <c r="Q6" s="202"/>
      <c r="R6" s="202"/>
      <c r="S6" s="6"/>
      <c r="T6" s="202" t="s">
        <v>11</v>
      </c>
      <c r="U6" s="202"/>
      <c r="V6" s="202"/>
      <c r="W6" s="202"/>
      <c r="X6" s="202"/>
      <c r="Y6" s="202" t="s">
        <v>12</v>
      </c>
      <c r="Z6" s="202"/>
      <c r="AA6" s="6"/>
      <c r="AB6" s="7" t="s">
        <v>13</v>
      </c>
    </row>
    <row r="7" spans="2:28" ht="33.75" customHeight="1">
      <c r="B7" s="200" t="s">
        <v>14</v>
      </c>
      <c r="C7" s="200"/>
      <c r="D7" s="201"/>
      <c r="E7" s="201"/>
      <c r="F7" s="201"/>
      <c r="G7" s="201"/>
      <c r="H7" s="201"/>
      <c r="I7" s="201"/>
      <c r="J7" s="201"/>
      <c r="K7" s="5"/>
      <c r="L7" s="205" t="s">
        <v>15</v>
      </c>
      <c r="M7" s="205"/>
      <c r="N7" s="205"/>
      <c r="O7" s="205"/>
      <c r="P7" s="205"/>
      <c r="Q7" s="205"/>
      <c r="R7" s="205"/>
      <c r="S7" s="1"/>
      <c r="T7" s="205"/>
      <c r="U7" s="205"/>
      <c r="V7" s="205"/>
      <c r="W7" s="205"/>
      <c r="X7" s="205"/>
      <c r="Y7" s="206"/>
      <c r="Z7" s="206"/>
      <c r="AA7" s="8"/>
      <c r="AB7" s="9"/>
    </row>
    <row r="8" spans="2:28" ht="33.75" customHeight="1">
      <c r="B8" s="200" t="s">
        <v>16</v>
      </c>
      <c r="C8" s="200"/>
      <c r="D8" s="201"/>
      <c r="E8" s="201"/>
      <c r="F8" s="201"/>
      <c r="G8" s="201"/>
      <c r="H8" s="201"/>
      <c r="I8" s="201"/>
      <c r="J8" s="201"/>
      <c r="K8" s="5"/>
      <c r="L8" s="205" t="s">
        <v>17</v>
      </c>
      <c r="M8" s="205"/>
      <c r="N8" s="205"/>
      <c r="O8" s="205"/>
      <c r="P8" s="205"/>
      <c r="Q8" s="205"/>
      <c r="R8" s="205"/>
      <c r="S8" s="1"/>
      <c r="T8" s="207"/>
      <c r="U8" s="207"/>
      <c r="V8" s="207"/>
      <c r="W8" s="207"/>
      <c r="X8" s="207"/>
      <c r="Y8" s="206"/>
      <c r="Z8" s="206"/>
      <c r="AA8" s="8"/>
      <c r="AB8" s="9"/>
    </row>
    <row r="9" spans="2:28" ht="22.5" customHeight="1" thickBot="1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2:28" ht="22.5" customHeight="1" thickBot="1">
      <c r="B10" s="208" t="s">
        <v>18</v>
      </c>
      <c r="C10" s="210" t="s">
        <v>19</v>
      </c>
      <c r="D10" s="212" t="s">
        <v>20</v>
      </c>
      <c r="E10" s="213"/>
      <c r="F10" s="213"/>
      <c r="G10" s="213"/>
      <c r="H10" s="213"/>
      <c r="I10" s="213"/>
      <c r="J10" s="213"/>
      <c r="K10" s="214"/>
      <c r="L10" s="215" t="s">
        <v>21</v>
      </c>
      <c r="M10" s="216"/>
      <c r="N10" s="216"/>
      <c r="O10" s="216"/>
      <c r="P10" s="216"/>
      <c r="Q10" s="216"/>
      <c r="R10" s="216"/>
      <c r="S10" s="217"/>
      <c r="T10" s="218" t="s">
        <v>22</v>
      </c>
      <c r="U10" s="219"/>
      <c r="V10" s="219"/>
      <c r="W10" s="219"/>
      <c r="X10" s="219"/>
      <c r="Y10" s="219"/>
      <c r="Z10" s="219"/>
      <c r="AA10" s="220"/>
      <c r="AB10" s="203" t="s">
        <v>23</v>
      </c>
    </row>
    <row r="11" spans="2:28" ht="48.75" customHeight="1" thickBot="1">
      <c r="B11" s="209"/>
      <c r="C11" s="211"/>
      <c r="D11" s="12" t="s">
        <v>24</v>
      </c>
      <c r="E11" s="13" t="s">
        <v>25</v>
      </c>
      <c r="F11" s="13" t="s">
        <v>26</v>
      </c>
      <c r="G11" s="13" t="s">
        <v>27</v>
      </c>
      <c r="H11" s="13" t="s">
        <v>28</v>
      </c>
      <c r="I11" s="13" t="s">
        <v>29</v>
      </c>
      <c r="J11" s="13" t="s">
        <v>30</v>
      </c>
      <c r="K11" s="14" t="s">
        <v>31</v>
      </c>
      <c r="L11" s="15" t="s">
        <v>32</v>
      </c>
      <c r="M11" s="16" t="s">
        <v>25</v>
      </c>
      <c r="N11" s="16" t="s">
        <v>26</v>
      </c>
      <c r="O11" s="16" t="s">
        <v>27</v>
      </c>
      <c r="P11" s="16" t="s">
        <v>28</v>
      </c>
      <c r="Q11" s="16" t="s">
        <v>29</v>
      </c>
      <c r="R11" s="16" t="s">
        <v>33</v>
      </c>
      <c r="S11" s="17" t="s">
        <v>31</v>
      </c>
      <c r="T11" s="18" t="s">
        <v>34</v>
      </c>
      <c r="U11" s="19" t="s">
        <v>35</v>
      </c>
      <c r="V11" s="19" t="s">
        <v>36</v>
      </c>
      <c r="W11" s="19" t="s">
        <v>37</v>
      </c>
      <c r="X11" s="19" t="s">
        <v>38</v>
      </c>
      <c r="Y11" s="19" t="s">
        <v>39</v>
      </c>
      <c r="Z11" s="19" t="s">
        <v>40</v>
      </c>
      <c r="AA11" s="20" t="s">
        <v>41</v>
      </c>
      <c r="AB11" s="204"/>
    </row>
    <row r="12" spans="2:28" ht="15" customHeight="1">
      <c r="B12" s="21"/>
      <c r="C12" s="22"/>
      <c r="D12" s="23"/>
      <c r="E12" s="24"/>
      <c r="F12" s="24"/>
      <c r="G12" s="24"/>
      <c r="H12" s="24"/>
      <c r="I12" s="24"/>
      <c r="J12" s="24"/>
      <c r="K12" s="25"/>
      <c r="L12" s="23"/>
      <c r="M12" s="24"/>
      <c r="N12" s="24"/>
      <c r="O12" s="24"/>
      <c r="P12" s="24"/>
      <c r="Q12" s="24"/>
      <c r="R12" s="24"/>
      <c r="S12" s="25"/>
      <c r="T12" s="23">
        <f t="shared" ref="T12:Z35" si="0">+ABS(L12-D12)</f>
        <v>0</v>
      </c>
      <c r="U12" s="24">
        <f t="shared" si="0"/>
        <v>0</v>
      </c>
      <c r="V12" s="24">
        <f t="shared" si="0"/>
        <v>0</v>
      </c>
      <c r="W12" s="24">
        <f t="shared" si="0"/>
        <v>0</v>
      </c>
      <c r="X12" s="24">
        <f t="shared" si="0"/>
        <v>0</v>
      </c>
      <c r="Y12" s="24">
        <f t="shared" si="0"/>
        <v>0</v>
      </c>
      <c r="Z12" s="24">
        <f t="shared" si="0"/>
        <v>0</v>
      </c>
      <c r="AA12" s="26" t="e">
        <f>1-ABS(S12/K12)</f>
        <v>#DIV/0!</v>
      </c>
      <c r="AB12" s="27"/>
    </row>
    <row r="13" spans="2:28" ht="15" customHeight="1">
      <c r="B13" s="21"/>
      <c r="C13" s="22"/>
      <c r="D13" s="28"/>
      <c r="E13" s="29"/>
      <c r="F13" s="29"/>
      <c r="G13" s="29"/>
      <c r="H13" s="29"/>
      <c r="I13" s="29"/>
      <c r="J13" s="29"/>
      <c r="K13" s="30"/>
      <c r="L13" s="28"/>
      <c r="M13" s="29"/>
      <c r="N13" s="29"/>
      <c r="O13" s="29"/>
      <c r="P13" s="29"/>
      <c r="Q13" s="29"/>
      <c r="R13" s="29"/>
      <c r="S13" s="30"/>
      <c r="T13" s="28">
        <f t="shared" si="0"/>
        <v>0</v>
      </c>
      <c r="U13" s="29">
        <f t="shared" si="0"/>
        <v>0</v>
      </c>
      <c r="V13" s="29">
        <f t="shared" si="0"/>
        <v>0</v>
      </c>
      <c r="W13" s="29">
        <f t="shared" si="0"/>
        <v>0</v>
      </c>
      <c r="X13" s="29">
        <f t="shared" si="0"/>
        <v>0</v>
      </c>
      <c r="Y13" s="29">
        <f t="shared" si="0"/>
        <v>0</v>
      </c>
      <c r="Z13" s="29">
        <f t="shared" si="0"/>
        <v>0</v>
      </c>
      <c r="AA13" s="31" t="e">
        <f t="shared" ref="AA13:AA35" si="1">1-ABS(S13/K13)</f>
        <v>#DIV/0!</v>
      </c>
      <c r="AB13" s="32"/>
    </row>
    <row r="14" spans="2:28" ht="15" customHeight="1">
      <c r="B14" s="21"/>
      <c r="C14" s="22"/>
      <c r="D14" s="28"/>
      <c r="E14" s="29"/>
      <c r="F14" s="29"/>
      <c r="G14" s="29"/>
      <c r="H14" s="29"/>
      <c r="I14" s="29"/>
      <c r="J14" s="29"/>
      <c r="K14" s="30"/>
      <c r="L14" s="28"/>
      <c r="M14" s="29"/>
      <c r="N14" s="29"/>
      <c r="O14" s="29"/>
      <c r="P14" s="29"/>
      <c r="Q14" s="29"/>
      <c r="R14" s="29"/>
      <c r="S14" s="30"/>
      <c r="T14" s="28">
        <f t="shared" si="0"/>
        <v>0</v>
      </c>
      <c r="U14" s="29">
        <f t="shared" si="0"/>
        <v>0</v>
      </c>
      <c r="V14" s="29">
        <f t="shared" si="0"/>
        <v>0</v>
      </c>
      <c r="W14" s="29">
        <f t="shared" si="0"/>
        <v>0</v>
      </c>
      <c r="X14" s="29">
        <f t="shared" si="0"/>
        <v>0</v>
      </c>
      <c r="Y14" s="29">
        <f t="shared" si="0"/>
        <v>0</v>
      </c>
      <c r="Z14" s="29">
        <f t="shared" si="0"/>
        <v>0</v>
      </c>
      <c r="AA14" s="31" t="e">
        <f t="shared" si="1"/>
        <v>#DIV/0!</v>
      </c>
      <c r="AB14" s="32"/>
    </row>
    <row r="15" spans="2:28" ht="15" customHeight="1">
      <c r="B15" s="21"/>
      <c r="C15" s="22"/>
      <c r="D15" s="28"/>
      <c r="E15" s="29"/>
      <c r="F15" s="29"/>
      <c r="G15" s="29"/>
      <c r="H15" s="29"/>
      <c r="I15" s="29"/>
      <c r="J15" s="29"/>
      <c r="K15" s="30"/>
      <c r="L15" s="28"/>
      <c r="M15" s="29"/>
      <c r="N15" s="29"/>
      <c r="O15" s="29"/>
      <c r="P15" s="29"/>
      <c r="Q15" s="29"/>
      <c r="R15" s="29"/>
      <c r="S15" s="30"/>
      <c r="T15" s="28">
        <f t="shared" si="0"/>
        <v>0</v>
      </c>
      <c r="U15" s="29">
        <f t="shared" si="0"/>
        <v>0</v>
      </c>
      <c r="V15" s="29">
        <f t="shared" si="0"/>
        <v>0</v>
      </c>
      <c r="W15" s="29">
        <f t="shared" si="0"/>
        <v>0</v>
      </c>
      <c r="X15" s="29">
        <f t="shared" si="0"/>
        <v>0</v>
      </c>
      <c r="Y15" s="29">
        <f t="shared" si="0"/>
        <v>0</v>
      </c>
      <c r="Z15" s="29">
        <f t="shared" si="0"/>
        <v>0</v>
      </c>
      <c r="AA15" s="31" t="e">
        <f t="shared" si="1"/>
        <v>#DIV/0!</v>
      </c>
      <c r="AB15" s="32"/>
    </row>
    <row r="16" spans="2:28" ht="15" customHeight="1">
      <c r="B16" s="21"/>
      <c r="C16" s="22"/>
      <c r="D16" s="28"/>
      <c r="E16" s="29"/>
      <c r="F16" s="29"/>
      <c r="G16" s="29"/>
      <c r="H16" s="29"/>
      <c r="I16" s="29"/>
      <c r="J16" s="29"/>
      <c r="K16" s="30"/>
      <c r="L16" s="28"/>
      <c r="M16" s="29"/>
      <c r="N16" s="29"/>
      <c r="O16" s="29"/>
      <c r="P16" s="29"/>
      <c r="Q16" s="29"/>
      <c r="R16" s="29"/>
      <c r="S16" s="30"/>
      <c r="T16" s="28">
        <f t="shared" si="0"/>
        <v>0</v>
      </c>
      <c r="U16" s="29">
        <f t="shared" si="0"/>
        <v>0</v>
      </c>
      <c r="V16" s="29">
        <f t="shared" si="0"/>
        <v>0</v>
      </c>
      <c r="W16" s="29">
        <f t="shared" si="0"/>
        <v>0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31" t="e">
        <f t="shared" si="1"/>
        <v>#DIV/0!</v>
      </c>
      <c r="AB16" s="32"/>
    </row>
    <row r="17" spans="2:28" ht="15" customHeight="1">
      <c r="B17" s="21"/>
      <c r="C17" s="22"/>
      <c r="D17" s="28"/>
      <c r="E17" s="29"/>
      <c r="F17" s="29"/>
      <c r="G17" s="29"/>
      <c r="H17" s="29"/>
      <c r="I17" s="29"/>
      <c r="J17" s="29"/>
      <c r="K17" s="30"/>
      <c r="L17" s="28"/>
      <c r="M17" s="29"/>
      <c r="N17" s="29"/>
      <c r="O17" s="29"/>
      <c r="P17" s="29"/>
      <c r="Q17" s="29"/>
      <c r="R17" s="29"/>
      <c r="S17" s="30"/>
      <c r="T17" s="28">
        <f t="shared" si="0"/>
        <v>0</v>
      </c>
      <c r="U17" s="29">
        <f t="shared" si="0"/>
        <v>0</v>
      </c>
      <c r="V17" s="29">
        <f t="shared" si="0"/>
        <v>0</v>
      </c>
      <c r="W17" s="29">
        <f t="shared" si="0"/>
        <v>0</v>
      </c>
      <c r="X17" s="29">
        <f t="shared" si="0"/>
        <v>0</v>
      </c>
      <c r="Y17" s="29">
        <f t="shared" si="0"/>
        <v>0</v>
      </c>
      <c r="Z17" s="29">
        <f t="shared" si="0"/>
        <v>0</v>
      </c>
      <c r="AA17" s="31" t="e">
        <f t="shared" si="1"/>
        <v>#DIV/0!</v>
      </c>
      <c r="AB17" s="32"/>
    </row>
    <row r="18" spans="2:28" ht="15" customHeight="1">
      <c r="B18" s="21"/>
      <c r="C18" s="22"/>
      <c r="D18" s="28"/>
      <c r="E18" s="29"/>
      <c r="F18" s="29"/>
      <c r="G18" s="29"/>
      <c r="H18" s="29"/>
      <c r="I18" s="29"/>
      <c r="J18" s="29"/>
      <c r="K18" s="30"/>
      <c r="L18" s="28"/>
      <c r="M18" s="29"/>
      <c r="N18" s="29"/>
      <c r="O18" s="29"/>
      <c r="P18" s="29"/>
      <c r="Q18" s="29"/>
      <c r="R18" s="29"/>
      <c r="S18" s="30"/>
      <c r="T18" s="28">
        <f t="shared" si="0"/>
        <v>0</v>
      </c>
      <c r="U18" s="29">
        <f t="shared" si="0"/>
        <v>0</v>
      </c>
      <c r="V18" s="29">
        <f t="shared" si="0"/>
        <v>0</v>
      </c>
      <c r="W18" s="29">
        <f t="shared" si="0"/>
        <v>0</v>
      </c>
      <c r="X18" s="29">
        <f t="shared" si="0"/>
        <v>0</v>
      </c>
      <c r="Y18" s="29">
        <f t="shared" si="0"/>
        <v>0</v>
      </c>
      <c r="Z18" s="29">
        <f t="shared" si="0"/>
        <v>0</v>
      </c>
      <c r="AA18" s="31" t="e">
        <f t="shared" si="1"/>
        <v>#DIV/0!</v>
      </c>
      <c r="AB18" s="32"/>
    </row>
    <row r="19" spans="2:28" ht="15" customHeight="1">
      <c r="B19" s="21"/>
      <c r="C19" s="22"/>
      <c r="D19" s="28"/>
      <c r="E19" s="29"/>
      <c r="F19" s="29"/>
      <c r="G19" s="29"/>
      <c r="H19" s="29"/>
      <c r="I19" s="29"/>
      <c r="J19" s="29"/>
      <c r="K19" s="30"/>
      <c r="L19" s="28"/>
      <c r="M19" s="29"/>
      <c r="N19" s="29"/>
      <c r="O19" s="29"/>
      <c r="P19" s="29"/>
      <c r="Q19" s="29"/>
      <c r="R19" s="29"/>
      <c r="S19" s="30"/>
      <c r="T19" s="28">
        <f t="shared" si="0"/>
        <v>0</v>
      </c>
      <c r="U19" s="29">
        <f t="shared" si="0"/>
        <v>0</v>
      </c>
      <c r="V19" s="29">
        <f t="shared" si="0"/>
        <v>0</v>
      </c>
      <c r="W19" s="29">
        <f t="shared" si="0"/>
        <v>0</v>
      </c>
      <c r="X19" s="29">
        <f t="shared" si="0"/>
        <v>0</v>
      </c>
      <c r="Y19" s="29">
        <f t="shared" si="0"/>
        <v>0</v>
      </c>
      <c r="Z19" s="29">
        <f t="shared" si="0"/>
        <v>0</v>
      </c>
      <c r="AA19" s="31" t="e">
        <f t="shared" si="1"/>
        <v>#DIV/0!</v>
      </c>
      <c r="AB19" s="32"/>
    </row>
    <row r="20" spans="2:28" ht="15" customHeight="1">
      <c r="B20" s="21"/>
      <c r="C20" s="22"/>
      <c r="D20" s="28"/>
      <c r="E20" s="29"/>
      <c r="F20" s="29"/>
      <c r="G20" s="29"/>
      <c r="H20" s="29"/>
      <c r="I20" s="29"/>
      <c r="J20" s="29"/>
      <c r="K20" s="30"/>
      <c r="L20" s="28"/>
      <c r="M20" s="29"/>
      <c r="N20" s="29"/>
      <c r="O20" s="29"/>
      <c r="P20" s="29"/>
      <c r="Q20" s="29"/>
      <c r="R20" s="29"/>
      <c r="S20" s="30"/>
      <c r="T20" s="28">
        <f t="shared" si="0"/>
        <v>0</v>
      </c>
      <c r="U20" s="29">
        <f t="shared" si="0"/>
        <v>0</v>
      </c>
      <c r="V20" s="29">
        <f t="shared" si="0"/>
        <v>0</v>
      </c>
      <c r="W20" s="29">
        <f t="shared" si="0"/>
        <v>0</v>
      </c>
      <c r="X20" s="29">
        <f t="shared" si="0"/>
        <v>0</v>
      </c>
      <c r="Y20" s="29">
        <f t="shared" si="0"/>
        <v>0</v>
      </c>
      <c r="Z20" s="29">
        <f t="shared" si="0"/>
        <v>0</v>
      </c>
      <c r="AA20" s="31" t="e">
        <f t="shared" si="1"/>
        <v>#DIV/0!</v>
      </c>
      <c r="AB20" s="33"/>
    </row>
    <row r="21" spans="2:28" ht="15" customHeight="1">
      <c r="B21" s="21"/>
      <c r="C21" s="22"/>
      <c r="D21" s="28"/>
      <c r="E21" s="29"/>
      <c r="F21" s="29"/>
      <c r="G21" s="29"/>
      <c r="H21" s="29"/>
      <c r="I21" s="29"/>
      <c r="J21" s="29"/>
      <c r="K21" s="30"/>
      <c r="L21" s="28"/>
      <c r="M21" s="29"/>
      <c r="N21" s="29"/>
      <c r="O21" s="29"/>
      <c r="P21" s="29"/>
      <c r="Q21" s="29"/>
      <c r="R21" s="29"/>
      <c r="S21" s="30"/>
      <c r="T21" s="28">
        <f t="shared" si="0"/>
        <v>0</v>
      </c>
      <c r="U21" s="29">
        <f t="shared" si="0"/>
        <v>0</v>
      </c>
      <c r="V21" s="29">
        <f t="shared" si="0"/>
        <v>0</v>
      </c>
      <c r="W21" s="29">
        <f t="shared" si="0"/>
        <v>0</v>
      </c>
      <c r="X21" s="29">
        <f t="shared" si="0"/>
        <v>0</v>
      </c>
      <c r="Y21" s="29">
        <f t="shared" si="0"/>
        <v>0</v>
      </c>
      <c r="Z21" s="29">
        <f t="shared" si="0"/>
        <v>0</v>
      </c>
      <c r="AA21" s="31" t="e">
        <f t="shared" si="1"/>
        <v>#DIV/0!</v>
      </c>
      <c r="AB21" s="33"/>
    </row>
    <row r="22" spans="2:28" ht="15" customHeight="1">
      <c r="B22" s="21"/>
      <c r="C22" s="22"/>
      <c r="D22" s="28"/>
      <c r="E22" s="29"/>
      <c r="F22" s="29"/>
      <c r="G22" s="29"/>
      <c r="H22" s="29"/>
      <c r="I22" s="29"/>
      <c r="J22" s="29"/>
      <c r="K22" s="30"/>
      <c r="L22" s="28"/>
      <c r="M22" s="29"/>
      <c r="N22" s="29"/>
      <c r="O22" s="29"/>
      <c r="P22" s="29"/>
      <c r="Q22" s="29"/>
      <c r="R22" s="29"/>
      <c r="S22" s="30"/>
      <c r="T22" s="28">
        <f t="shared" si="0"/>
        <v>0</v>
      </c>
      <c r="U22" s="29">
        <f t="shared" si="0"/>
        <v>0</v>
      </c>
      <c r="V22" s="29">
        <f t="shared" si="0"/>
        <v>0</v>
      </c>
      <c r="W22" s="29">
        <f t="shared" si="0"/>
        <v>0</v>
      </c>
      <c r="X22" s="29">
        <f t="shared" si="0"/>
        <v>0</v>
      </c>
      <c r="Y22" s="29">
        <f t="shared" si="0"/>
        <v>0</v>
      </c>
      <c r="Z22" s="29">
        <f t="shared" si="0"/>
        <v>0</v>
      </c>
      <c r="AA22" s="31" t="e">
        <f t="shared" si="1"/>
        <v>#DIV/0!</v>
      </c>
      <c r="AB22" s="33"/>
    </row>
    <row r="23" spans="2:28" ht="15" customHeight="1">
      <c r="B23" s="21"/>
      <c r="C23" s="22"/>
      <c r="D23" s="28"/>
      <c r="E23" s="29"/>
      <c r="F23" s="29"/>
      <c r="G23" s="29"/>
      <c r="H23" s="29"/>
      <c r="I23" s="29"/>
      <c r="J23" s="29"/>
      <c r="K23" s="30"/>
      <c r="L23" s="28"/>
      <c r="M23" s="29"/>
      <c r="N23" s="29"/>
      <c r="O23" s="29"/>
      <c r="P23" s="29"/>
      <c r="Q23" s="29"/>
      <c r="R23" s="29"/>
      <c r="S23" s="30"/>
      <c r="T23" s="28">
        <f t="shared" si="0"/>
        <v>0</v>
      </c>
      <c r="U23" s="29">
        <f t="shared" si="0"/>
        <v>0</v>
      </c>
      <c r="V23" s="29">
        <f t="shared" si="0"/>
        <v>0</v>
      </c>
      <c r="W23" s="29">
        <f t="shared" si="0"/>
        <v>0</v>
      </c>
      <c r="X23" s="29">
        <f t="shared" si="0"/>
        <v>0</v>
      </c>
      <c r="Y23" s="29">
        <f t="shared" si="0"/>
        <v>0</v>
      </c>
      <c r="Z23" s="29">
        <f t="shared" si="0"/>
        <v>0</v>
      </c>
      <c r="AA23" s="31" t="e">
        <f t="shared" si="1"/>
        <v>#DIV/0!</v>
      </c>
      <c r="AB23" s="33"/>
    </row>
    <row r="24" spans="2:28" ht="15" customHeight="1">
      <c r="B24" s="21"/>
      <c r="C24" s="22"/>
      <c r="D24" s="28"/>
      <c r="E24" s="29"/>
      <c r="F24" s="29"/>
      <c r="G24" s="29"/>
      <c r="H24" s="29"/>
      <c r="I24" s="29"/>
      <c r="J24" s="29"/>
      <c r="K24" s="30"/>
      <c r="L24" s="28"/>
      <c r="M24" s="29"/>
      <c r="N24" s="29"/>
      <c r="O24" s="29"/>
      <c r="P24" s="29"/>
      <c r="Q24" s="29"/>
      <c r="R24" s="29"/>
      <c r="S24" s="30"/>
      <c r="T24" s="28">
        <f t="shared" si="0"/>
        <v>0</v>
      </c>
      <c r="U24" s="29">
        <f t="shared" si="0"/>
        <v>0</v>
      </c>
      <c r="V24" s="29">
        <f t="shared" si="0"/>
        <v>0</v>
      </c>
      <c r="W24" s="29">
        <f t="shared" si="0"/>
        <v>0</v>
      </c>
      <c r="X24" s="29">
        <f t="shared" si="0"/>
        <v>0</v>
      </c>
      <c r="Y24" s="29">
        <f t="shared" si="0"/>
        <v>0</v>
      </c>
      <c r="Z24" s="29">
        <f t="shared" si="0"/>
        <v>0</v>
      </c>
      <c r="AA24" s="31" t="e">
        <f t="shared" si="1"/>
        <v>#DIV/0!</v>
      </c>
      <c r="AB24" s="33"/>
    </row>
    <row r="25" spans="2:28" ht="15" customHeight="1">
      <c r="B25" s="21"/>
      <c r="C25" s="22"/>
      <c r="D25" s="28"/>
      <c r="E25" s="29"/>
      <c r="F25" s="29"/>
      <c r="G25" s="29"/>
      <c r="H25" s="29"/>
      <c r="I25" s="29"/>
      <c r="J25" s="29"/>
      <c r="K25" s="30"/>
      <c r="L25" s="28"/>
      <c r="M25" s="29"/>
      <c r="N25" s="29"/>
      <c r="O25" s="29"/>
      <c r="P25" s="29"/>
      <c r="Q25" s="29"/>
      <c r="R25" s="29"/>
      <c r="S25" s="30"/>
      <c r="T25" s="28">
        <f t="shared" si="0"/>
        <v>0</v>
      </c>
      <c r="U25" s="29">
        <f t="shared" si="0"/>
        <v>0</v>
      </c>
      <c r="V25" s="29">
        <f t="shared" si="0"/>
        <v>0</v>
      </c>
      <c r="W25" s="29">
        <f t="shared" si="0"/>
        <v>0</v>
      </c>
      <c r="X25" s="29">
        <f t="shared" si="0"/>
        <v>0</v>
      </c>
      <c r="Y25" s="29">
        <f t="shared" si="0"/>
        <v>0</v>
      </c>
      <c r="Z25" s="29">
        <f t="shared" si="0"/>
        <v>0</v>
      </c>
      <c r="AA25" s="31" t="e">
        <f t="shared" si="1"/>
        <v>#DIV/0!</v>
      </c>
      <c r="AB25" s="33"/>
    </row>
    <row r="26" spans="2:28" ht="15" customHeight="1">
      <c r="B26" s="21"/>
      <c r="C26" s="22"/>
      <c r="D26" s="28"/>
      <c r="E26" s="29"/>
      <c r="F26" s="29"/>
      <c r="G26" s="29"/>
      <c r="H26" s="29"/>
      <c r="I26" s="29"/>
      <c r="J26" s="29"/>
      <c r="K26" s="30"/>
      <c r="L26" s="28"/>
      <c r="M26" s="29"/>
      <c r="N26" s="29"/>
      <c r="O26" s="29"/>
      <c r="P26" s="29"/>
      <c r="Q26" s="29"/>
      <c r="R26" s="29"/>
      <c r="S26" s="30"/>
      <c r="T26" s="28">
        <f t="shared" si="0"/>
        <v>0</v>
      </c>
      <c r="U26" s="29">
        <f t="shared" si="0"/>
        <v>0</v>
      </c>
      <c r="V26" s="29">
        <f t="shared" si="0"/>
        <v>0</v>
      </c>
      <c r="W26" s="29">
        <f t="shared" si="0"/>
        <v>0</v>
      </c>
      <c r="X26" s="29">
        <f t="shared" si="0"/>
        <v>0</v>
      </c>
      <c r="Y26" s="29">
        <f t="shared" si="0"/>
        <v>0</v>
      </c>
      <c r="Z26" s="29">
        <f t="shared" si="0"/>
        <v>0</v>
      </c>
      <c r="AA26" s="31" t="e">
        <f t="shared" si="1"/>
        <v>#DIV/0!</v>
      </c>
      <c r="AB26" s="33"/>
    </row>
    <row r="27" spans="2:28" ht="15" customHeight="1">
      <c r="B27" s="21"/>
      <c r="C27" s="22"/>
      <c r="D27" s="28"/>
      <c r="E27" s="29"/>
      <c r="F27" s="29"/>
      <c r="G27" s="29"/>
      <c r="H27" s="29"/>
      <c r="I27" s="29"/>
      <c r="J27" s="29"/>
      <c r="K27" s="30"/>
      <c r="L27" s="28"/>
      <c r="M27" s="29"/>
      <c r="N27" s="29"/>
      <c r="O27" s="29"/>
      <c r="P27" s="29"/>
      <c r="Q27" s="29"/>
      <c r="R27" s="29"/>
      <c r="S27" s="30"/>
      <c r="T27" s="28">
        <f t="shared" si="0"/>
        <v>0</v>
      </c>
      <c r="U27" s="29">
        <f t="shared" si="0"/>
        <v>0</v>
      </c>
      <c r="V27" s="29">
        <f t="shared" si="0"/>
        <v>0</v>
      </c>
      <c r="W27" s="29">
        <f t="shared" si="0"/>
        <v>0</v>
      </c>
      <c r="X27" s="29">
        <f t="shared" si="0"/>
        <v>0</v>
      </c>
      <c r="Y27" s="29">
        <f t="shared" si="0"/>
        <v>0</v>
      </c>
      <c r="Z27" s="29">
        <f t="shared" si="0"/>
        <v>0</v>
      </c>
      <c r="AA27" s="31" t="e">
        <f t="shared" si="1"/>
        <v>#DIV/0!</v>
      </c>
      <c r="AB27" s="33"/>
    </row>
    <row r="28" spans="2:28" ht="15" customHeight="1">
      <c r="B28" s="21"/>
      <c r="C28" s="22"/>
      <c r="D28" s="28"/>
      <c r="E28" s="29"/>
      <c r="F28" s="29"/>
      <c r="G28" s="29"/>
      <c r="H28" s="29"/>
      <c r="I28" s="29"/>
      <c r="J28" s="29"/>
      <c r="K28" s="30"/>
      <c r="L28" s="28"/>
      <c r="M28" s="29"/>
      <c r="N28" s="29"/>
      <c r="O28" s="29"/>
      <c r="P28" s="29"/>
      <c r="Q28" s="29"/>
      <c r="R28" s="29"/>
      <c r="S28" s="30"/>
      <c r="T28" s="28">
        <f t="shared" si="0"/>
        <v>0</v>
      </c>
      <c r="U28" s="29">
        <f t="shared" si="0"/>
        <v>0</v>
      </c>
      <c r="V28" s="29">
        <f t="shared" si="0"/>
        <v>0</v>
      </c>
      <c r="W28" s="29">
        <f t="shared" si="0"/>
        <v>0</v>
      </c>
      <c r="X28" s="29">
        <f t="shared" si="0"/>
        <v>0</v>
      </c>
      <c r="Y28" s="29">
        <f t="shared" si="0"/>
        <v>0</v>
      </c>
      <c r="Z28" s="29">
        <f t="shared" si="0"/>
        <v>0</v>
      </c>
      <c r="AA28" s="31" t="e">
        <f t="shared" si="1"/>
        <v>#DIV/0!</v>
      </c>
      <c r="AB28" s="33"/>
    </row>
    <row r="29" spans="2:28" ht="15" customHeight="1">
      <c r="B29" s="21"/>
      <c r="C29" s="22"/>
      <c r="D29" s="28"/>
      <c r="E29" s="29"/>
      <c r="F29" s="29"/>
      <c r="G29" s="29"/>
      <c r="H29" s="29"/>
      <c r="I29" s="29"/>
      <c r="J29" s="29"/>
      <c r="K29" s="30"/>
      <c r="L29" s="28"/>
      <c r="M29" s="29"/>
      <c r="N29" s="29"/>
      <c r="O29" s="29"/>
      <c r="P29" s="29"/>
      <c r="Q29" s="29"/>
      <c r="R29" s="29"/>
      <c r="S29" s="30"/>
      <c r="T29" s="28">
        <f t="shared" si="0"/>
        <v>0</v>
      </c>
      <c r="U29" s="29">
        <f t="shared" si="0"/>
        <v>0</v>
      </c>
      <c r="V29" s="29">
        <f t="shared" si="0"/>
        <v>0</v>
      </c>
      <c r="W29" s="29">
        <f t="shared" si="0"/>
        <v>0</v>
      </c>
      <c r="X29" s="29">
        <f t="shared" si="0"/>
        <v>0</v>
      </c>
      <c r="Y29" s="29">
        <f t="shared" si="0"/>
        <v>0</v>
      </c>
      <c r="Z29" s="29">
        <f t="shared" si="0"/>
        <v>0</v>
      </c>
      <c r="AA29" s="31" t="e">
        <f t="shared" si="1"/>
        <v>#DIV/0!</v>
      </c>
      <c r="AB29" s="33"/>
    </row>
    <row r="30" spans="2:28" ht="15" customHeight="1">
      <c r="B30" s="21"/>
      <c r="C30" s="22"/>
      <c r="D30" s="28"/>
      <c r="E30" s="29"/>
      <c r="F30" s="29"/>
      <c r="G30" s="29"/>
      <c r="H30" s="29"/>
      <c r="I30" s="29"/>
      <c r="J30" s="29"/>
      <c r="K30" s="30"/>
      <c r="L30" s="28"/>
      <c r="M30" s="29"/>
      <c r="N30" s="29"/>
      <c r="O30" s="29"/>
      <c r="P30" s="29"/>
      <c r="Q30" s="29"/>
      <c r="R30" s="29"/>
      <c r="S30" s="30"/>
      <c r="T30" s="28">
        <f t="shared" si="0"/>
        <v>0</v>
      </c>
      <c r="U30" s="29">
        <f t="shared" si="0"/>
        <v>0</v>
      </c>
      <c r="V30" s="29">
        <f t="shared" si="0"/>
        <v>0</v>
      </c>
      <c r="W30" s="29">
        <f t="shared" si="0"/>
        <v>0</v>
      </c>
      <c r="X30" s="29">
        <f t="shared" si="0"/>
        <v>0</v>
      </c>
      <c r="Y30" s="29">
        <f t="shared" si="0"/>
        <v>0</v>
      </c>
      <c r="Z30" s="29">
        <f t="shared" si="0"/>
        <v>0</v>
      </c>
      <c r="AA30" s="31" t="e">
        <f t="shared" si="1"/>
        <v>#DIV/0!</v>
      </c>
      <c r="AB30" s="33"/>
    </row>
    <row r="31" spans="2:28" ht="15" customHeight="1">
      <c r="B31" s="21"/>
      <c r="C31" s="22"/>
      <c r="D31" s="28"/>
      <c r="E31" s="29"/>
      <c r="F31" s="29"/>
      <c r="G31" s="29"/>
      <c r="H31" s="29"/>
      <c r="I31" s="29"/>
      <c r="J31" s="29"/>
      <c r="K31" s="30"/>
      <c r="L31" s="28"/>
      <c r="M31" s="29"/>
      <c r="N31" s="29"/>
      <c r="O31" s="29"/>
      <c r="P31" s="29"/>
      <c r="Q31" s="29"/>
      <c r="R31" s="29"/>
      <c r="S31" s="30"/>
      <c r="T31" s="28">
        <f t="shared" si="0"/>
        <v>0</v>
      </c>
      <c r="U31" s="29">
        <f t="shared" si="0"/>
        <v>0</v>
      </c>
      <c r="V31" s="29">
        <f t="shared" si="0"/>
        <v>0</v>
      </c>
      <c r="W31" s="29">
        <f t="shared" si="0"/>
        <v>0</v>
      </c>
      <c r="X31" s="29">
        <f t="shared" si="0"/>
        <v>0</v>
      </c>
      <c r="Y31" s="29">
        <f t="shared" si="0"/>
        <v>0</v>
      </c>
      <c r="Z31" s="29">
        <f t="shared" si="0"/>
        <v>0</v>
      </c>
      <c r="AA31" s="31" t="e">
        <f t="shared" si="1"/>
        <v>#DIV/0!</v>
      </c>
      <c r="AB31" s="33"/>
    </row>
    <row r="32" spans="2:28" ht="15" customHeight="1">
      <c r="B32" s="21"/>
      <c r="C32" s="22"/>
      <c r="D32" s="28"/>
      <c r="E32" s="29"/>
      <c r="F32" s="29"/>
      <c r="G32" s="29"/>
      <c r="H32" s="29"/>
      <c r="I32" s="29"/>
      <c r="J32" s="29"/>
      <c r="K32" s="30"/>
      <c r="L32" s="28"/>
      <c r="M32" s="29"/>
      <c r="N32" s="29"/>
      <c r="O32" s="29"/>
      <c r="P32" s="29"/>
      <c r="Q32" s="29"/>
      <c r="R32" s="29"/>
      <c r="S32" s="30"/>
      <c r="T32" s="28">
        <f t="shared" si="0"/>
        <v>0</v>
      </c>
      <c r="U32" s="29">
        <f t="shared" si="0"/>
        <v>0</v>
      </c>
      <c r="V32" s="29">
        <f t="shared" si="0"/>
        <v>0</v>
      </c>
      <c r="W32" s="29">
        <f t="shared" si="0"/>
        <v>0</v>
      </c>
      <c r="X32" s="29">
        <f t="shared" si="0"/>
        <v>0</v>
      </c>
      <c r="Y32" s="29">
        <f t="shared" si="0"/>
        <v>0</v>
      </c>
      <c r="Z32" s="29">
        <f t="shared" si="0"/>
        <v>0</v>
      </c>
      <c r="AA32" s="31" t="e">
        <f t="shared" si="1"/>
        <v>#DIV/0!</v>
      </c>
      <c r="AB32" s="33"/>
    </row>
    <row r="33" spans="2:28" ht="15" customHeight="1">
      <c r="B33" s="21"/>
      <c r="C33" s="22"/>
      <c r="D33" s="28"/>
      <c r="E33" s="29"/>
      <c r="F33" s="29"/>
      <c r="G33" s="29"/>
      <c r="H33" s="29"/>
      <c r="I33" s="29"/>
      <c r="J33" s="29"/>
      <c r="K33" s="30"/>
      <c r="L33" s="28"/>
      <c r="M33" s="29"/>
      <c r="N33" s="29"/>
      <c r="O33" s="29"/>
      <c r="P33" s="29"/>
      <c r="Q33" s="29"/>
      <c r="R33" s="29"/>
      <c r="S33" s="30"/>
      <c r="T33" s="28">
        <f t="shared" si="0"/>
        <v>0</v>
      </c>
      <c r="U33" s="29">
        <f t="shared" si="0"/>
        <v>0</v>
      </c>
      <c r="V33" s="29">
        <f t="shared" si="0"/>
        <v>0</v>
      </c>
      <c r="W33" s="29">
        <f t="shared" si="0"/>
        <v>0</v>
      </c>
      <c r="X33" s="29">
        <f t="shared" si="0"/>
        <v>0</v>
      </c>
      <c r="Y33" s="29">
        <f t="shared" si="0"/>
        <v>0</v>
      </c>
      <c r="Z33" s="29">
        <f t="shared" si="0"/>
        <v>0</v>
      </c>
      <c r="AA33" s="31" t="e">
        <f t="shared" si="1"/>
        <v>#DIV/0!</v>
      </c>
      <c r="AB33" s="33"/>
    </row>
    <row r="34" spans="2:28" ht="15" customHeight="1">
      <c r="B34" s="21"/>
      <c r="C34" s="22"/>
      <c r="D34" s="28"/>
      <c r="E34" s="29"/>
      <c r="F34" s="29"/>
      <c r="G34" s="29"/>
      <c r="H34" s="29"/>
      <c r="I34" s="29"/>
      <c r="J34" s="29"/>
      <c r="K34" s="30"/>
      <c r="L34" s="28"/>
      <c r="M34" s="29"/>
      <c r="N34" s="29"/>
      <c r="O34" s="29"/>
      <c r="P34" s="29"/>
      <c r="Q34" s="29"/>
      <c r="R34" s="29"/>
      <c r="S34" s="30"/>
      <c r="T34" s="28">
        <f t="shared" si="0"/>
        <v>0</v>
      </c>
      <c r="U34" s="29">
        <f t="shared" si="0"/>
        <v>0</v>
      </c>
      <c r="V34" s="29">
        <f t="shared" si="0"/>
        <v>0</v>
      </c>
      <c r="W34" s="29">
        <f t="shared" si="0"/>
        <v>0</v>
      </c>
      <c r="X34" s="29">
        <f t="shared" si="0"/>
        <v>0</v>
      </c>
      <c r="Y34" s="29">
        <f t="shared" si="0"/>
        <v>0</v>
      </c>
      <c r="Z34" s="29">
        <f t="shared" si="0"/>
        <v>0</v>
      </c>
      <c r="AA34" s="31" t="e">
        <f t="shared" si="1"/>
        <v>#DIV/0!</v>
      </c>
      <c r="AB34" s="33"/>
    </row>
    <row r="35" spans="2:28" ht="15" customHeight="1" thickBot="1">
      <c r="B35" s="21"/>
      <c r="C35" s="22"/>
      <c r="D35" s="34"/>
      <c r="E35" s="35"/>
      <c r="F35" s="35"/>
      <c r="G35" s="35"/>
      <c r="H35" s="35"/>
      <c r="I35" s="35"/>
      <c r="J35" s="35"/>
      <c r="K35" s="36"/>
      <c r="L35" s="34"/>
      <c r="M35" s="35"/>
      <c r="N35" s="35"/>
      <c r="O35" s="35"/>
      <c r="P35" s="35"/>
      <c r="Q35" s="35"/>
      <c r="R35" s="35"/>
      <c r="S35" s="36"/>
      <c r="T35" s="34">
        <f t="shared" si="0"/>
        <v>0</v>
      </c>
      <c r="U35" s="35">
        <f t="shared" si="0"/>
        <v>0</v>
      </c>
      <c r="V35" s="35">
        <f t="shared" si="0"/>
        <v>0</v>
      </c>
      <c r="W35" s="35">
        <f t="shared" si="0"/>
        <v>0</v>
      </c>
      <c r="X35" s="35">
        <f t="shared" si="0"/>
        <v>0</v>
      </c>
      <c r="Y35" s="35">
        <f t="shared" si="0"/>
        <v>0</v>
      </c>
      <c r="Z35" s="35">
        <f t="shared" si="0"/>
        <v>0</v>
      </c>
      <c r="AA35" s="37" t="e">
        <f t="shared" si="1"/>
        <v>#DIV/0!</v>
      </c>
      <c r="AB35" s="38"/>
    </row>
    <row r="36" spans="2:28" ht="33" customHeight="1">
      <c r="B36" s="221" t="s">
        <v>42</v>
      </c>
      <c r="C36" s="222"/>
      <c r="D36" s="223"/>
      <c r="E36" s="224"/>
      <c r="F36" s="224"/>
      <c r="G36" s="224"/>
      <c r="H36" s="224"/>
      <c r="I36" s="225"/>
      <c r="J36" s="226" t="s">
        <v>43</v>
      </c>
      <c r="K36" s="226"/>
      <c r="L36" s="226"/>
      <c r="M36" s="226"/>
      <c r="N36" s="226"/>
      <c r="O36" s="226"/>
      <c r="P36" s="226"/>
      <c r="Q36" s="165" t="s">
        <v>44</v>
      </c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6"/>
    </row>
    <row r="37" spans="2:28" ht="33" customHeight="1">
      <c r="B37" s="227" t="s">
        <v>45</v>
      </c>
      <c r="C37" s="228"/>
      <c r="D37" s="170" t="s">
        <v>46</v>
      </c>
      <c r="E37" s="171"/>
      <c r="F37" s="171"/>
      <c r="G37" s="171"/>
      <c r="H37" s="171"/>
      <c r="I37" s="172"/>
      <c r="J37" s="229" t="s">
        <v>47</v>
      </c>
      <c r="K37" s="230"/>
      <c r="L37" s="230"/>
      <c r="M37" s="230"/>
      <c r="N37" s="230"/>
      <c r="O37" s="230"/>
      <c r="P37" s="231"/>
      <c r="Q37" s="235" t="s">
        <v>48</v>
      </c>
      <c r="R37" s="178"/>
      <c r="S37" s="178"/>
      <c r="T37" s="178"/>
      <c r="U37" s="178"/>
      <c r="V37" s="178"/>
      <c r="W37" s="178"/>
      <c r="X37" s="178"/>
      <c r="Y37" s="178"/>
      <c r="Z37" s="178"/>
      <c r="AA37" s="178"/>
      <c r="AB37" s="178"/>
    </row>
    <row r="38" spans="2:28" ht="33" customHeight="1" thickBot="1">
      <c r="B38" s="237" t="s">
        <v>49</v>
      </c>
      <c r="C38" s="238"/>
      <c r="D38" s="239" t="s">
        <v>50</v>
      </c>
      <c r="E38" s="186"/>
      <c r="F38" s="186"/>
      <c r="G38" s="186"/>
      <c r="H38" s="186"/>
      <c r="I38" s="187"/>
      <c r="J38" s="232"/>
      <c r="K38" s="233"/>
      <c r="L38" s="233"/>
      <c r="M38" s="233"/>
      <c r="N38" s="233"/>
      <c r="O38" s="233"/>
      <c r="P38" s="234"/>
      <c r="Q38" s="236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</row>
    <row r="39" spans="2:28" ht="15" customHeight="1"/>
    <row r="40" spans="2:28" ht="15" customHeight="1"/>
    <row r="41" spans="2:28" ht="15" customHeight="1"/>
    <row r="42" spans="2:28" ht="15" customHeight="1"/>
    <row r="43" spans="2:28" ht="15" customHeight="1"/>
    <row r="44" spans="2:28" ht="15" customHeight="1"/>
    <row r="45" spans="2:28" ht="15" customHeight="1"/>
    <row r="46" spans="2:28" ht="15" customHeight="1"/>
    <row r="47" spans="2:28" ht="15" customHeight="1"/>
    <row r="48" spans="2:28" ht="15" customHeight="1"/>
    <row r="49" customFormat="1" ht="15" customHeight="1"/>
    <row r="50" customFormat="1" ht="15" customHeight="1"/>
    <row r="51" customFormat="1" ht="15" customHeight="1"/>
    <row r="52" customFormat="1" ht="15" customHeight="1"/>
    <row r="53" customFormat="1" ht="15" customHeight="1"/>
    <row r="54" customFormat="1" ht="15" customHeight="1"/>
    <row r="55" customFormat="1" ht="15" customHeight="1"/>
    <row r="56" customFormat="1" ht="15" customHeight="1"/>
    <row r="57" customFormat="1" ht="15" customHeight="1"/>
    <row r="58" customFormat="1" ht="15" customHeight="1"/>
    <row r="59" customFormat="1" ht="15" customHeight="1"/>
    <row r="60" customFormat="1" ht="15" customHeight="1"/>
    <row r="61" customFormat="1" ht="15" customHeight="1"/>
    <row r="62" customFormat="1" ht="15" customHeight="1"/>
    <row r="63" customFormat="1" ht="15" customHeight="1"/>
    <row r="64" customFormat="1" ht="15" customHeight="1"/>
    <row r="65" customFormat="1" ht="15" customHeight="1"/>
    <row r="66" customFormat="1" ht="33.75" customHeight="1"/>
    <row r="67" customFormat="1" ht="33.75" customHeight="1"/>
    <row r="68" customFormat="1" ht="33.75" customHeight="1"/>
  </sheetData>
  <mergeCells count="35">
    <mergeCell ref="B36:C36"/>
    <mergeCell ref="D36:I36"/>
    <mergeCell ref="J36:P36"/>
    <mergeCell ref="Q36:AB36"/>
    <mergeCell ref="B37:C37"/>
    <mergeCell ref="D37:I37"/>
    <mergeCell ref="J37:P38"/>
    <mergeCell ref="Q37:AB38"/>
    <mergeCell ref="B38:C38"/>
    <mergeCell ref="D38:I38"/>
    <mergeCell ref="AB10:AB11"/>
    <mergeCell ref="B7:C7"/>
    <mergeCell ref="D7:J7"/>
    <mergeCell ref="L7:R7"/>
    <mergeCell ref="T7:X7"/>
    <mergeCell ref="Y7:Z7"/>
    <mergeCell ref="B8:C8"/>
    <mergeCell ref="D8:J8"/>
    <mergeCell ref="L8:R8"/>
    <mergeCell ref="T8:X8"/>
    <mergeCell ref="Y8:Z8"/>
    <mergeCell ref="B10:B11"/>
    <mergeCell ref="C10:C11"/>
    <mergeCell ref="D10:K10"/>
    <mergeCell ref="L10:S10"/>
    <mergeCell ref="T10:AA10"/>
    <mergeCell ref="B1:C4"/>
    <mergeCell ref="D1:Z2"/>
    <mergeCell ref="AB1:AB4"/>
    <mergeCell ref="D3:Z4"/>
    <mergeCell ref="B6:C6"/>
    <mergeCell ref="D6:J6"/>
    <mergeCell ref="L6:R6"/>
    <mergeCell ref="T6:X6"/>
    <mergeCell ref="Y6:Z6"/>
  </mergeCells>
  <conditionalFormatting sqref="T12:T35">
    <cfRule type="cellIs" dxfId="108" priority="15" operator="greaterThan">
      <formula>0.51</formula>
    </cfRule>
    <cfRule type="cellIs" dxfId="107" priority="16" operator="lessThan">
      <formula>0.5</formula>
    </cfRule>
  </conditionalFormatting>
  <conditionalFormatting sqref="U12:U35">
    <cfRule type="cellIs" dxfId="106" priority="13" operator="greaterThan">
      <formula>5.1</formula>
    </cfRule>
    <cfRule type="cellIs" dxfId="105" priority="14" operator="lessThan">
      <formula>5</formula>
    </cfRule>
  </conditionalFormatting>
  <conditionalFormatting sqref="V12:V35">
    <cfRule type="cellIs" dxfId="104" priority="11" operator="greaterThan">
      <formula>1.1</formula>
    </cfRule>
    <cfRule type="cellIs" dxfId="103" priority="12" operator="lessThan">
      <formula>1</formula>
    </cfRule>
  </conditionalFormatting>
  <conditionalFormatting sqref="W12:W35">
    <cfRule type="cellIs" dxfId="102" priority="9" operator="greaterThan">
      <formula>22.6</formula>
    </cfRule>
    <cfRule type="cellIs" dxfId="101" priority="10" operator="lessThan">
      <formula>22.5</formula>
    </cfRule>
  </conditionalFormatting>
  <conditionalFormatting sqref="X12:X35">
    <cfRule type="cellIs" dxfId="100" priority="7" operator="greaterThan">
      <formula>1.1</formula>
    </cfRule>
    <cfRule type="cellIs" dxfId="99" priority="8" operator="lessThan">
      <formula>1</formula>
    </cfRule>
  </conditionalFormatting>
  <conditionalFormatting sqref="Y12:Y35">
    <cfRule type="cellIs" dxfId="98" priority="5" operator="greaterThan">
      <formula>90.1</formula>
    </cfRule>
    <cfRule type="cellIs" dxfId="97" priority="6" operator="lessThan">
      <formula>90</formula>
    </cfRule>
  </conditionalFormatting>
  <conditionalFormatting sqref="Z12:Z35">
    <cfRule type="cellIs" dxfId="96" priority="3" operator="greaterThan">
      <formula>0.9</formula>
    </cfRule>
    <cfRule type="cellIs" dxfId="95" priority="4" operator="lessThan">
      <formula>0.8</formula>
    </cfRule>
  </conditionalFormatting>
  <conditionalFormatting sqref="AA12:AA35">
    <cfRule type="cellIs" dxfId="94" priority="1" operator="lessThan">
      <formula>0.05</formula>
    </cfRule>
    <cfRule type="cellIs" dxfId="93" priority="2" operator="greaterThan">
      <formula>0.05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26459-4473-46A8-BA32-9EB486843A83}">
  <dimension ref="B1:AB68"/>
  <sheetViews>
    <sheetView workbookViewId="0">
      <selection activeCell="F18" sqref="F18"/>
    </sheetView>
  </sheetViews>
  <sheetFormatPr baseColWidth="10" defaultColWidth="11.42578125" defaultRowHeight="15"/>
  <cols>
    <col min="1" max="1" width="0.28515625" customWidth="1"/>
    <col min="2" max="2" width="11.28515625" customWidth="1"/>
    <col min="3" max="3" width="14" customWidth="1"/>
    <col min="4" max="27" width="8.7109375" customWidth="1"/>
    <col min="28" max="28" width="20.85546875" bestFit="1" customWidth="1"/>
  </cols>
  <sheetData>
    <row r="1" spans="2:28" ht="18" customHeight="1">
      <c r="B1" s="106"/>
      <c r="C1" s="188"/>
      <c r="D1" s="191" t="s">
        <v>6</v>
      </c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3"/>
      <c r="AA1" s="2"/>
      <c r="AB1" s="194" t="s">
        <v>7</v>
      </c>
    </row>
    <row r="2" spans="2:28" ht="18" customHeight="1">
      <c r="B2" s="108"/>
      <c r="C2" s="189"/>
      <c r="D2" s="191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3"/>
      <c r="AA2" s="2"/>
      <c r="AB2" s="195"/>
    </row>
    <row r="3" spans="2:28" ht="18" customHeight="1">
      <c r="B3" s="108"/>
      <c r="C3" s="189"/>
      <c r="D3" s="191" t="s">
        <v>8</v>
      </c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3"/>
      <c r="AA3" s="2"/>
      <c r="AB3" s="195"/>
    </row>
    <row r="4" spans="2:28" ht="18" customHeight="1" thickBot="1">
      <c r="B4" s="110"/>
      <c r="C4" s="190"/>
      <c r="D4" s="197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9"/>
      <c r="AA4" s="3"/>
      <c r="AB4" s="196"/>
    </row>
    <row r="5" spans="2:28" ht="15" customHeight="1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2:28" ht="33.75" customHeight="1">
      <c r="B6" s="200" t="s">
        <v>9</v>
      </c>
      <c r="C6" s="200"/>
      <c r="D6" s="201"/>
      <c r="E6" s="201"/>
      <c r="F6" s="201"/>
      <c r="G6" s="201"/>
      <c r="H6" s="201"/>
      <c r="I6" s="201"/>
      <c r="J6" s="201"/>
      <c r="K6" s="5"/>
      <c r="L6" s="202" t="s">
        <v>10</v>
      </c>
      <c r="M6" s="202"/>
      <c r="N6" s="202"/>
      <c r="O6" s="202"/>
      <c r="P6" s="202"/>
      <c r="Q6" s="202"/>
      <c r="R6" s="202"/>
      <c r="S6" s="6"/>
      <c r="T6" s="202" t="s">
        <v>11</v>
      </c>
      <c r="U6" s="202"/>
      <c r="V6" s="202"/>
      <c r="W6" s="202"/>
      <c r="X6" s="202"/>
      <c r="Y6" s="202" t="s">
        <v>12</v>
      </c>
      <c r="Z6" s="202"/>
      <c r="AA6" s="6"/>
      <c r="AB6" s="7" t="s">
        <v>13</v>
      </c>
    </row>
    <row r="7" spans="2:28" ht="33.75" customHeight="1">
      <c r="B7" s="200" t="s">
        <v>14</v>
      </c>
      <c r="C7" s="200"/>
      <c r="D7" s="201"/>
      <c r="E7" s="201"/>
      <c r="F7" s="201"/>
      <c r="G7" s="201"/>
      <c r="H7" s="201"/>
      <c r="I7" s="201"/>
      <c r="J7" s="201"/>
      <c r="K7" s="5"/>
      <c r="L7" s="205" t="s">
        <v>15</v>
      </c>
      <c r="M7" s="205"/>
      <c r="N7" s="205"/>
      <c r="O7" s="205"/>
      <c r="P7" s="205"/>
      <c r="Q7" s="205"/>
      <c r="R7" s="205"/>
      <c r="S7" s="1"/>
      <c r="T7" s="205"/>
      <c r="U7" s="205"/>
      <c r="V7" s="205"/>
      <c r="W7" s="205"/>
      <c r="X7" s="205"/>
      <c r="Y7" s="206"/>
      <c r="Z7" s="206"/>
      <c r="AA7" s="8"/>
      <c r="AB7" s="9"/>
    </row>
    <row r="8" spans="2:28" ht="33.75" customHeight="1">
      <c r="B8" s="200" t="s">
        <v>16</v>
      </c>
      <c r="C8" s="200"/>
      <c r="D8" s="201"/>
      <c r="E8" s="201"/>
      <c r="F8" s="201"/>
      <c r="G8" s="201"/>
      <c r="H8" s="201"/>
      <c r="I8" s="201"/>
      <c r="J8" s="201"/>
      <c r="K8" s="5"/>
      <c r="L8" s="205" t="s">
        <v>17</v>
      </c>
      <c r="M8" s="205"/>
      <c r="N8" s="205"/>
      <c r="O8" s="205"/>
      <c r="P8" s="205"/>
      <c r="Q8" s="205"/>
      <c r="R8" s="205"/>
      <c r="S8" s="1"/>
      <c r="T8" s="207"/>
      <c r="U8" s="207"/>
      <c r="V8" s="207"/>
      <c r="W8" s="207"/>
      <c r="X8" s="207"/>
      <c r="Y8" s="206"/>
      <c r="Z8" s="206"/>
      <c r="AA8" s="8"/>
      <c r="AB8" s="9"/>
    </row>
    <row r="9" spans="2:28" ht="22.5" customHeight="1" thickBot="1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2:28" ht="22.5" customHeight="1" thickBot="1">
      <c r="B10" s="208" t="s">
        <v>18</v>
      </c>
      <c r="C10" s="210" t="s">
        <v>19</v>
      </c>
      <c r="D10" s="212" t="s">
        <v>20</v>
      </c>
      <c r="E10" s="213"/>
      <c r="F10" s="213"/>
      <c r="G10" s="213"/>
      <c r="H10" s="213"/>
      <c r="I10" s="213"/>
      <c r="J10" s="213"/>
      <c r="K10" s="214"/>
      <c r="L10" s="215" t="s">
        <v>21</v>
      </c>
      <c r="M10" s="216"/>
      <c r="N10" s="216"/>
      <c r="O10" s="216"/>
      <c r="P10" s="216"/>
      <c r="Q10" s="216"/>
      <c r="R10" s="216"/>
      <c r="S10" s="217"/>
      <c r="T10" s="218" t="s">
        <v>22</v>
      </c>
      <c r="U10" s="219"/>
      <c r="V10" s="219"/>
      <c r="W10" s="219"/>
      <c r="X10" s="219"/>
      <c r="Y10" s="219"/>
      <c r="Z10" s="219"/>
      <c r="AA10" s="220"/>
      <c r="AB10" s="203" t="s">
        <v>23</v>
      </c>
    </row>
    <row r="11" spans="2:28" ht="48.75" customHeight="1" thickBot="1">
      <c r="B11" s="209"/>
      <c r="C11" s="211"/>
      <c r="D11" s="12" t="s">
        <v>24</v>
      </c>
      <c r="E11" s="13" t="s">
        <v>25</v>
      </c>
      <c r="F11" s="13" t="s">
        <v>26</v>
      </c>
      <c r="G11" s="13" t="s">
        <v>27</v>
      </c>
      <c r="H11" s="13" t="s">
        <v>28</v>
      </c>
      <c r="I11" s="13" t="s">
        <v>29</v>
      </c>
      <c r="J11" s="13" t="s">
        <v>30</v>
      </c>
      <c r="K11" s="14" t="s">
        <v>31</v>
      </c>
      <c r="L11" s="15" t="s">
        <v>32</v>
      </c>
      <c r="M11" s="16" t="s">
        <v>25</v>
      </c>
      <c r="N11" s="16" t="s">
        <v>26</v>
      </c>
      <c r="O11" s="16" t="s">
        <v>27</v>
      </c>
      <c r="P11" s="16" t="s">
        <v>28</v>
      </c>
      <c r="Q11" s="16" t="s">
        <v>29</v>
      </c>
      <c r="R11" s="16" t="s">
        <v>33</v>
      </c>
      <c r="S11" s="17" t="s">
        <v>31</v>
      </c>
      <c r="T11" s="18" t="s">
        <v>34</v>
      </c>
      <c r="U11" s="19" t="s">
        <v>35</v>
      </c>
      <c r="V11" s="19" t="s">
        <v>36</v>
      </c>
      <c r="W11" s="19" t="s">
        <v>37</v>
      </c>
      <c r="X11" s="19" t="s">
        <v>38</v>
      </c>
      <c r="Y11" s="19" t="s">
        <v>39</v>
      </c>
      <c r="Z11" s="19" t="s">
        <v>40</v>
      </c>
      <c r="AA11" s="20" t="s">
        <v>41</v>
      </c>
      <c r="AB11" s="204"/>
    </row>
    <row r="12" spans="2:28" ht="15" customHeight="1">
      <c r="B12" s="21"/>
      <c r="C12" s="22"/>
      <c r="D12" s="23"/>
      <c r="E12" s="24"/>
      <c r="F12" s="24"/>
      <c r="G12" s="24"/>
      <c r="H12" s="24"/>
      <c r="I12" s="24"/>
      <c r="J12" s="24"/>
      <c r="K12" s="25"/>
      <c r="L12" s="23"/>
      <c r="M12" s="24"/>
      <c r="N12" s="24"/>
      <c r="O12" s="24"/>
      <c r="P12" s="24"/>
      <c r="Q12" s="24"/>
      <c r="R12" s="24"/>
      <c r="S12" s="25"/>
      <c r="T12" s="23">
        <f t="shared" ref="T12:Z35" si="0">+ABS(L12-D12)</f>
        <v>0</v>
      </c>
      <c r="U12" s="24">
        <f t="shared" si="0"/>
        <v>0</v>
      </c>
      <c r="V12" s="24">
        <f t="shared" si="0"/>
        <v>0</v>
      </c>
      <c r="W12" s="24">
        <f t="shared" si="0"/>
        <v>0</v>
      </c>
      <c r="X12" s="24">
        <f t="shared" si="0"/>
        <v>0</v>
      </c>
      <c r="Y12" s="24">
        <f t="shared" si="0"/>
        <v>0</v>
      </c>
      <c r="Z12" s="24">
        <f t="shared" si="0"/>
        <v>0</v>
      </c>
      <c r="AA12" s="26" t="e">
        <f>1-ABS(S12/K12)</f>
        <v>#DIV/0!</v>
      </c>
      <c r="AB12" s="27"/>
    </row>
    <row r="13" spans="2:28" ht="15" customHeight="1">
      <c r="B13" s="21"/>
      <c r="C13" s="22"/>
      <c r="D13" s="28"/>
      <c r="E13" s="29"/>
      <c r="F13" s="29"/>
      <c r="G13" s="29"/>
      <c r="H13" s="29"/>
      <c r="I13" s="29"/>
      <c r="J13" s="29"/>
      <c r="K13" s="30"/>
      <c r="L13" s="28"/>
      <c r="M13" s="29"/>
      <c r="N13" s="29"/>
      <c r="O13" s="29"/>
      <c r="P13" s="29"/>
      <c r="Q13" s="29"/>
      <c r="R13" s="29"/>
      <c r="S13" s="30"/>
      <c r="T13" s="28">
        <f t="shared" si="0"/>
        <v>0</v>
      </c>
      <c r="U13" s="29">
        <f t="shared" si="0"/>
        <v>0</v>
      </c>
      <c r="V13" s="29">
        <f t="shared" si="0"/>
        <v>0</v>
      </c>
      <c r="W13" s="29">
        <f t="shared" si="0"/>
        <v>0</v>
      </c>
      <c r="X13" s="29">
        <f t="shared" si="0"/>
        <v>0</v>
      </c>
      <c r="Y13" s="29">
        <f t="shared" si="0"/>
        <v>0</v>
      </c>
      <c r="Z13" s="29">
        <f t="shared" si="0"/>
        <v>0</v>
      </c>
      <c r="AA13" s="31" t="e">
        <f t="shared" ref="AA13:AA35" si="1">1-ABS(S13/K13)</f>
        <v>#DIV/0!</v>
      </c>
      <c r="AB13" s="32"/>
    </row>
    <row r="14" spans="2:28" ht="15" customHeight="1">
      <c r="B14" s="21"/>
      <c r="C14" s="22"/>
      <c r="D14" s="28"/>
      <c r="E14" s="29"/>
      <c r="F14" s="29"/>
      <c r="G14" s="29"/>
      <c r="H14" s="29"/>
      <c r="I14" s="29"/>
      <c r="J14" s="29"/>
      <c r="K14" s="30"/>
      <c r="L14" s="28"/>
      <c r="M14" s="29"/>
      <c r="N14" s="29"/>
      <c r="O14" s="29"/>
      <c r="P14" s="29"/>
      <c r="Q14" s="29"/>
      <c r="R14" s="29"/>
      <c r="S14" s="30"/>
      <c r="T14" s="28">
        <f t="shared" si="0"/>
        <v>0</v>
      </c>
      <c r="U14" s="29">
        <f t="shared" si="0"/>
        <v>0</v>
      </c>
      <c r="V14" s="29">
        <f t="shared" si="0"/>
        <v>0</v>
      </c>
      <c r="W14" s="29">
        <f t="shared" si="0"/>
        <v>0</v>
      </c>
      <c r="X14" s="29">
        <f t="shared" si="0"/>
        <v>0</v>
      </c>
      <c r="Y14" s="29">
        <f t="shared" si="0"/>
        <v>0</v>
      </c>
      <c r="Z14" s="29">
        <f t="shared" si="0"/>
        <v>0</v>
      </c>
      <c r="AA14" s="31" t="e">
        <f t="shared" si="1"/>
        <v>#DIV/0!</v>
      </c>
      <c r="AB14" s="32"/>
    </row>
    <row r="15" spans="2:28" ht="15" customHeight="1">
      <c r="B15" s="21"/>
      <c r="C15" s="22"/>
      <c r="D15" s="28"/>
      <c r="E15" s="29"/>
      <c r="F15" s="29"/>
      <c r="G15" s="29"/>
      <c r="H15" s="29"/>
      <c r="I15" s="29"/>
      <c r="J15" s="29"/>
      <c r="K15" s="30"/>
      <c r="L15" s="28"/>
      <c r="M15" s="29"/>
      <c r="N15" s="29"/>
      <c r="O15" s="29"/>
      <c r="P15" s="29"/>
      <c r="Q15" s="29"/>
      <c r="R15" s="29"/>
      <c r="S15" s="30"/>
      <c r="T15" s="28">
        <f t="shared" si="0"/>
        <v>0</v>
      </c>
      <c r="U15" s="29">
        <f t="shared" si="0"/>
        <v>0</v>
      </c>
      <c r="V15" s="29">
        <f t="shared" si="0"/>
        <v>0</v>
      </c>
      <c r="W15" s="29">
        <f t="shared" si="0"/>
        <v>0</v>
      </c>
      <c r="X15" s="29">
        <f t="shared" si="0"/>
        <v>0</v>
      </c>
      <c r="Y15" s="29">
        <f t="shared" si="0"/>
        <v>0</v>
      </c>
      <c r="Z15" s="29">
        <f t="shared" si="0"/>
        <v>0</v>
      </c>
      <c r="AA15" s="31" t="e">
        <f t="shared" si="1"/>
        <v>#DIV/0!</v>
      </c>
      <c r="AB15" s="32"/>
    </row>
    <row r="16" spans="2:28" ht="15" customHeight="1">
      <c r="B16" s="21"/>
      <c r="C16" s="22"/>
      <c r="D16" s="28"/>
      <c r="E16" s="29"/>
      <c r="F16" s="29"/>
      <c r="G16" s="29"/>
      <c r="H16" s="29"/>
      <c r="I16" s="29"/>
      <c r="J16" s="29"/>
      <c r="K16" s="30"/>
      <c r="L16" s="28"/>
      <c r="M16" s="29"/>
      <c r="N16" s="29"/>
      <c r="O16" s="29"/>
      <c r="P16" s="29"/>
      <c r="Q16" s="29"/>
      <c r="R16" s="29"/>
      <c r="S16" s="30"/>
      <c r="T16" s="28">
        <f t="shared" si="0"/>
        <v>0</v>
      </c>
      <c r="U16" s="29">
        <f t="shared" si="0"/>
        <v>0</v>
      </c>
      <c r="V16" s="29">
        <f t="shared" si="0"/>
        <v>0</v>
      </c>
      <c r="W16" s="29">
        <f t="shared" si="0"/>
        <v>0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31" t="e">
        <f t="shared" si="1"/>
        <v>#DIV/0!</v>
      </c>
      <c r="AB16" s="32"/>
    </row>
    <row r="17" spans="2:28" ht="15" customHeight="1">
      <c r="B17" s="21"/>
      <c r="C17" s="22"/>
      <c r="D17" s="28"/>
      <c r="E17" s="29"/>
      <c r="F17" s="29"/>
      <c r="G17" s="29"/>
      <c r="H17" s="29"/>
      <c r="I17" s="29"/>
      <c r="J17" s="29"/>
      <c r="K17" s="30"/>
      <c r="L17" s="28"/>
      <c r="M17" s="29"/>
      <c r="N17" s="29"/>
      <c r="O17" s="29"/>
      <c r="P17" s="29"/>
      <c r="Q17" s="29"/>
      <c r="R17" s="29"/>
      <c r="S17" s="30"/>
      <c r="T17" s="28">
        <f t="shared" si="0"/>
        <v>0</v>
      </c>
      <c r="U17" s="29">
        <f t="shared" si="0"/>
        <v>0</v>
      </c>
      <c r="V17" s="29">
        <f t="shared" si="0"/>
        <v>0</v>
      </c>
      <c r="W17" s="29">
        <f t="shared" si="0"/>
        <v>0</v>
      </c>
      <c r="X17" s="29">
        <f t="shared" si="0"/>
        <v>0</v>
      </c>
      <c r="Y17" s="29">
        <f t="shared" si="0"/>
        <v>0</v>
      </c>
      <c r="Z17" s="29">
        <f t="shared" si="0"/>
        <v>0</v>
      </c>
      <c r="AA17" s="31" t="e">
        <f t="shared" si="1"/>
        <v>#DIV/0!</v>
      </c>
      <c r="AB17" s="32"/>
    </row>
    <row r="18" spans="2:28" ht="15" customHeight="1">
      <c r="B18" s="21"/>
      <c r="C18" s="22"/>
      <c r="D18" s="28"/>
      <c r="E18" s="29"/>
      <c r="F18" s="29"/>
      <c r="G18" s="29"/>
      <c r="H18" s="29"/>
      <c r="I18" s="29"/>
      <c r="J18" s="29"/>
      <c r="K18" s="30"/>
      <c r="L18" s="28"/>
      <c r="M18" s="29"/>
      <c r="N18" s="29"/>
      <c r="O18" s="29"/>
      <c r="P18" s="29"/>
      <c r="Q18" s="29"/>
      <c r="R18" s="29"/>
      <c r="S18" s="30"/>
      <c r="T18" s="28">
        <f t="shared" si="0"/>
        <v>0</v>
      </c>
      <c r="U18" s="29">
        <f t="shared" si="0"/>
        <v>0</v>
      </c>
      <c r="V18" s="29">
        <f t="shared" si="0"/>
        <v>0</v>
      </c>
      <c r="W18" s="29">
        <f t="shared" si="0"/>
        <v>0</v>
      </c>
      <c r="X18" s="29">
        <f t="shared" si="0"/>
        <v>0</v>
      </c>
      <c r="Y18" s="29">
        <f t="shared" si="0"/>
        <v>0</v>
      </c>
      <c r="Z18" s="29">
        <f t="shared" si="0"/>
        <v>0</v>
      </c>
      <c r="AA18" s="31" t="e">
        <f t="shared" si="1"/>
        <v>#DIV/0!</v>
      </c>
      <c r="AB18" s="32"/>
    </row>
    <row r="19" spans="2:28" ht="15" customHeight="1">
      <c r="B19" s="21"/>
      <c r="C19" s="22"/>
      <c r="D19" s="28"/>
      <c r="E19" s="29"/>
      <c r="F19" s="29"/>
      <c r="G19" s="29"/>
      <c r="H19" s="29"/>
      <c r="I19" s="29"/>
      <c r="J19" s="29"/>
      <c r="K19" s="30"/>
      <c r="L19" s="28"/>
      <c r="M19" s="29"/>
      <c r="N19" s="29"/>
      <c r="O19" s="29"/>
      <c r="P19" s="29"/>
      <c r="Q19" s="29"/>
      <c r="R19" s="29"/>
      <c r="S19" s="30"/>
      <c r="T19" s="28">
        <f t="shared" si="0"/>
        <v>0</v>
      </c>
      <c r="U19" s="29">
        <f t="shared" si="0"/>
        <v>0</v>
      </c>
      <c r="V19" s="29">
        <f t="shared" si="0"/>
        <v>0</v>
      </c>
      <c r="W19" s="29">
        <f t="shared" si="0"/>
        <v>0</v>
      </c>
      <c r="X19" s="29">
        <f t="shared" si="0"/>
        <v>0</v>
      </c>
      <c r="Y19" s="29">
        <f t="shared" si="0"/>
        <v>0</v>
      </c>
      <c r="Z19" s="29">
        <f t="shared" si="0"/>
        <v>0</v>
      </c>
      <c r="AA19" s="31" t="e">
        <f t="shared" si="1"/>
        <v>#DIV/0!</v>
      </c>
      <c r="AB19" s="32"/>
    </row>
    <row r="20" spans="2:28" ht="15" customHeight="1">
      <c r="B20" s="21"/>
      <c r="C20" s="22"/>
      <c r="D20" s="28"/>
      <c r="E20" s="29"/>
      <c r="F20" s="29"/>
      <c r="G20" s="29"/>
      <c r="H20" s="29"/>
      <c r="I20" s="29"/>
      <c r="J20" s="29"/>
      <c r="K20" s="30"/>
      <c r="L20" s="28"/>
      <c r="M20" s="29"/>
      <c r="N20" s="29"/>
      <c r="O20" s="29"/>
      <c r="P20" s="29"/>
      <c r="Q20" s="29"/>
      <c r="R20" s="29"/>
      <c r="S20" s="30"/>
      <c r="T20" s="28">
        <f t="shared" si="0"/>
        <v>0</v>
      </c>
      <c r="U20" s="29">
        <f t="shared" si="0"/>
        <v>0</v>
      </c>
      <c r="V20" s="29">
        <f t="shared" si="0"/>
        <v>0</v>
      </c>
      <c r="W20" s="29">
        <f t="shared" si="0"/>
        <v>0</v>
      </c>
      <c r="X20" s="29">
        <f t="shared" si="0"/>
        <v>0</v>
      </c>
      <c r="Y20" s="29">
        <f t="shared" si="0"/>
        <v>0</v>
      </c>
      <c r="Z20" s="29">
        <f t="shared" si="0"/>
        <v>0</v>
      </c>
      <c r="AA20" s="31" t="e">
        <f t="shared" si="1"/>
        <v>#DIV/0!</v>
      </c>
      <c r="AB20" s="33"/>
    </row>
    <row r="21" spans="2:28" ht="15" customHeight="1">
      <c r="B21" s="21"/>
      <c r="C21" s="22"/>
      <c r="D21" s="28"/>
      <c r="E21" s="29"/>
      <c r="F21" s="29"/>
      <c r="G21" s="29"/>
      <c r="H21" s="29"/>
      <c r="I21" s="29"/>
      <c r="J21" s="29"/>
      <c r="K21" s="30"/>
      <c r="L21" s="28"/>
      <c r="M21" s="29"/>
      <c r="N21" s="29"/>
      <c r="O21" s="29"/>
      <c r="P21" s="29"/>
      <c r="Q21" s="29"/>
      <c r="R21" s="29"/>
      <c r="S21" s="30"/>
      <c r="T21" s="28">
        <f t="shared" si="0"/>
        <v>0</v>
      </c>
      <c r="U21" s="29">
        <f t="shared" si="0"/>
        <v>0</v>
      </c>
      <c r="V21" s="29">
        <f t="shared" si="0"/>
        <v>0</v>
      </c>
      <c r="W21" s="29">
        <f t="shared" si="0"/>
        <v>0</v>
      </c>
      <c r="X21" s="29">
        <f t="shared" si="0"/>
        <v>0</v>
      </c>
      <c r="Y21" s="29">
        <f t="shared" si="0"/>
        <v>0</v>
      </c>
      <c r="Z21" s="29">
        <f t="shared" si="0"/>
        <v>0</v>
      </c>
      <c r="AA21" s="31" t="e">
        <f t="shared" si="1"/>
        <v>#DIV/0!</v>
      </c>
      <c r="AB21" s="33"/>
    </row>
    <row r="22" spans="2:28" ht="15" customHeight="1">
      <c r="B22" s="21"/>
      <c r="C22" s="22"/>
      <c r="D22" s="28"/>
      <c r="E22" s="29"/>
      <c r="F22" s="29"/>
      <c r="G22" s="29"/>
      <c r="H22" s="29"/>
      <c r="I22" s="29"/>
      <c r="J22" s="29"/>
      <c r="K22" s="30"/>
      <c r="L22" s="28"/>
      <c r="M22" s="29"/>
      <c r="N22" s="29"/>
      <c r="O22" s="29"/>
      <c r="P22" s="29"/>
      <c r="Q22" s="29"/>
      <c r="R22" s="29"/>
      <c r="S22" s="30"/>
      <c r="T22" s="28">
        <f t="shared" si="0"/>
        <v>0</v>
      </c>
      <c r="U22" s="29">
        <f t="shared" si="0"/>
        <v>0</v>
      </c>
      <c r="V22" s="29">
        <f t="shared" si="0"/>
        <v>0</v>
      </c>
      <c r="W22" s="29">
        <f t="shared" si="0"/>
        <v>0</v>
      </c>
      <c r="X22" s="29">
        <f t="shared" si="0"/>
        <v>0</v>
      </c>
      <c r="Y22" s="29">
        <f t="shared" si="0"/>
        <v>0</v>
      </c>
      <c r="Z22" s="29">
        <f t="shared" si="0"/>
        <v>0</v>
      </c>
      <c r="AA22" s="31" t="e">
        <f t="shared" si="1"/>
        <v>#DIV/0!</v>
      </c>
      <c r="AB22" s="33"/>
    </row>
    <row r="23" spans="2:28" ht="15" customHeight="1">
      <c r="B23" s="21"/>
      <c r="C23" s="22"/>
      <c r="D23" s="28"/>
      <c r="E23" s="29"/>
      <c r="F23" s="29"/>
      <c r="G23" s="29"/>
      <c r="H23" s="29"/>
      <c r="I23" s="29"/>
      <c r="J23" s="29"/>
      <c r="K23" s="30"/>
      <c r="L23" s="28"/>
      <c r="M23" s="29"/>
      <c r="N23" s="29"/>
      <c r="O23" s="29"/>
      <c r="P23" s="29"/>
      <c r="Q23" s="29"/>
      <c r="R23" s="29"/>
      <c r="S23" s="30"/>
      <c r="T23" s="28">
        <f t="shared" si="0"/>
        <v>0</v>
      </c>
      <c r="U23" s="29">
        <f t="shared" si="0"/>
        <v>0</v>
      </c>
      <c r="V23" s="29">
        <f t="shared" si="0"/>
        <v>0</v>
      </c>
      <c r="W23" s="29">
        <f t="shared" si="0"/>
        <v>0</v>
      </c>
      <c r="X23" s="29">
        <f t="shared" si="0"/>
        <v>0</v>
      </c>
      <c r="Y23" s="29">
        <f t="shared" si="0"/>
        <v>0</v>
      </c>
      <c r="Z23" s="29">
        <f t="shared" si="0"/>
        <v>0</v>
      </c>
      <c r="AA23" s="31" t="e">
        <f t="shared" si="1"/>
        <v>#DIV/0!</v>
      </c>
      <c r="AB23" s="33"/>
    </row>
    <row r="24" spans="2:28" ht="15" customHeight="1">
      <c r="B24" s="21"/>
      <c r="C24" s="22"/>
      <c r="D24" s="28"/>
      <c r="E24" s="29"/>
      <c r="F24" s="29"/>
      <c r="G24" s="29"/>
      <c r="H24" s="29"/>
      <c r="I24" s="29"/>
      <c r="J24" s="29"/>
      <c r="K24" s="30"/>
      <c r="L24" s="28"/>
      <c r="M24" s="29"/>
      <c r="N24" s="29"/>
      <c r="O24" s="29"/>
      <c r="P24" s="29"/>
      <c r="Q24" s="29"/>
      <c r="R24" s="29"/>
      <c r="S24" s="30"/>
      <c r="T24" s="28">
        <f t="shared" si="0"/>
        <v>0</v>
      </c>
      <c r="U24" s="29">
        <f t="shared" si="0"/>
        <v>0</v>
      </c>
      <c r="V24" s="29">
        <f t="shared" si="0"/>
        <v>0</v>
      </c>
      <c r="W24" s="29">
        <f t="shared" si="0"/>
        <v>0</v>
      </c>
      <c r="X24" s="29">
        <f t="shared" si="0"/>
        <v>0</v>
      </c>
      <c r="Y24" s="29">
        <f t="shared" si="0"/>
        <v>0</v>
      </c>
      <c r="Z24" s="29">
        <f t="shared" si="0"/>
        <v>0</v>
      </c>
      <c r="AA24" s="31" t="e">
        <f t="shared" si="1"/>
        <v>#DIV/0!</v>
      </c>
      <c r="AB24" s="33"/>
    </row>
    <row r="25" spans="2:28" ht="15" customHeight="1">
      <c r="B25" s="21"/>
      <c r="C25" s="22"/>
      <c r="D25" s="28"/>
      <c r="E25" s="29"/>
      <c r="F25" s="29"/>
      <c r="G25" s="29"/>
      <c r="H25" s="29"/>
      <c r="I25" s="29"/>
      <c r="J25" s="29"/>
      <c r="K25" s="30"/>
      <c r="L25" s="28"/>
      <c r="M25" s="29"/>
      <c r="N25" s="29"/>
      <c r="O25" s="29"/>
      <c r="P25" s="29"/>
      <c r="Q25" s="29"/>
      <c r="R25" s="29"/>
      <c r="S25" s="30"/>
      <c r="T25" s="28">
        <f t="shared" si="0"/>
        <v>0</v>
      </c>
      <c r="U25" s="29">
        <f t="shared" si="0"/>
        <v>0</v>
      </c>
      <c r="V25" s="29">
        <f t="shared" si="0"/>
        <v>0</v>
      </c>
      <c r="W25" s="29">
        <f t="shared" si="0"/>
        <v>0</v>
      </c>
      <c r="X25" s="29">
        <f t="shared" si="0"/>
        <v>0</v>
      </c>
      <c r="Y25" s="29">
        <f t="shared" si="0"/>
        <v>0</v>
      </c>
      <c r="Z25" s="29">
        <f t="shared" si="0"/>
        <v>0</v>
      </c>
      <c r="AA25" s="31" t="e">
        <f t="shared" si="1"/>
        <v>#DIV/0!</v>
      </c>
      <c r="AB25" s="33"/>
    </row>
    <row r="26" spans="2:28" ht="15" customHeight="1">
      <c r="B26" s="21"/>
      <c r="C26" s="22"/>
      <c r="D26" s="28"/>
      <c r="E26" s="29"/>
      <c r="F26" s="29"/>
      <c r="G26" s="29"/>
      <c r="H26" s="29"/>
      <c r="I26" s="29"/>
      <c r="J26" s="29"/>
      <c r="K26" s="30"/>
      <c r="L26" s="28"/>
      <c r="M26" s="29"/>
      <c r="N26" s="29"/>
      <c r="O26" s="29"/>
      <c r="P26" s="29"/>
      <c r="Q26" s="29"/>
      <c r="R26" s="29"/>
      <c r="S26" s="30"/>
      <c r="T26" s="28">
        <f t="shared" si="0"/>
        <v>0</v>
      </c>
      <c r="U26" s="29">
        <f t="shared" si="0"/>
        <v>0</v>
      </c>
      <c r="V26" s="29">
        <f t="shared" si="0"/>
        <v>0</v>
      </c>
      <c r="W26" s="29">
        <f t="shared" si="0"/>
        <v>0</v>
      </c>
      <c r="X26" s="29">
        <f t="shared" si="0"/>
        <v>0</v>
      </c>
      <c r="Y26" s="29">
        <f t="shared" si="0"/>
        <v>0</v>
      </c>
      <c r="Z26" s="29">
        <f t="shared" si="0"/>
        <v>0</v>
      </c>
      <c r="AA26" s="31" t="e">
        <f t="shared" si="1"/>
        <v>#DIV/0!</v>
      </c>
      <c r="AB26" s="33"/>
    </row>
    <row r="27" spans="2:28" ht="15" customHeight="1">
      <c r="B27" s="21"/>
      <c r="C27" s="22"/>
      <c r="D27" s="28"/>
      <c r="E27" s="29"/>
      <c r="F27" s="29"/>
      <c r="G27" s="29"/>
      <c r="H27" s="29"/>
      <c r="I27" s="29"/>
      <c r="J27" s="29"/>
      <c r="K27" s="30"/>
      <c r="L27" s="28"/>
      <c r="M27" s="29"/>
      <c r="N27" s="29"/>
      <c r="O27" s="29"/>
      <c r="P27" s="29"/>
      <c r="Q27" s="29"/>
      <c r="R27" s="29"/>
      <c r="S27" s="30"/>
      <c r="T27" s="28">
        <f t="shared" si="0"/>
        <v>0</v>
      </c>
      <c r="U27" s="29">
        <f t="shared" si="0"/>
        <v>0</v>
      </c>
      <c r="V27" s="29">
        <f t="shared" si="0"/>
        <v>0</v>
      </c>
      <c r="W27" s="29">
        <f t="shared" si="0"/>
        <v>0</v>
      </c>
      <c r="X27" s="29">
        <f t="shared" si="0"/>
        <v>0</v>
      </c>
      <c r="Y27" s="29">
        <f t="shared" si="0"/>
        <v>0</v>
      </c>
      <c r="Z27" s="29">
        <f t="shared" si="0"/>
        <v>0</v>
      </c>
      <c r="AA27" s="31" t="e">
        <f t="shared" si="1"/>
        <v>#DIV/0!</v>
      </c>
      <c r="AB27" s="33"/>
    </row>
    <row r="28" spans="2:28" ht="15" customHeight="1">
      <c r="B28" s="21"/>
      <c r="C28" s="22"/>
      <c r="D28" s="28"/>
      <c r="E28" s="29"/>
      <c r="F28" s="29"/>
      <c r="G28" s="29"/>
      <c r="H28" s="29"/>
      <c r="I28" s="29"/>
      <c r="J28" s="29"/>
      <c r="K28" s="30"/>
      <c r="L28" s="28"/>
      <c r="M28" s="29"/>
      <c r="N28" s="29"/>
      <c r="O28" s="29"/>
      <c r="P28" s="29"/>
      <c r="Q28" s="29"/>
      <c r="R28" s="29"/>
      <c r="S28" s="30"/>
      <c r="T28" s="28">
        <f t="shared" si="0"/>
        <v>0</v>
      </c>
      <c r="U28" s="29">
        <f t="shared" si="0"/>
        <v>0</v>
      </c>
      <c r="V28" s="29">
        <f t="shared" si="0"/>
        <v>0</v>
      </c>
      <c r="W28" s="29">
        <f t="shared" si="0"/>
        <v>0</v>
      </c>
      <c r="X28" s="29">
        <f t="shared" si="0"/>
        <v>0</v>
      </c>
      <c r="Y28" s="29">
        <f t="shared" si="0"/>
        <v>0</v>
      </c>
      <c r="Z28" s="29">
        <f t="shared" si="0"/>
        <v>0</v>
      </c>
      <c r="AA28" s="31" t="e">
        <f t="shared" si="1"/>
        <v>#DIV/0!</v>
      </c>
      <c r="AB28" s="33"/>
    </row>
    <row r="29" spans="2:28" ht="15" customHeight="1">
      <c r="B29" s="21"/>
      <c r="C29" s="22"/>
      <c r="D29" s="28"/>
      <c r="E29" s="29"/>
      <c r="F29" s="29"/>
      <c r="G29" s="29"/>
      <c r="H29" s="29"/>
      <c r="I29" s="29"/>
      <c r="J29" s="29"/>
      <c r="K29" s="30"/>
      <c r="L29" s="28"/>
      <c r="M29" s="29"/>
      <c r="N29" s="29"/>
      <c r="O29" s="29"/>
      <c r="P29" s="29"/>
      <c r="Q29" s="29"/>
      <c r="R29" s="29"/>
      <c r="S29" s="30"/>
      <c r="T29" s="28">
        <f t="shared" si="0"/>
        <v>0</v>
      </c>
      <c r="U29" s="29">
        <f t="shared" si="0"/>
        <v>0</v>
      </c>
      <c r="V29" s="29">
        <f t="shared" si="0"/>
        <v>0</v>
      </c>
      <c r="W29" s="29">
        <f t="shared" si="0"/>
        <v>0</v>
      </c>
      <c r="X29" s="29">
        <f t="shared" si="0"/>
        <v>0</v>
      </c>
      <c r="Y29" s="29">
        <f t="shared" si="0"/>
        <v>0</v>
      </c>
      <c r="Z29" s="29">
        <f t="shared" si="0"/>
        <v>0</v>
      </c>
      <c r="AA29" s="31" t="e">
        <f t="shared" si="1"/>
        <v>#DIV/0!</v>
      </c>
      <c r="AB29" s="33"/>
    </row>
    <row r="30" spans="2:28" ht="15" customHeight="1">
      <c r="B30" s="21"/>
      <c r="C30" s="22"/>
      <c r="D30" s="28"/>
      <c r="E30" s="29"/>
      <c r="F30" s="29"/>
      <c r="G30" s="29"/>
      <c r="H30" s="29"/>
      <c r="I30" s="29"/>
      <c r="J30" s="29"/>
      <c r="K30" s="30"/>
      <c r="L30" s="28"/>
      <c r="M30" s="29"/>
      <c r="N30" s="29"/>
      <c r="O30" s="29"/>
      <c r="P30" s="29"/>
      <c r="Q30" s="29"/>
      <c r="R30" s="29"/>
      <c r="S30" s="30"/>
      <c r="T30" s="28">
        <f t="shared" si="0"/>
        <v>0</v>
      </c>
      <c r="U30" s="29">
        <f t="shared" si="0"/>
        <v>0</v>
      </c>
      <c r="V30" s="29">
        <f t="shared" si="0"/>
        <v>0</v>
      </c>
      <c r="W30" s="29">
        <f t="shared" si="0"/>
        <v>0</v>
      </c>
      <c r="X30" s="29">
        <f t="shared" si="0"/>
        <v>0</v>
      </c>
      <c r="Y30" s="29">
        <f t="shared" si="0"/>
        <v>0</v>
      </c>
      <c r="Z30" s="29">
        <f t="shared" si="0"/>
        <v>0</v>
      </c>
      <c r="AA30" s="31" t="e">
        <f t="shared" si="1"/>
        <v>#DIV/0!</v>
      </c>
      <c r="AB30" s="33"/>
    </row>
    <row r="31" spans="2:28" ht="15" customHeight="1">
      <c r="B31" s="21"/>
      <c r="C31" s="22"/>
      <c r="D31" s="28"/>
      <c r="E31" s="29"/>
      <c r="F31" s="29"/>
      <c r="G31" s="29"/>
      <c r="H31" s="29"/>
      <c r="I31" s="29"/>
      <c r="J31" s="29"/>
      <c r="K31" s="30"/>
      <c r="L31" s="28"/>
      <c r="M31" s="29"/>
      <c r="N31" s="29"/>
      <c r="O31" s="29"/>
      <c r="P31" s="29"/>
      <c r="Q31" s="29"/>
      <c r="R31" s="29"/>
      <c r="S31" s="30"/>
      <c r="T31" s="28">
        <f t="shared" si="0"/>
        <v>0</v>
      </c>
      <c r="U31" s="29">
        <f t="shared" si="0"/>
        <v>0</v>
      </c>
      <c r="V31" s="29">
        <f t="shared" si="0"/>
        <v>0</v>
      </c>
      <c r="W31" s="29">
        <f t="shared" si="0"/>
        <v>0</v>
      </c>
      <c r="X31" s="29">
        <f t="shared" si="0"/>
        <v>0</v>
      </c>
      <c r="Y31" s="29">
        <f t="shared" si="0"/>
        <v>0</v>
      </c>
      <c r="Z31" s="29">
        <f t="shared" si="0"/>
        <v>0</v>
      </c>
      <c r="AA31" s="31" t="e">
        <f t="shared" si="1"/>
        <v>#DIV/0!</v>
      </c>
      <c r="AB31" s="33"/>
    </row>
    <row r="32" spans="2:28" ht="15" customHeight="1">
      <c r="B32" s="21"/>
      <c r="C32" s="22"/>
      <c r="D32" s="28"/>
      <c r="E32" s="29"/>
      <c r="F32" s="29"/>
      <c r="G32" s="29"/>
      <c r="H32" s="29"/>
      <c r="I32" s="29"/>
      <c r="J32" s="29"/>
      <c r="K32" s="30"/>
      <c r="L32" s="28"/>
      <c r="M32" s="29"/>
      <c r="N32" s="29"/>
      <c r="O32" s="29"/>
      <c r="P32" s="29"/>
      <c r="Q32" s="29"/>
      <c r="R32" s="29"/>
      <c r="S32" s="30"/>
      <c r="T32" s="28">
        <f t="shared" si="0"/>
        <v>0</v>
      </c>
      <c r="U32" s="29">
        <f t="shared" si="0"/>
        <v>0</v>
      </c>
      <c r="V32" s="29">
        <f t="shared" si="0"/>
        <v>0</v>
      </c>
      <c r="W32" s="29">
        <f t="shared" si="0"/>
        <v>0</v>
      </c>
      <c r="X32" s="29">
        <f t="shared" si="0"/>
        <v>0</v>
      </c>
      <c r="Y32" s="29">
        <f t="shared" si="0"/>
        <v>0</v>
      </c>
      <c r="Z32" s="29">
        <f t="shared" si="0"/>
        <v>0</v>
      </c>
      <c r="AA32" s="31" t="e">
        <f t="shared" si="1"/>
        <v>#DIV/0!</v>
      </c>
      <c r="AB32" s="33"/>
    </row>
    <row r="33" spans="2:28" ht="15" customHeight="1">
      <c r="B33" s="21"/>
      <c r="C33" s="22"/>
      <c r="D33" s="28"/>
      <c r="E33" s="29"/>
      <c r="F33" s="29"/>
      <c r="G33" s="29"/>
      <c r="H33" s="29"/>
      <c r="I33" s="29"/>
      <c r="J33" s="29"/>
      <c r="K33" s="30"/>
      <c r="L33" s="28"/>
      <c r="M33" s="29"/>
      <c r="N33" s="29"/>
      <c r="O33" s="29"/>
      <c r="P33" s="29"/>
      <c r="Q33" s="29"/>
      <c r="R33" s="29"/>
      <c r="S33" s="30"/>
      <c r="T33" s="28">
        <f t="shared" si="0"/>
        <v>0</v>
      </c>
      <c r="U33" s="29">
        <f t="shared" si="0"/>
        <v>0</v>
      </c>
      <c r="V33" s="29">
        <f t="shared" si="0"/>
        <v>0</v>
      </c>
      <c r="W33" s="29">
        <f t="shared" si="0"/>
        <v>0</v>
      </c>
      <c r="X33" s="29">
        <f t="shared" si="0"/>
        <v>0</v>
      </c>
      <c r="Y33" s="29">
        <f t="shared" si="0"/>
        <v>0</v>
      </c>
      <c r="Z33" s="29">
        <f t="shared" si="0"/>
        <v>0</v>
      </c>
      <c r="AA33" s="31" t="e">
        <f t="shared" si="1"/>
        <v>#DIV/0!</v>
      </c>
      <c r="AB33" s="33"/>
    </row>
    <row r="34" spans="2:28" ht="15" customHeight="1">
      <c r="B34" s="21"/>
      <c r="C34" s="22"/>
      <c r="D34" s="28"/>
      <c r="E34" s="29"/>
      <c r="F34" s="29"/>
      <c r="G34" s="29"/>
      <c r="H34" s="29"/>
      <c r="I34" s="29"/>
      <c r="J34" s="29"/>
      <c r="K34" s="30"/>
      <c r="L34" s="28"/>
      <c r="M34" s="29"/>
      <c r="N34" s="29"/>
      <c r="O34" s="29"/>
      <c r="P34" s="29"/>
      <c r="Q34" s="29"/>
      <c r="R34" s="29"/>
      <c r="S34" s="30"/>
      <c r="T34" s="28">
        <f t="shared" si="0"/>
        <v>0</v>
      </c>
      <c r="U34" s="29">
        <f t="shared" si="0"/>
        <v>0</v>
      </c>
      <c r="V34" s="29">
        <f t="shared" si="0"/>
        <v>0</v>
      </c>
      <c r="W34" s="29">
        <f t="shared" si="0"/>
        <v>0</v>
      </c>
      <c r="X34" s="29">
        <f t="shared" si="0"/>
        <v>0</v>
      </c>
      <c r="Y34" s="29">
        <f t="shared" si="0"/>
        <v>0</v>
      </c>
      <c r="Z34" s="29">
        <f t="shared" si="0"/>
        <v>0</v>
      </c>
      <c r="AA34" s="31" t="e">
        <f t="shared" si="1"/>
        <v>#DIV/0!</v>
      </c>
      <c r="AB34" s="33"/>
    </row>
    <row r="35" spans="2:28" ht="15" customHeight="1" thickBot="1">
      <c r="B35" s="21"/>
      <c r="C35" s="22"/>
      <c r="D35" s="34"/>
      <c r="E35" s="35"/>
      <c r="F35" s="35"/>
      <c r="G35" s="35"/>
      <c r="H35" s="35"/>
      <c r="I35" s="35"/>
      <c r="J35" s="35"/>
      <c r="K35" s="36"/>
      <c r="L35" s="34"/>
      <c r="M35" s="35"/>
      <c r="N35" s="35"/>
      <c r="O35" s="35"/>
      <c r="P35" s="35"/>
      <c r="Q35" s="35"/>
      <c r="R35" s="35"/>
      <c r="S35" s="36"/>
      <c r="T35" s="34">
        <f t="shared" si="0"/>
        <v>0</v>
      </c>
      <c r="U35" s="35">
        <f t="shared" si="0"/>
        <v>0</v>
      </c>
      <c r="V35" s="35">
        <f t="shared" si="0"/>
        <v>0</v>
      </c>
      <c r="W35" s="35">
        <f t="shared" si="0"/>
        <v>0</v>
      </c>
      <c r="X35" s="35">
        <f t="shared" si="0"/>
        <v>0</v>
      </c>
      <c r="Y35" s="35">
        <f t="shared" si="0"/>
        <v>0</v>
      </c>
      <c r="Z35" s="35">
        <f t="shared" si="0"/>
        <v>0</v>
      </c>
      <c r="AA35" s="37" t="e">
        <f t="shared" si="1"/>
        <v>#DIV/0!</v>
      </c>
      <c r="AB35" s="38"/>
    </row>
    <row r="36" spans="2:28" ht="33" customHeight="1">
      <c r="B36" s="221" t="s">
        <v>42</v>
      </c>
      <c r="C36" s="222"/>
      <c r="D36" s="223"/>
      <c r="E36" s="224"/>
      <c r="F36" s="224"/>
      <c r="G36" s="224"/>
      <c r="H36" s="224"/>
      <c r="I36" s="225"/>
      <c r="J36" s="226" t="s">
        <v>43</v>
      </c>
      <c r="K36" s="226"/>
      <c r="L36" s="226"/>
      <c r="M36" s="226"/>
      <c r="N36" s="226"/>
      <c r="O36" s="226"/>
      <c r="P36" s="226"/>
      <c r="Q36" s="165" t="s">
        <v>44</v>
      </c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6"/>
    </row>
    <row r="37" spans="2:28" ht="33" customHeight="1">
      <c r="B37" s="227" t="s">
        <v>45</v>
      </c>
      <c r="C37" s="228"/>
      <c r="D37" s="170" t="s">
        <v>46</v>
      </c>
      <c r="E37" s="171"/>
      <c r="F37" s="171"/>
      <c r="G37" s="171"/>
      <c r="H37" s="171"/>
      <c r="I37" s="172"/>
      <c r="J37" s="229" t="s">
        <v>47</v>
      </c>
      <c r="K37" s="230"/>
      <c r="L37" s="230"/>
      <c r="M37" s="230"/>
      <c r="N37" s="230"/>
      <c r="O37" s="230"/>
      <c r="P37" s="231"/>
      <c r="Q37" s="235" t="s">
        <v>48</v>
      </c>
      <c r="R37" s="178"/>
      <c r="S37" s="178"/>
      <c r="T37" s="178"/>
      <c r="U37" s="178"/>
      <c r="V37" s="178"/>
      <c r="W37" s="178"/>
      <c r="X37" s="178"/>
      <c r="Y37" s="178"/>
      <c r="Z37" s="178"/>
      <c r="AA37" s="178"/>
      <c r="AB37" s="178"/>
    </row>
    <row r="38" spans="2:28" ht="33" customHeight="1" thickBot="1">
      <c r="B38" s="237" t="s">
        <v>49</v>
      </c>
      <c r="C38" s="238"/>
      <c r="D38" s="239" t="s">
        <v>50</v>
      </c>
      <c r="E38" s="186"/>
      <c r="F38" s="186"/>
      <c r="G38" s="186"/>
      <c r="H38" s="186"/>
      <c r="I38" s="187"/>
      <c r="J38" s="232"/>
      <c r="K38" s="233"/>
      <c r="L38" s="233"/>
      <c r="M38" s="233"/>
      <c r="N38" s="233"/>
      <c r="O38" s="233"/>
      <c r="P38" s="234"/>
      <c r="Q38" s="236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</row>
    <row r="39" spans="2:28" ht="15" customHeight="1"/>
    <row r="40" spans="2:28" ht="15" customHeight="1"/>
    <row r="41" spans="2:28" ht="15" customHeight="1"/>
    <row r="42" spans="2:28" ht="15" customHeight="1"/>
    <row r="43" spans="2:28" ht="15" customHeight="1"/>
    <row r="44" spans="2:28" ht="15" customHeight="1"/>
    <row r="45" spans="2:28" ht="15" customHeight="1"/>
    <row r="46" spans="2:28" ht="15" customHeight="1"/>
    <row r="47" spans="2:28" ht="15" customHeight="1"/>
    <row r="48" spans="2:28" ht="15" customHeight="1"/>
    <row r="49" customFormat="1" ht="15" customHeight="1"/>
    <row r="50" customFormat="1" ht="15" customHeight="1"/>
    <row r="51" customFormat="1" ht="15" customHeight="1"/>
    <row r="52" customFormat="1" ht="15" customHeight="1"/>
    <row r="53" customFormat="1" ht="15" customHeight="1"/>
    <row r="54" customFormat="1" ht="15" customHeight="1"/>
    <row r="55" customFormat="1" ht="15" customHeight="1"/>
    <row r="56" customFormat="1" ht="15" customHeight="1"/>
    <row r="57" customFormat="1" ht="15" customHeight="1"/>
    <row r="58" customFormat="1" ht="15" customHeight="1"/>
    <row r="59" customFormat="1" ht="15" customHeight="1"/>
    <row r="60" customFormat="1" ht="15" customHeight="1"/>
    <row r="61" customFormat="1" ht="15" customHeight="1"/>
    <row r="62" customFormat="1" ht="15" customHeight="1"/>
    <row r="63" customFormat="1" ht="15" customHeight="1"/>
    <row r="64" customFormat="1" ht="15" customHeight="1"/>
    <row r="65" customFormat="1" ht="15" customHeight="1"/>
    <row r="66" customFormat="1" ht="33.75" customHeight="1"/>
    <row r="67" customFormat="1" ht="33.75" customHeight="1"/>
    <row r="68" customFormat="1" ht="33.75" customHeight="1"/>
  </sheetData>
  <mergeCells count="35">
    <mergeCell ref="B36:C36"/>
    <mergeCell ref="D36:I36"/>
    <mergeCell ref="J36:P36"/>
    <mergeCell ref="Q36:AB36"/>
    <mergeCell ref="B37:C37"/>
    <mergeCell ref="D37:I37"/>
    <mergeCell ref="J37:P38"/>
    <mergeCell ref="Q37:AB38"/>
    <mergeCell ref="B38:C38"/>
    <mergeCell ref="D38:I38"/>
    <mergeCell ref="AB10:AB11"/>
    <mergeCell ref="B7:C7"/>
    <mergeCell ref="D7:J7"/>
    <mergeCell ref="L7:R7"/>
    <mergeCell ref="T7:X7"/>
    <mergeCell ref="Y7:Z7"/>
    <mergeCell ref="B8:C8"/>
    <mergeCell ref="D8:J8"/>
    <mergeCell ref="L8:R8"/>
    <mergeCell ref="T8:X8"/>
    <mergeCell ref="Y8:Z8"/>
    <mergeCell ref="B10:B11"/>
    <mergeCell ref="C10:C11"/>
    <mergeCell ref="D10:K10"/>
    <mergeCell ref="L10:S10"/>
    <mergeCell ref="T10:AA10"/>
    <mergeCell ref="B1:C4"/>
    <mergeCell ref="D1:Z2"/>
    <mergeCell ref="AB1:AB4"/>
    <mergeCell ref="D3:Z4"/>
    <mergeCell ref="B6:C6"/>
    <mergeCell ref="D6:J6"/>
    <mergeCell ref="L6:R6"/>
    <mergeCell ref="T6:X6"/>
    <mergeCell ref="Y6:Z6"/>
  </mergeCells>
  <conditionalFormatting sqref="T12:T35">
    <cfRule type="cellIs" dxfId="92" priority="15" operator="greaterThan">
      <formula>0.51</formula>
    </cfRule>
    <cfRule type="cellIs" dxfId="91" priority="16" operator="lessThan">
      <formula>0.5</formula>
    </cfRule>
  </conditionalFormatting>
  <conditionalFormatting sqref="U12:U35">
    <cfRule type="cellIs" dxfId="90" priority="13" operator="greaterThan">
      <formula>5.1</formula>
    </cfRule>
    <cfRule type="cellIs" dxfId="89" priority="14" operator="lessThan">
      <formula>5</formula>
    </cfRule>
  </conditionalFormatting>
  <conditionalFormatting sqref="V12:V35">
    <cfRule type="cellIs" dxfId="88" priority="11" operator="greaterThan">
      <formula>1.1</formula>
    </cfRule>
    <cfRule type="cellIs" dxfId="87" priority="12" operator="lessThan">
      <formula>1</formula>
    </cfRule>
  </conditionalFormatting>
  <conditionalFormatting sqref="W12:W35">
    <cfRule type="cellIs" dxfId="86" priority="9" operator="greaterThan">
      <formula>22.6</formula>
    </cfRule>
    <cfRule type="cellIs" dxfId="85" priority="10" operator="lessThan">
      <formula>22.5</formula>
    </cfRule>
  </conditionalFormatting>
  <conditionalFormatting sqref="X12:X35">
    <cfRule type="cellIs" dxfId="84" priority="7" operator="greaterThan">
      <formula>1.1</formula>
    </cfRule>
    <cfRule type="cellIs" dxfId="83" priority="8" operator="lessThan">
      <formula>1</formula>
    </cfRule>
  </conditionalFormatting>
  <conditionalFormatting sqref="Y12:Y35">
    <cfRule type="cellIs" dxfId="82" priority="5" operator="greaterThan">
      <formula>90.1</formula>
    </cfRule>
    <cfRule type="cellIs" dxfId="81" priority="6" operator="lessThan">
      <formula>90</formula>
    </cfRule>
  </conditionalFormatting>
  <conditionalFormatting sqref="Z12:Z35">
    <cfRule type="cellIs" dxfId="80" priority="3" operator="greaterThan">
      <formula>0.9</formula>
    </cfRule>
    <cfRule type="cellIs" dxfId="79" priority="4" operator="lessThan">
      <formula>0.8</formula>
    </cfRule>
  </conditionalFormatting>
  <conditionalFormatting sqref="AA12:AA35">
    <cfRule type="cellIs" dxfId="78" priority="1" operator="lessThan">
      <formula>0.05</formula>
    </cfRule>
    <cfRule type="cellIs" dxfId="77" priority="2" operator="greaterThan">
      <formula>0.05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923F7-F699-44BF-AD26-5EE355BE585C}">
  <dimension ref="B1:AB68"/>
  <sheetViews>
    <sheetView topLeftCell="O1" zoomScale="98" zoomScaleNormal="98" workbookViewId="0">
      <selection activeCell="W19" sqref="W19"/>
    </sheetView>
  </sheetViews>
  <sheetFormatPr baseColWidth="10" defaultColWidth="11.42578125" defaultRowHeight="15"/>
  <cols>
    <col min="1" max="1" width="0.28515625" customWidth="1"/>
    <col min="2" max="2" width="11.28515625" customWidth="1"/>
    <col min="3" max="3" width="14" customWidth="1"/>
    <col min="4" max="27" width="8.7109375" customWidth="1"/>
    <col min="28" max="28" width="20.85546875" bestFit="1" customWidth="1"/>
  </cols>
  <sheetData>
    <row r="1" spans="2:28" ht="18" customHeight="1">
      <c r="B1" s="106"/>
      <c r="C1" s="188"/>
      <c r="D1" s="191" t="s">
        <v>6</v>
      </c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3"/>
      <c r="AA1" s="2"/>
      <c r="AB1" s="194" t="s">
        <v>7</v>
      </c>
    </row>
    <row r="2" spans="2:28" ht="18" customHeight="1">
      <c r="B2" s="108"/>
      <c r="C2" s="189"/>
      <c r="D2" s="191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3"/>
      <c r="AA2" s="2"/>
      <c r="AB2" s="195"/>
    </row>
    <row r="3" spans="2:28" ht="18" customHeight="1">
      <c r="B3" s="108"/>
      <c r="C3" s="189"/>
      <c r="D3" s="191" t="s">
        <v>8</v>
      </c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3"/>
      <c r="AA3" s="2"/>
      <c r="AB3" s="195"/>
    </row>
    <row r="4" spans="2:28" ht="18" customHeight="1" thickBot="1">
      <c r="B4" s="110"/>
      <c r="C4" s="190"/>
      <c r="D4" s="197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9"/>
      <c r="AA4" s="3"/>
      <c r="AB4" s="196"/>
    </row>
    <row r="5" spans="2:28" ht="15" customHeight="1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2:28" ht="33.75" customHeight="1">
      <c r="B6" s="200" t="s">
        <v>9</v>
      </c>
      <c r="C6" s="200"/>
      <c r="D6" s="131" t="s">
        <v>74</v>
      </c>
      <c r="E6" s="132"/>
      <c r="F6" s="132"/>
      <c r="G6" s="132"/>
      <c r="H6" s="132"/>
      <c r="I6" s="132"/>
      <c r="J6" s="132"/>
      <c r="K6" s="133"/>
      <c r="L6" s="202" t="s">
        <v>10</v>
      </c>
      <c r="M6" s="202"/>
      <c r="N6" s="202"/>
      <c r="O6" s="202"/>
      <c r="P6" s="202"/>
      <c r="Q6" s="202"/>
      <c r="R6" s="202"/>
      <c r="S6" s="6"/>
      <c r="T6" s="202" t="s">
        <v>11</v>
      </c>
      <c r="U6" s="202"/>
      <c r="V6" s="202"/>
      <c r="W6" s="202"/>
      <c r="X6" s="202"/>
      <c r="Y6" s="202" t="s">
        <v>12</v>
      </c>
      <c r="Z6" s="202"/>
      <c r="AA6" s="240" t="s">
        <v>13</v>
      </c>
      <c r="AB6" s="241"/>
    </row>
    <row r="7" spans="2:28" ht="33.75" customHeight="1">
      <c r="B7" s="200" t="s">
        <v>14</v>
      </c>
      <c r="C7" s="200"/>
      <c r="D7" s="131" t="s">
        <v>75</v>
      </c>
      <c r="E7" s="132"/>
      <c r="F7" s="132"/>
      <c r="G7" s="132"/>
      <c r="H7" s="132"/>
      <c r="I7" s="132"/>
      <c r="J7" s="132"/>
      <c r="K7" s="133"/>
      <c r="L7" s="140" t="s">
        <v>15</v>
      </c>
      <c r="M7" s="141"/>
      <c r="N7" s="141"/>
      <c r="O7" s="141"/>
      <c r="P7" s="141"/>
      <c r="Q7" s="141"/>
      <c r="R7" s="141"/>
      <c r="S7" s="142"/>
      <c r="T7" s="140" t="s">
        <v>77</v>
      </c>
      <c r="U7" s="141"/>
      <c r="V7" s="141"/>
      <c r="W7" s="141"/>
      <c r="X7" s="142"/>
      <c r="Y7" s="143">
        <v>6262</v>
      </c>
      <c r="Z7" s="144"/>
      <c r="AA7" s="104" t="s">
        <v>81</v>
      </c>
      <c r="AB7" s="105"/>
    </row>
    <row r="8" spans="2:28" ht="33.75" customHeight="1">
      <c r="B8" s="200" t="s">
        <v>16</v>
      </c>
      <c r="C8" s="200"/>
      <c r="D8" s="131" t="s">
        <v>76</v>
      </c>
      <c r="E8" s="132"/>
      <c r="F8" s="132"/>
      <c r="G8" s="132"/>
      <c r="H8" s="132"/>
      <c r="I8" s="132"/>
      <c r="J8" s="132"/>
      <c r="K8" s="133"/>
      <c r="L8" s="140" t="s">
        <v>78</v>
      </c>
      <c r="M8" s="141"/>
      <c r="N8" s="141"/>
      <c r="O8" s="141"/>
      <c r="P8" s="141"/>
      <c r="Q8" s="141"/>
      <c r="R8" s="141"/>
      <c r="S8" s="142"/>
      <c r="T8" s="140" t="s">
        <v>77</v>
      </c>
      <c r="U8" s="141"/>
      <c r="V8" s="141"/>
      <c r="W8" s="141"/>
      <c r="X8" s="142"/>
      <c r="Y8" s="143">
        <v>6327</v>
      </c>
      <c r="Z8" s="144"/>
      <c r="AA8" s="104" t="s">
        <v>79</v>
      </c>
      <c r="AB8" s="105"/>
    </row>
    <row r="9" spans="2:28" ht="22.5" customHeight="1" thickBot="1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2:28" ht="22.5" customHeight="1" thickBot="1">
      <c r="B10" s="208" t="s">
        <v>18</v>
      </c>
      <c r="C10" s="210" t="s">
        <v>19</v>
      </c>
      <c r="D10" s="212" t="s">
        <v>20</v>
      </c>
      <c r="E10" s="213"/>
      <c r="F10" s="213"/>
      <c r="G10" s="213"/>
      <c r="H10" s="213"/>
      <c r="I10" s="213"/>
      <c r="J10" s="213"/>
      <c r="K10" s="214"/>
      <c r="L10" s="215" t="s">
        <v>21</v>
      </c>
      <c r="M10" s="216"/>
      <c r="N10" s="216"/>
      <c r="O10" s="216"/>
      <c r="P10" s="216"/>
      <c r="Q10" s="216"/>
      <c r="R10" s="216"/>
      <c r="S10" s="217"/>
      <c r="T10" s="218" t="s">
        <v>22</v>
      </c>
      <c r="U10" s="219"/>
      <c r="V10" s="219"/>
      <c r="W10" s="219"/>
      <c r="X10" s="219"/>
      <c r="Y10" s="219"/>
      <c r="Z10" s="219"/>
      <c r="AA10" s="220"/>
      <c r="AB10" s="203" t="s">
        <v>23</v>
      </c>
    </row>
    <row r="11" spans="2:28" ht="48.75" customHeight="1" thickBot="1">
      <c r="B11" s="209"/>
      <c r="C11" s="211"/>
      <c r="D11" s="12" t="s">
        <v>24</v>
      </c>
      <c r="E11" s="13" t="s">
        <v>25</v>
      </c>
      <c r="F11" s="13" t="s">
        <v>26</v>
      </c>
      <c r="G11" s="13" t="s">
        <v>27</v>
      </c>
      <c r="H11" s="13" t="s">
        <v>28</v>
      </c>
      <c r="I11" s="13" t="s">
        <v>29</v>
      </c>
      <c r="J11" s="13" t="s">
        <v>30</v>
      </c>
      <c r="K11" s="14" t="s">
        <v>31</v>
      </c>
      <c r="L11" s="15" t="s">
        <v>32</v>
      </c>
      <c r="M11" s="16" t="s">
        <v>25</v>
      </c>
      <c r="N11" s="16" t="s">
        <v>26</v>
      </c>
      <c r="O11" s="16" t="s">
        <v>27</v>
      </c>
      <c r="P11" s="16" t="s">
        <v>28</v>
      </c>
      <c r="Q11" s="16" t="s">
        <v>29</v>
      </c>
      <c r="R11" s="16" t="s">
        <v>33</v>
      </c>
      <c r="S11" s="17" t="s">
        <v>31</v>
      </c>
      <c r="T11" s="18" t="s">
        <v>34</v>
      </c>
      <c r="U11" s="19" t="s">
        <v>35</v>
      </c>
      <c r="V11" s="19" t="s">
        <v>36</v>
      </c>
      <c r="W11" s="19" t="s">
        <v>37</v>
      </c>
      <c r="X11" s="19" t="s">
        <v>38</v>
      </c>
      <c r="Y11" s="19" t="s">
        <v>39</v>
      </c>
      <c r="Z11" s="19" t="s">
        <v>40</v>
      </c>
      <c r="AA11" s="20" t="s">
        <v>41</v>
      </c>
      <c r="AB11" s="204"/>
    </row>
    <row r="12" spans="2:28" ht="15" customHeight="1" thickBot="1">
      <c r="B12" s="81">
        <v>45252</v>
      </c>
      <c r="C12" s="82">
        <v>45252</v>
      </c>
      <c r="D12" s="83">
        <v>13.8866</v>
      </c>
      <c r="E12" s="58">
        <v>85.026499999999999</v>
      </c>
      <c r="F12" s="58">
        <v>564.49</v>
      </c>
      <c r="G12" s="58">
        <v>282.56</v>
      </c>
      <c r="H12" s="58">
        <v>0.44</v>
      </c>
      <c r="I12" s="58">
        <v>0</v>
      </c>
      <c r="J12" s="58"/>
      <c r="K12" s="84">
        <v>0</v>
      </c>
      <c r="L12" s="83">
        <v>14.17</v>
      </c>
      <c r="M12" s="58">
        <v>82.55</v>
      </c>
      <c r="N12" s="58">
        <v>564.49</v>
      </c>
      <c r="O12" s="58">
        <v>273.56</v>
      </c>
      <c r="P12" s="58">
        <v>0.44</v>
      </c>
      <c r="Q12" s="58">
        <v>0</v>
      </c>
      <c r="R12" s="58"/>
      <c r="S12" s="84">
        <v>0</v>
      </c>
      <c r="T12" s="83">
        <f t="shared" ref="T12:Z15" si="0">+ABS(L12-D12)</f>
        <v>0.28340000000000032</v>
      </c>
      <c r="U12" s="58">
        <f t="shared" si="0"/>
        <v>2.4765000000000015</v>
      </c>
      <c r="V12" s="58">
        <f t="shared" si="0"/>
        <v>0</v>
      </c>
      <c r="W12" s="58">
        <f t="shared" si="0"/>
        <v>9</v>
      </c>
      <c r="X12" s="58">
        <f t="shared" si="0"/>
        <v>0</v>
      </c>
      <c r="Y12" s="58">
        <f t="shared" si="0"/>
        <v>0</v>
      </c>
      <c r="Z12" s="58">
        <f t="shared" si="0"/>
        <v>0</v>
      </c>
      <c r="AA12" s="26">
        <f>IF(AND(K12=0, S12=0), 0, IF(K12=0, 1, ABS((S12-K12)/K12)))</f>
        <v>0</v>
      </c>
      <c r="AB12" s="27" t="str">
        <f>+IF(AND(T12&lt;=0.5,U12&lt;=5,V12&lt;=1,W12&lt;=22.5,X12&lt;=1,Y12&lt;=90,Z12&lt;=0.8,AA12&lt;=5%),"Cumple","No cumple")</f>
        <v>Cumple</v>
      </c>
    </row>
    <row r="13" spans="2:28" ht="15" customHeight="1" thickBot="1">
      <c r="B13" s="81">
        <v>45252.041666666664</v>
      </c>
      <c r="C13" s="82">
        <v>45252.041666666664</v>
      </c>
      <c r="D13" s="85">
        <v>13.4162</v>
      </c>
      <c r="E13" s="62">
        <v>88.075299999999999</v>
      </c>
      <c r="F13" s="62">
        <v>563.96</v>
      </c>
      <c r="G13" s="62">
        <v>232.87</v>
      </c>
      <c r="H13" s="62">
        <v>1.35</v>
      </c>
      <c r="I13" s="62">
        <v>0</v>
      </c>
      <c r="J13" s="62"/>
      <c r="K13" s="86">
        <v>0</v>
      </c>
      <c r="L13" s="85">
        <v>13.69</v>
      </c>
      <c r="M13" s="62">
        <v>85.51</v>
      </c>
      <c r="N13" s="62">
        <v>563.96</v>
      </c>
      <c r="O13" s="62">
        <v>224.87</v>
      </c>
      <c r="P13" s="62">
        <v>0.35</v>
      </c>
      <c r="Q13" s="62">
        <v>0</v>
      </c>
      <c r="R13" s="62"/>
      <c r="S13" s="86">
        <v>0</v>
      </c>
      <c r="T13" s="85">
        <f t="shared" si="0"/>
        <v>0.2737999999999996</v>
      </c>
      <c r="U13" s="62">
        <f t="shared" si="0"/>
        <v>2.5652999999999935</v>
      </c>
      <c r="V13" s="62">
        <f t="shared" si="0"/>
        <v>0</v>
      </c>
      <c r="W13" s="62">
        <f t="shared" si="0"/>
        <v>8</v>
      </c>
      <c r="X13" s="62">
        <f t="shared" si="0"/>
        <v>1</v>
      </c>
      <c r="Y13" s="62">
        <f t="shared" si="0"/>
        <v>0</v>
      </c>
      <c r="Z13" s="62">
        <f t="shared" si="0"/>
        <v>0</v>
      </c>
      <c r="AA13" s="26">
        <f t="shared" ref="AA13:AA15" si="1">IF(AND(K13=0, S13=0), 0, IF(K13=0, 1, ABS((S13-K13)/K13)))</f>
        <v>0</v>
      </c>
      <c r="AB13" s="27" t="str">
        <f t="shared" ref="AB13:AB35" si="2">+IF(AND(T13&lt;=0.5,U13&lt;=5,V13&lt;=1,W13&lt;=22.5,X13&lt;=1,Y13&lt;=90,Z13&lt;=0.8,AA13&lt;=5%),"Cumple","No cumple")</f>
        <v>Cumple</v>
      </c>
    </row>
    <row r="14" spans="2:28" ht="15" customHeight="1" thickBot="1">
      <c r="B14" s="81">
        <v>45252.083333333336</v>
      </c>
      <c r="C14" s="82">
        <v>45252.083333333336</v>
      </c>
      <c r="D14" s="85">
        <v>13.2104</v>
      </c>
      <c r="E14" s="62">
        <v>87.395499999999998</v>
      </c>
      <c r="F14" s="62">
        <v>564.66999999999996</v>
      </c>
      <c r="G14" s="62">
        <v>239.34</v>
      </c>
      <c r="H14" s="62">
        <v>0.18</v>
      </c>
      <c r="I14" s="62">
        <v>0</v>
      </c>
      <c r="J14" s="62"/>
      <c r="K14" s="86">
        <v>0</v>
      </c>
      <c r="L14" s="85">
        <v>13.48</v>
      </c>
      <c r="M14" s="62">
        <v>84.85</v>
      </c>
      <c r="N14" s="62">
        <v>563.66999999999996</v>
      </c>
      <c r="O14" s="62">
        <v>236.34</v>
      </c>
      <c r="P14" s="62">
        <v>0.18</v>
      </c>
      <c r="Q14" s="62">
        <v>0</v>
      </c>
      <c r="R14" s="62"/>
      <c r="S14" s="86">
        <v>0</v>
      </c>
      <c r="T14" s="85">
        <f t="shared" si="0"/>
        <v>0.26960000000000051</v>
      </c>
      <c r="U14" s="62">
        <f t="shared" si="0"/>
        <v>2.5455000000000041</v>
      </c>
      <c r="V14" s="62">
        <f t="shared" si="0"/>
        <v>1</v>
      </c>
      <c r="W14" s="62">
        <f t="shared" si="0"/>
        <v>3</v>
      </c>
      <c r="X14" s="62">
        <f t="shared" si="0"/>
        <v>0</v>
      </c>
      <c r="Y14" s="62">
        <f t="shared" si="0"/>
        <v>0</v>
      </c>
      <c r="Z14" s="62">
        <f t="shared" si="0"/>
        <v>0</v>
      </c>
      <c r="AA14" s="26">
        <f>IF(AND(K14=0, S14=0), 0, IF(K14=0, 1, ABS((S14-K14)/K14)))</f>
        <v>0</v>
      </c>
      <c r="AB14" s="27" t="str">
        <f t="shared" si="2"/>
        <v>Cumple</v>
      </c>
    </row>
    <row r="15" spans="2:28" ht="15" customHeight="1" thickBot="1">
      <c r="B15" s="81">
        <v>45252.125</v>
      </c>
      <c r="C15" s="82">
        <v>45252.125</v>
      </c>
      <c r="D15" s="85">
        <v>12.8674</v>
      </c>
      <c r="E15" s="62">
        <v>88.343099999999993</v>
      </c>
      <c r="F15" s="62">
        <v>564.52</v>
      </c>
      <c r="G15" s="62">
        <v>281.98</v>
      </c>
      <c r="H15" s="62">
        <v>0.28999999999999998</v>
      </c>
      <c r="I15" s="62">
        <v>0</v>
      </c>
      <c r="J15" s="62"/>
      <c r="K15" s="86">
        <v>0</v>
      </c>
      <c r="L15" s="85">
        <v>13.13</v>
      </c>
      <c r="M15" s="62">
        <v>85.77</v>
      </c>
      <c r="N15" s="62">
        <v>563.52</v>
      </c>
      <c r="O15" s="62">
        <v>274.98</v>
      </c>
      <c r="P15" s="62">
        <v>0.28999999999999998</v>
      </c>
      <c r="Q15" s="62">
        <v>0</v>
      </c>
      <c r="R15" s="62"/>
      <c r="S15" s="86">
        <v>0</v>
      </c>
      <c r="T15" s="85">
        <f t="shared" si="0"/>
        <v>0.26260000000000083</v>
      </c>
      <c r="U15" s="62">
        <f t="shared" si="0"/>
        <v>2.5730999999999966</v>
      </c>
      <c r="V15" s="62">
        <f t="shared" si="0"/>
        <v>1</v>
      </c>
      <c r="W15" s="62">
        <f t="shared" si="0"/>
        <v>7</v>
      </c>
      <c r="X15" s="62">
        <f t="shared" si="0"/>
        <v>0</v>
      </c>
      <c r="Y15" s="62">
        <f t="shared" si="0"/>
        <v>0</v>
      </c>
      <c r="Z15" s="62">
        <f t="shared" si="0"/>
        <v>0</v>
      </c>
      <c r="AA15" s="26">
        <f t="shared" si="1"/>
        <v>0</v>
      </c>
      <c r="AB15" s="27" t="str">
        <f t="shared" si="2"/>
        <v>Cumple</v>
      </c>
    </row>
    <row r="16" spans="2:28" ht="15" customHeight="1" thickBot="1">
      <c r="B16" s="81">
        <v>45252.166666666664</v>
      </c>
      <c r="C16" s="82">
        <v>45252.166666666664</v>
      </c>
      <c r="D16" s="85">
        <v>11.926600000000001</v>
      </c>
      <c r="E16" s="62">
        <v>91.072600000000008</v>
      </c>
      <c r="F16" s="62">
        <v>563.79</v>
      </c>
      <c r="G16" s="62">
        <v>303.04000000000002</v>
      </c>
      <c r="H16" s="62">
        <v>1.3</v>
      </c>
      <c r="I16" s="62">
        <v>0</v>
      </c>
      <c r="J16" s="62"/>
      <c r="K16" s="86">
        <v>0</v>
      </c>
      <c r="L16" s="85">
        <v>12.17</v>
      </c>
      <c r="M16" s="62">
        <v>88.42</v>
      </c>
      <c r="N16" s="62">
        <v>563.79</v>
      </c>
      <c r="O16" s="62">
        <v>294.04000000000002</v>
      </c>
      <c r="P16" s="62">
        <v>0.3</v>
      </c>
      <c r="Q16" s="62">
        <v>0</v>
      </c>
      <c r="R16" s="62"/>
      <c r="S16" s="86">
        <v>0</v>
      </c>
      <c r="T16" s="85">
        <f t="shared" ref="T16:T35" si="3">+ABS(L16-D16)</f>
        <v>0.24339999999999939</v>
      </c>
      <c r="U16" s="62">
        <f t="shared" ref="U16:U35" si="4">+ABS(M16-E16)</f>
        <v>2.6526000000000067</v>
      </c>
      <c r="V16" s="62">
        <f t="shared" ref="V16:V35" si="5">+ABS(N16-F16)</f>
        <v>0</v>
      </c>
      <c r="W16" s="62">
        <f t="shared" ref="W16:W35" si="6">+ABS(O16-G16)</f>
        <v>9</v>
      </c>
      <c r="X16" s="62">
        <f t="shared" ref="X16:X35" si="7">+ABS(P16-H16)</f>
        <v>1</v>
      </c>
      <c r="Y16" s="62">
        <f t="shared" ref="Y16:Y35" si="8">+ABS(Q16-I16)</f>
        <v>0</v>
      </c>
      <c r="Z16" s="62">
        <f t="shared" ref="Z16:Z35" si="9">+ABS(R16-J16)</f>
        <v>0</v>
      </c>
      <c r="AA16" s="26">
        <f t="shared" ref="AA16:AA35" si="10">IF(AND(K16=0, S16=0), 0, IF(K16=0, 1, ABS((S16-K16)/K16)))</f>
        <v>0</v>
      </c>
      <c r="AB16" s="27" t="str">
        <f t="shared" si="2"/>
        <v>Cumple</v>
      </c>
    </row>
    <row r="17" spans="2:28" ht="15" customHeight="1" thickBot="1">
      <c r="B17" s="81">
        <v>45252.208333333336</v>
      </c>
      <c r="C17" s="82">
        <v>45252.208333333336</v>
      </c>
      <c r="D17" s="85">
        <v>11.4856</v>
      </c>
      <c r="E17" s="62">
        <v>91.67</v>
      </c>
      <c r="F17" s="62">
        <v>564.24</v>
      </c>
      <c r="G17" s="62">
        <v>298.72000000000003</v>
      </c>
      <c r="H17" s="62">
        <v>1.27</v>
      </c>
      <c r="I17" s="62">
        <v>0</v>
      </c>
      <c r="J17" s="62"/>
      <c r="K17" s="86">
        <v>0</v>
      </c>
      <c r="L17" s="85">
        <v>11.72</v>
      </c>
      <c r="M17" s="62">
        <v>89</v>
      </c>
      <c r="N17" s="62">
        <v>564.24</v>
      </c>
      <c r="O17" s="62">
        <v>296.72000000000003</v>
      </c>
      <c r="P17" s="62">
        <v>0.27</v>
      </c>
      <c r="Q17" s="62">
        <v>0</v>
      </c>
      <c r="R17" s="62"/>
      <c r="S17" s="86">
        <v>0</v>
      </c>
      <c r="T17" s="85">
        <f t="shared" si="3"/>
        <v>0.23440000000000083</v>
      </c>
      <c r="U17" s="62">
        <f t="shared" si="4"/>
        <v>2.6700000000000017</v>
      </c>
      <c r="V17" s="62">
        <f t="shared" si="5"/>
        <v>0</v>
      </c>
      <c r="W17" s="62">
        <f t="shared" si="6"/>
        <v>2</v>
      </c>
      <c r="X17" s="62">
        <f t="shared" si="7"/>
        <v>1</v>
      </c>
      <c r="Y17" s="62">
        <f t="shared" si="8"/>
        <v>0</v>
      </c>
      <c r="Z17" s="62">
        <f t="shared" si="9"/>
        <v>0</v>
      </c>
      <c r="AA17" s="26">
        <f t="shared" si="10"/>
        <v>0</v>
      </c>
      <c r="AB17" s="27" t="str">
        <f t="shared" si="2"/>
        <v>Cumple</v>
      </c>
    </row>
    <row r="18" spans="2:28" ht="15" customHeight="1" thickBot="1">
      <c r="B18" s="81">
        <v>45252.25</v>
      </c>
      <c r="C18" s="82">
        <v>45252.25</v>
      </c>
      <c r="D18" s="85">
        <v>11.5542</v>
      </c>
      <c r="E18" s="62">
        <v>93.112000000000009</v>
      </c>
      <c r="F18" s="62">
        <v>565.61</v>
      </c>
      <c r="G18" s="62">
        <v>230.49</v>
      </c>
      <c r="H18" s="62">
        <v>0.16</v>
      </c>
      <c r="I18" s="62">
        <v>114.11</v>
      </c>
      <c r="J18" s="62"/>
      <c r="K18" s="86">
        <v>0</v>
      </c>
      <c r="L18" s="85">
        <v>11.79</v>
      </c>
      <c r="M18" s="62">
        <v>90.4</v>
      </c>
      <c r="N18" s="62">
        <v>564.61</v>
      </c>
      <c r="O18" s="62">
        <v>225.49</v>
      </c>
      <c r="P18" s="62">
        <v>0.16</v>
      </c>
      <c r="Q18" s="62">
        <v>34.11</v>
      </c>
      <c r="R18" s="62"/>
      <c r="S18" s="86">
        <v>0</v>
      </c>
      <c r="T18" s="85">
        <f t="shared" si="3"/>
        <v>0.23579999999999934</v>
      </c>
      <c r="U18" s="62">
        <f t="shared" si="4"/>
        <v>2.7120000000000033</v>
      </c>
      <c r="V18" s="62">
        <f t="shared" si="5"/>
        <v>1</v>
      </c>
      <c r="W18" s="62">
        <f t="shared" si="6"/>
        <v>5</v>
      </c>
      <c r="X18" s="62">
        <f t="shared" si="7"/>
        <v>0</v>
      </c>
      <c r="Y18" s="62">
        <f t="shared" si="8"/>
        <v>80</v>
      </c>
      <c r="Z18" s="62">
        <f t="shared" si="9"/>
        <v>0</v>
      </c>
      <c r="AA18" s="26">
        <f t="shared" si="10"/>
        <v>0</v>
      </c>
      <c r="AB18" s="27" t="str">
        <f t="shared" si="2"/>
        <v>Cumple</v>
      </c>
    </row>
    <row r="19" spans="2:28" ht="15" customHeight="1" thickBot="1">
      <c r="B19" s="81">
        <v>45252.291666666664</v>
      </c>
      <c r="C19" s="82">
        <v>45252.291666666664</v>
      </c>
      <c r="D19" s="85">
        <v>13.8278</v>
      </c>
      <c r="E19" s="62">
        <v>86.5715</v>
      </c>
      <c r="F19" s="62">
        <v>565.91</v>
      </c>
      <c r="G19" s="62">
        <v>56.69</v>
      </c>
      <c r="H19" s="62">
        <v>0.71</v>
      </c>
      <c r="I19" s="62">
        <v>166.16</v>
      </c>
      <c r="J19" s="62"/>
      <c r="K19" s="86">
        <v>0</v>
      </c>
      <c r="L19" s="85">
        <v>14.11</v>
      </c>
      <c r="M19" s="62">
        <v>84.05</v>
      </c>
      <c r="N19" s="62">
        <v>564.91</v>
      </c>
      <c r="O19" s="62">
        <v>50.69</v>
      </c>
      <c r="P19" s="62">
        <v>0.71</v>
      </c>
      <c r="Q19" s="62">
        <v>148.16</v>
      </c>
      <c r="R19" s="62"/>
      <c r="S19" s="86">
        <v>0</v>
      </c>
      <c r="T19" s="85">
        <f t="shared" si="3"/>
        <v>0.28219999999999956</v>
      </c>
      <c r="U19" s="62">
        <f t="shared" si="4"/>
        <v>2.5215000000000032</v>
      </c>
      <c r="V19" s="62">
        <f t="shared" si="5"/>
        <v>1</v>
      </c>
      <c r="W19" s="62">
        <f t="shared" si="6"/>
        <v>6</v>
      </c>
      <c r="X19" s="62">
        <f t="shared" si="7"/>
        <v>0</v>
      </c>
      <c r="Y19" s="62">
        <f t="shared" si="8"/>
        <v>18</v>
      </c>
      <c r="Z19" s="62">
        <f t="shared" si="9"/>
        <v>0</v>
      </c>
      <c r="AA19" s="26">
        <f t="shared" si="10"/>
        <v>0</v>
      </c>
      <c r="AB19" s="27" t="str">
        <f t="shared" si="2"/>
        <v>Cumple</v>
      </c>
    </row>
    <row r="20" spans="2:28" ht="15" customHeight="1" thickBot="1">
      <c r="B20" s="81">
        <v>45252.333333333336</v>
      </c>
      <c r="C20" s="82">
        <v>45252.333333333336</v>
      </c>
      <c r="D20" s="85">
        <v>15.1312</v>
      </c>
      <c r="E20" s="62">
        <v>82.008600000000001</v>
      </c>
      <c r="F20" s="62">
        <v>565.02</v>
      </c>
      <c r="G20" s="62">
        <v>355.4</v>
      </c>
      <c r="H20" s="62">
        <v>2.0099999999999998</v>
      </c>
      <c r="I20" s="62">
        <v>316.77</v>
      </c>
      <c r="J20" s="62"/>
      <c r="K20" s="86">
        <v>0</v>
      </c>
      <c r="L20" s="85">
        <v>15.44</v>
      </c>
      <c r="M20" s="62">
        <v>79.62</v>
      </c>
      <c r="N20" s="62">
        <v>565.02</v>
      </c>
      <c r="O20" s="62">
        <v>345.4</v>
      </c>
      <c r="P20" s="62">
        <v>1.01</v>
      </c>
      <c r="Q20" s="62">
        <v>290.77</v>
      </c>
      <c r="R20" s="62"/>
      <c r="S20" s="86">
        <v>0</v>
      </c>
      <c r="T20" s="85">
        <f t="shared" si="3"/>
        <v>0.30879999999999974</v>
      </c>
      <c r="U20" s="62">
        <f t="shared" si="4"/>
        <v>2.3885999999999967</v>
      </c>
      <c r="V20" s="62">
        <f t="shared" si="5"/>
        <v>0</v>
      </c>
      <c r="W20" s="62">
        <f t="shared" si="6"/>
        <v>10</v>
      </c>
      <c r="X20" s="62">
        <f t="shared" si="7"/>
        <v>0.99999999999999978</v>
      </c>
      <c r="Y20" s="62">
        <f t="shared" si="8"/>
        <v>26</v>
      </c>
      <c r="Z20" s="62">
        <f t="shared" si="9"/>
        <v>0</v>
      </c>
      <c r="AA20" s="26">
        <f t="shared" si="10"/>
        <v>0</v>
      </c>
      <c r="AB20" s="27" t="str">
        <f t="shared" si="2"/>
        <v>Cumple</v>
      </c>
    </row>
    <row r="21" spans="2:28" ht="15" customHeight="1" thickBot="1">
      <c r="B21" s="81">
        <v>45252.375</v>
      </c>
      <c r="C21" s="82">
        <v>45252.375</v>
      </c>
      <c r="D21" s="85">
        <v>17.395</v>
      </c>
      <c r="E21" s="62">
        <v>68.814300000000003</v>
      </c>
      <c r="F21" s="62">
        <v>564.96</v>
      </c>
      <c r="G21" s="62">
        <v>289.16000000000003</v>
      </c>
      <c r="H21" s="62">
        <v>2.19</v>
      </c>
      <c r="I21" s="62">
        <v>600.85</v>
      </c>
      <c r="J21" s="62"/>
      <c r="K21" s="86">
        <v>0</v>
      </c>
      <c r="L21" s="85">
        <v>17.75</v>
      </c>
      <c r="M21" s="62">
        <v>66.81</v>
      </c>
      <c r="N21" s="62">
        <v>564.96</v>
      </c>
      <c r="O21" s="62">
        <v>283.16000000000003</v>
      </c>
      <c r="P21" s="62">
        <v>1.19</v>
      </c>
      <c r="Q21" s="62">
        <v>537.85</v>
      </c>
      <c r="R21" s="62"/>
      <c r="S21" s="86">
        <v>0</v>
      </c>
      <c r="T21" s="85">
        <f t="shared" si="3"/>
        <v>0.35500000000000043</v>
      </c>
      <c r="U21" s="62">
        <f t="shared" si="4"/>
        <v>2.0043000000000006</v>
      </c>
      <c r="V21" s="62">
        <f t="shared" si="5"/>
        <v>0</v>
      </c>
      <c r="W21" s="62">
        <f t="shared" si="6"/>
        <v>6</v>
      </c>
      <c r="X21" s="62">
        <f t="shared" si="7"/>
        <v>1</v>
      </c>
      <c r="Y21" s="62">
        <f t="shared" si="8"/>
        <v>63</v>
      </c>
      <c r="Z21" s="62">
        <f t="shared" si="9"/>
        <v>0</v>
      </c>
      <c r="AA21" s="26">
        <f t="shared" si="10"/>
        <v>0</v>
      </c>
      <c r="AB21" s="27" t="str">
        <f t="shared" si="2"/>
        <v>Cumple</v>
      </c>
    </row>
    <row r="22" spans="2:28" ht="15" customHeight="1" thickBot="1">
      <c r="B22" s="81">
        <v>45252.416666666664</v>
      </c>
      <c r="C22" s="82">
        <v>45252.416666666664</v>
      </c>
      <c r="D22" s="85">
        <v>19.227600000000002</v>
      </c>
      <c r="E22" s="62">
        <v>60.976000000000006</v>
      </c>
      <c r="F22" s="62">
        <v>565.70000000000005</v>
      </c>
      <c r="G22" s="62">
        <v>357.31</v>
      </c>
      <c r="H22" s="62">
        <v>1.6</v>
      </c>
      <c r="I22" s="62">
        <v>605.9</v>
      </c>
      <c r="J22" s="62"/>
      <c r="K22" s="86">
        <v>0</v>
      </c>
      <c r="L22" s="85">
        <v>19.62</v>
      </c>
      <c r="M22" s="62">
        <v>59.2</v>
      </c>
      <c r="N22" s="62">
        <v>564.70000000000005</v>
      </c>
      <c r="O22" s="62">
        <v>350.31</v>
      </c>
      <c r="P22" s="62">
        <v>1.6</v>
      </c>
      <c r="Q22" s="62">
        <v>593.9</v>
      </c>
      <c r="R22" s="62"/>
      <c r="S22" s="86">
        <v>0</v>
      </c>
      <c r="T22" s="85">
        <f t="shared" si="3"/>
        <v>0.39239999999999853</v>
      </c>
      <c r="U22" s="62">
        <f t="shared" si="4"/>
        <v>1.7760000000000034</v>
      </c>
      <c r="V22" s="62">
        <f t="shared" si="5"/>
        <v>1</v>
      </c>
      <c r="W22" s="62">
        <f t="shared" si="6"/>
        <v>7</v>
      </c>
      <c r="X22" s="62">
        <f t="shared" si="7"/>
        <v>0</v>
      </c>
      <c r="Y22" s="62">
        <f t="shared" si="8"/>
        <v>12</v>
      </c>
      <c r="Z22" s="62">
        <f t="shared" si="9"/>
        <v>0</v>
      </c>
      <c r="AA22" s="26">
        <f t="shared" si="10"/>
        <v>0</v>
      </c>
      <c r="AB22" s="27" t="str">
        <f t="shared" si="2"/>
        <v>Cumple</v>
      </c>
    </row>
    <row r="23" spans="2:28" ht="15" customHeight="1" thickBot="1">
      <c r="B23" s="81">
        <v>45252.458333333336</v>
      </c>
      <c r="C23" s="82">
        <v>45252.458333333336</v>
      </c>
      <c r="D23" s="85">
        <v>20.305599999999998</v>
      </c>
      <c r="E23" s="62">
        <v>58.689399999999999</v>
      </c>
      <c r="F23" s="62">
        <v>565.15</v>
      </c>
      <c r="G23" s="62">
        <v>297.58999999999997</v>
      </c>
      <c r="H23" s="62">
        <v>2.39</v>
      </c>
      <c r="I23" s="62">
        <v>539.58999999999992</v>
      </c>
      <c r="J23" s="62"/>
      <c r="K23" s="86">
        <v>0</v>
      </c>
      <c r="L23" s="85">
        <v>20.72</v>
      </c>
      <c r="M23" s="62">
        <v>56.98</v>
      </c>
      <c r="N23" s="62">
        <v>564.15</v>
      </c>
      <c r="O23" s="62">
        <v>296.58999999999997</v>
      </c>
      <c r="P23" s="62">
        <v>2.39</v>
      </c>
      <c r="Q23" s="62">
        <v>476.59</v>
      </c>
      <c r="R23" s="62"/>
      <c r="S23" s="86">
        <v>0</v>
      </c>
      <c r="T23" s="85">
        <f t="shared" si="3"/>
        <v>0.41440000000000055</v>
      </c>
      <c r="U23" s="62">
        <f t="shared" si="4"/>
        <v>1.7094000000000023</v>
      </c>
      <c r="V23" s="62">
        <f t="shared" si="5"/>
        <v>1</v>
      </c>
      <c r="W23" s="62">
        <f t="shared" si="6"/>
        <v>1</v>
      </c>
      <c r="X23" s="62">
        <f t="shared" si="7"/>
        <v>0</v>
      </c>
      <c r="Y23" s="62">
        <f t="shared" si="8"/>
        <v>62.999999999999943</v>
      </c>
      <c r="Z23" s="62">
        <f t="shared" si="9"/>
        <v>0</v>
      </c>
      <c r="AA23" s="26">
        <f t="shared" si="10"/>
        <v>0</v>
      </c>
      <c r="AB23" s="27" t="str">
        <f t="shared" si="2"/>
        <v>Cumple</v>
      </c>
    </row>
    <row r="24" spans="2:28" ht="15" customHeight="1" thickBot="1">
      <c r="B24" s="81">
        <v>45252.5</v>
      </c>
      <c r="C24" s="82">
        <v>45252.5</v>
      </c>
      <c r="D24" s="85">
        <v>19.933199999999999</v>
      </c>
      <c r="E24" s="62">
        <v>63.036000000000001</v>
      </c>
      <c r="F24" s="62">
        <v>564.32000000000005</v>
      </c>
      <c r="G24" s="62">
        <v>231.49</v>
      </c>
      <c r="H24" s="62">
        <v>4.6899999999999995</v>
      </c>
      <c r="I24" s="62">
        <v>522.30999999999995</v>
      </c>
      <c r="J24" s="62"/>
      <c r="K24" s="86">
        <v>0</v>
      </c>
      <c r="L24" s="85">
        <v>20.34</v>
      </c>
      <c r="M24" s="62">
        <v>61.2</v>
      </c>
      <c r="N24" s="62">
        <v>563.32000000000005</v>
      </c>
      <c r="O24" s="62">
        <v>224.49</v>
      </c>
      <c r="P24" s="62">
        <v>3.69</v>
      </c>
      <c r="Q24" s="62">
        <v>483.31</v>
      </c>
      <c r="R24" s="62"/>
      <c r="S24" s="86">
        <v>0</v>
      </c>
      <c r="T24" s="85">
        <f t="shared" si="3"/>
        <v>0.40680000000000049</v>
      </c>
      <c r="U24" s="62">
        <f t="shared" si="4"/>
        <v>1.8359999999999985</v>
      </c>
      <c r="V24" s="62">
        <f t="shared" si="5"/>
        <v>1</v>
      </c>
      <c r="W24" s="62">
        <f t="shared" si="6"/>
        <v>7</v>
      </c>
      <c r="X24" s="62">
        <f t="shared" si="7"/>
        <v>0.99999999999999956</v>
      </c>
      <c r="Y24" s="62">
        <f t="shared" si="8"/>
        <v>38.999999999999943</v>
      </c>
      <c r="Z24" s="62">
        <f t="shared" si="9"/>
        <v>0</v>
      </c>
      <c r="AA24" s="26">
        <f t="shared" si="10"/>
        <v>0</v>
      </c>
      <c r="AB24" s="27" t="str">
        <f t="shared" si="2"/>
        <v>Cumple</v>
      </c>
    </row>
    <row r="25" spans="2:28" ht="15" customHeight="1" thickBot="1">
      <c r="B25" s="81">
        <v>45252.541666666664</v>
      </c>
      <c r="C25" s="82">
        <v>45252.541666666664</v>
      </c>
      <c r="D25" s="85">
        <v>16.238600000000002</v>
      </c>
      <c r="E25" s="62">
        <v>83.3476</v>
      </c>
      <c r="F25" s="62">
        <v>563.64</v>
      </c>
      <c r="G25" s="62">
        <v>179.28</v>
      </c>
      <c r="H25" s="62">
        <v>3.78</v>
      </c>
      <c r="I25" s="62">
        <v>148.79000000000002</v>
      </c>
      <c r="J25" s="62"/>
      <c r="K25" s="86">
        <v>7.8000000000000007</v>
      </c>
      <c r="L25" s="85">
        <v>16.57</v>
      </c>
      <c r="M25" s="62">
        <v>80.92</v>
      </c>
      <c r="N25" s="62">
        <v>562.64</v>
      </c>
      <c r="O25" s="62">
        <v>177.28</v>
      </c>
      <c r="P25" s="62">
        <v>2.78</v>
      </c>
      <c r="Q25" s="62">
        <v>124.79</v>
      </c>
      <c r="R25" s="62"/>
      <c r="S25" s="86">
        <v>7.6</v>
      </c>
      <c r="T25" s="85">
        <f t="shared" si="3"/>
        <v>0.33139999999999858</v>
      </c>
      <c r="U25" s="62">
        <f t="shared" si="4"/>
        <v>2.4275999999999982</v>
      </c>
      <c r="V25" s="62">
        <f t="shared" si="5"/>
        <v>1</v>
      </c>
      <c r="W25" s="62">
        <f t="shared" si="6"/>
        <v>2</v>
      </c>
      <c r="X25" s="62">
        <f t="shared" si="7"/>
        <v>1</v>
      </c>
      <c r="Y25" s="62">
        <f t="shared" si="8"/>
        <v>24.000000000000014</v>
      </c>
      <c r="Z25" s="62">
        <f t="shared" si="9"/>
        <v>0</v>
      </c>
      <c r="AA25" s="26">
        <f t="shared" si="10"/>
        <v>2.5641025641025775E-2</v>
      </c>
      <c r="AB25" s="27" t="str">
        <f t="shared" si="2"/>
        <v>Cumple</v>
      </c>
    </row>
    <row r="26" spans="2:28" ht="15" customHeight="1" thickBot="1">
      <c r="B26" s="81">
        <v>45252.583333333336</v>
      </c>
      <c r="C26" s="82">
        <v>45252.583333333336</v>
      </c>
      <c r="D26" s="85">
        <v>17.375399999999999</v>
      </c>
      <c r="E26" s="62">
        <v>77.682600000000008</v>
      </c>
      <c r="F26" s="62">
        <v>562.14</v>
      </c>
      <c r="G26" s="62">
        <v>204.32</v>
      </c>
      <c r="H26" s="62">
        <v>3.12</v>
      </c>
      <c r="I26" s="62">
        <v>441.31</v>
      </c>
      <c r="J26" s="62"/>
      <c r="K26" s="86">
        <v>0.2</v>
      </c>
      <c r="L26" s="85">
        <v>17.73</v>
      </c>
      <c r="M26" s="62">
        <v>75.42</v>
      </c>
      <c r="N26" s="62">
        <v>562.14</v>
      </c>
      <c r="O26" s="62">
        <v>194.32</v>
      </c>
      <c r="P26" s="62">
        <v>2.12</v>
      </c>
      <c r="Q26" s="62">
        <v>373.31</v>
      </c>
      <c r="R26" s="62"/>
      <c r="S26" s="86">
        <v>0.2</v>
      </c>
      <c r="T26" s="85">
        <f t="shared" si="3"/>
        <v>0.35460000000000136</v>
      </c>
      <c r="U26" s="62">
        <f t="shared" si="4"/>
        <v>2.2626000000000062</v>
      </c>
      <c r="V26" s="62">
        <f t="shared" si="5"/>
        <v>0</v>
      </c>
      <c r="W26" s="62">
        <f t="shared" si="6"/>
        <v>10</v>
      </c>
      <c r="X26" s="62">
        <f t="shared" si="7"/>
        <v>1</v>
      </c>
      <c r="Y26" s="62">
        <f t="shared" si="8"/>
        <v>68</v>
      </c>
      <c r="Z26" s="62">
        <f t="shared" si="9"/>
        <v>0</v>
      </c>
      <c r="AA26" s="26">
        <f t="shared" si="10"/>
        <v>0</v>
      </c>
      <c r="AB26" s="27" t="str">
        <f t="shared" si="2"/>
        <v>Cumple</v>
      </c>
    </row>
    <row r="27" spans="2:28" ht="15" customHeight="1" thickBot="1">
      <c r="B27" s="81">
        <v>45252.625</v>
      </c>
      <c r="C27" s="82">
        <v>45252.625</v>
      </c>
      <c r="D27" s="85">
        <v>17.2774</v>
      </c>
      <c r="E27" s="62">
        <v>73.809799999999996</v>
      </c>
      <c r="F27" s="62">
        <v>563.11</v>
      </c>
      <c r="G27" s="62">
        <v>245.28</v>
      </c>
      <c r="H27" s="62">
        <v>2.63</v>
      </c>
      <c r="I27" s="62">
        <v>225.09</v>
      </c>
      <c r="J27" s="62"/>
      <c r="K27" s="86">
        <v>0</v>
      </c>
      <c r="L27" s="85">
        <v>17.63</v>
      </c>
      <c r="M27" s="62">
        <v>71.66</v>
      </c>
      <c r="N27" s="62">
        <v>562.11</v>
      </c>
      <c r="O27" s="62">
        <v>236.28</v>
      </c>
      <c r="P27" s="62">
        <v>1.63</v>
      </c>
      <c r="Q27" s="62">
        <v>188.09</v>
      </c>
      <c r="R27" s="62"/>
      <c r="S27" s="86">
        <v>0</v>
      </c>
      <c r="T27" s="85">
        <f t="shared" si="3"/>
        <v>0.35259999999999891</v>
      </c>
      <c r="U27" s="62">
        <f t="shared" si="4"/>
        <v>2.149799999999999</v>
      </c>
      <c r="V27" s="62">
        <f t="shared" si="5"/>
        <v>1</v>
      </c>
      <c r="W27" s="62">
        <f t="shared" si="6"/>
        <v>9</v>
      </c>
      <c r="X27" s="62">
        <f t="shared" si="7"/>
        <v>1</v>
      </c>
      <c r="Y27" s="62">
        <f t="shared" si="8"/>
        <v>37</v>
      </c>
      <c r="Z27" s="62">
        <f t="shared" si="9"/>
        <v>0</v>
      </c>
      <c r="AA27" s="26">
        <f t="shared" si="10"/>
        <v>0</v>
      </c>
      <c r="AB27" s="27" t="str">
        <f t="shared" si="2"/>
        <v>Cumple</v>
      </c>
    </row>
    <row r="28" spans="2:28" ht="15" customHeight="1" thickBot="1">
      <c r="B28" s="81">
        <v>45252.666666666664</v>
      </c>
      <c r="C28" s="82">
        <v>45252.666666666664</v>
      </c>
      <c r="D28" s="85">
        <v>17.5518</v>
      </c>
      <c r="E28" s="62">
        <v>71.306899999999999</v>
      </c>
      <c r="F28" s="62">
        <v>563.38</v>
      </c>
      <c r="G28" s="62">
        <v>214.74</v>
      </c>
      <c r="H28" s="62">
        <v>1.26</v>
      </c>
      <c r="I28" s="62">
        <v>188.32999999999998</v>
      </c>
      <c r="J28" s="62"/>
      <c r="K28" s="86">
        <v>0</v>
      </c>
      <c r="L28" s="85">
        <v>17.91</v>
      </c>
      <c r="M28" s="62">
        <v>69.23</v>
      </c>
      <c r="N28" s="62">
        <v>562.38</v>
      </c>
      <c r="O28" s="62">
        <v>214.74</v>
      </c>
      <c r="P28" s="62">
        <v>1.26</v>
      </c>
      <c r="Q28" s="62">
        <v>119.33</v>
      </c>
      <c r="R28" s="62"/>
      <c r="S28" s="86">
        <v>0</v>
      </c>
      <c r="T28" s="85">
        <f t="shared" si="3"/>
        <v>0.35820000000000007</v>
      </c>
      <c r="U28" s="62">
        <f t="shared" si="4"/>
        <v>2.0768999999999949</v>
      </c>
      <c r="V28" s="62">
        <f t="shared" si="5"/>
        <v>1</v>
      </c>
      <c r="W28" s="62">
        <f t="shared" si="6"/>
        <v>0</v>
      </c>
      <c r="X28" s="62">
        <f t="shared" si="7"/>
        <v>0</v>
      </c>
      <c r="Y28" s="62">
        <f t="shared" si="8"/>
        <v>68.999999999999986</v>
      </c>
      <c r="Z28" s="62">
        <f t="shared" si="9"/>
        <v>0</v>
      </c>
      <c r="AA28" s="26">
        <f t="shared" si="10"/>
        <v>0</v>
      </c>
      <c r="AB28" s="27" t="str">
        <f t="shared" si="2"/>
        <v>Cumple</v>
      </c>
    </row>
    <row r="29" spans="2:28" ht="15" customHeight="1" thickBot="1">
      <c r="B29" s="81">
        <v>45252.708333333336</v>
      </c>
      <c r="C29" s="82">
        <v>45252.708333333336</v>
      </c>
      <c r="D29" s="85">
        <v>16.875599999999999</v>
      </c>
      <c r="E29" s="62">
        <v>75.931600000000003</v>
      </c>
      <c r="F29" s="62">
        <v>562.71</v>
      </c>
      <c r="G29" s="62">
        <v>238.19</v>
      </c>
      <c r="H29" s="62">
        <v>1.63</v>
      </c>
      <c r="I29" s="62">
        <v>56.879999999999995</v>
      </c>
      <c r="J29" s="62"/>
      <c r="K29" s="86">
        <v>0</v>
      </c>
      <c r="L29" s="85">
        <v>17.22</v>
      </c>
      <c r="M29" s="62">
        <v>73.72</v>
      </c>
      <c r="N29" s="62">
        <v>562.71</v>
      </c>
      <c r="O29" s="62">
        <v>233.19</v>
      </c>
      <c r="P29" s="62">
        <v>1.63</v>
      </c>
      <c r="Q29" s="62">
        <v>24.88</v>
      </c>
      <c r="R29" s="62"/>
      <c r="S29" s="86">
        <v>0</v>
      </c>
      <c r="T29" s="85">
        <f t="shared" si="3"/>
        <v>0.34440000000000026</v>
      </c>
      <c r="U29" s="62">
        <f t="shared" si="4"/>
        <v>2.2116000000000042</v>
      </c>
      <c r="V29" s="62">
        <f t="shared" si="5"/>
        <v>0</v>
      </c>
      <c r="W29" s="62">
        <f t="shared" si="6"/>
        <v>5</v>
      </c>
      <c r="X29" s="62">
        <f t="shared" si="7"/>
        <v>0</v>
      </c>
      <c r="Y29" s="62">
        <f t="shared" si="8"/>
        <v>31.999999999999996</v>
      </c>
      <c r="Z29" s="62">
        <f t="shared" si="9"/>
        <v>0</v>
      </c>
      <c r="AA29" s="26">
        <f t="shared" si="10"/>
        <v>0</v>
      </c>
      <c r="AB29" s="27" t="str">
        <f t="shared" si="2"/>
        <v>Cumple</v>
      </c>
    </row>
    <row r="30" spans="2:28" ht="15" customHeight="1" thickBot="1">
      <c r="B30" s="81">
        <v>45252.75</v>
      </c>
      <c r="C30" s="82">
        <v>45252.75</v>
      </c>
      <c r="D30" s="85">
        <v>15.2096</v>
      </c>
      <c r="E30" s="62">
        <v>81.174300000000002</v>
      </c>
      <c r="F30" s="62">
        <v>564.27</v>
      </c>
      <c r="G30" s="62">
        <v>269.32</v>
      </c>
      <c r="H30" s="62">
        <v>2.31</v>
      </c>
      <c r="I30" s="62">
        <v>0</v>
      </c>
      <c r="J30" s="62"/>
      <c r="K30" s="86">
        <v>0</v>
      </c>
      <c r="L30" s="85">
        <v>15.52</v>
      </c>
      <c r="M30" s="62">
        <v>78.81</v>
      </c>
      <c r="N30" s="62">
        <v>563.27</v>
      </c>
      <c r="O30" s="62">
        <v>269.32</v>
      </c>
      <c r="P30" s="62">
        <v>1.31</v>
      </c>
      <c r="Q30" s="62">
        <v>0</v>
      </c>
      <c r="R30" s="62"/>
      <c r="S30" s="86">
        <v>0</v>
      </c>
      <c r="T30" s="85">
        <f t="shared" si="3"/>
        <v>0.31039999999999957</v>
      </c>
      <c r="U30" s="62">
        <f t="shared" si="4"/>
        <v>2.3643000000000001</v>
      </c>
      <c r="V30" s="62">
        <f t="shared" si="5"/>
        <v>1</v>
      </c>
      <c r="W30" s="62">
        <f t="shared" si="6"/>
        <v>0</v>
      </c>
      <c r="X30" s="62">
        <f t="shared" si="7"/>
        <v>1</v>
      </c>
      <c r="Y30" s="62">
        <f t="shared" si="8"/>
        <v>0</v>
      </c>
      <c r="Z30" s="62">
        <f t="shared" si="9"/>
        <v>0</v>
      </c>
      <c r="AA30" s="26">
        <f t="shared" si="10"/>
        <v>0</v>
      </c>
      <c r="AB30" s="27" t="str">
        <f t="shared" si="2"/>
        <v>Cumple</v>
      </c>
    </row>
    <row r="31" spans="2:28" ht="15" customHeight="1" thickBot="1">
      <c r="B31" s="81">
        <v>45252.791666666664</v>
      </c>
      <c r="C31" s="82">
        <v>45252.791666666664</v>
      </c>
      <c r="D31" s="85">
        <v>14.562799999999999</v>
      </c>
      <c r="E31" s="62">
        <v>83.419699999999992</v>
      </c>
      <c r="F31" s="62">
        <v>564.01</v>
      </c>
      <c r="G31" s="62">
        <v>264.52</v>
      </c>
      <c r="H31" s="62">
        <v>0.7</v>
      </c>
      <c r="I31" s="62">
        <v>0</v>
      </c>
      <c r="J31" s="62"/>
      <c r="K31" s="86">
        <v>0</v>
      </c>
      <c r="L31" s="85">
        <v>14.86</v>
      </c>
      <c r="M31" s="62">
        <v>80.989999999999995</v>
      </c>
      <c r="N31" s="62">
        <v>564.01</v>
      </c>
      <c r="O31" s="62">
        <v>258.52</v>
      </c>
      <c r="P31" s="62">
        <v>0.7</v>
      </c>
      <c r="Q31" s="62">
        <v>0</v>
      </c>
      <c r="R31" s="62"/>
      <c r="S31" s="86">
        <v>0</v>
      </c>
      <c r="T31" s="85">
        <f t="shared" si="3"/>
        <v>0.29720000000000013</v>
      </c>
      <c r="U31" s="62">
        <f t="shared" si="4"/>
        <v>2.4296999999999969</v>
      </c>
      <c r="V31" s="62">
        <f t="shared" si="5"/>
        <v>0</v>
      </c>
      <c r="W31" s="62">
        <f t="shared" si="6"/>
        <v>6</v>
      </c>
      <c r="X31" s="62">
        <f t="shared" si="7"/>
        <v>0</v>
      </c>
      <c r="Y31" s="62">
        <f t="shared" si="8"/>
        <v>0</v>
      </c>
      <c r="Z31" s="62">
        <f t="shared" si="9"/>
        <v>0</v>
      </c>
      <c r="AA31" s="26">
        <f t="shared" si="10"/>
        <v>0</v>
      </c>
      <c r="AB31" s="27" t="str">
        <f t="shared" si="2"/>
        <v>Cumple</v>
      </c>
    </row>
    <row r="32" spans="2:28" ht="15" customHeight="1" thickBot="1">
      <c r="B32" s="81">
        <v>45252.833333333336</v>
      </c>
      <c r="C32" s="82">
        <v>45252.833333333336</v>
      </c>
      <c r="D32" s="85">
        <v>14.21</v>
      </c>
      <c r="E32" s="62">
        <v>84.738100000000003</v>
      </c>
      <c r="F32" s="62">
        <v>565.85</v>
      </c>
      <c r="G32" s="62">
        <v>188.06</v>
      </c>
      <c r="H32" s="62">
        <v>1.53</v>
      </c>
      <c r="I32" s="62">
        <v>0</v>
      </c>
      <c r="J32" s="62"/>
      <c r="K32" s="86">
        <v>0</v>
      </c>
      <c r="L32" s="85">
        <v>14.5</v>
      </c>
      <c r="M32" s="62">
        <v>82.27</v>
      </c>
      <c r="N32" s="62">
        <v>564.85</v>
      </c>
      <c r="O32" s="62">
        <v>187.06</v>
      </c>
      <c r="P32" s="62">
        <v>0.53</v>
      </c>
      <c r="Q32" s="62">
        <v>0</v>
      </c>
      <c r="R32" s="62"/>
      <c r="S32" s="86">
        <v>0</v>
      </c>
      <c r="T32" s="85">
        <f t="shared" si="3"/>
        <v>0.28999999999999915</v>
      </c>
      <c r="U32" s="62">
        <f t="shared" si="4"/>
        <v>2.4681000000000068</v>
      </c>
      <c r="V32" s="62">
        <f t="shared" si="5"/>
        <v>1</v>
      </c>
      <c r="W32" s="62">
        <f t="shared" si="6"/>
        <v>1</v>
      </c>
      <c r="X32" s="62">
        <f t="shared" si="7"/>
        <v>1</v>
      </c>
      <c r="Y32" s="62">
        <f t="shared" si="8"/>
        <v>0</v>
      </c>
      <c r="Z32" s="62">
        <f t="shared" si="9"/>
        <v>0</v>
      </c>
      <c r="AA32" s="26">
        <f t="shared" si="10"/>
        <v>0</v>
      </c>
      <c r="AB32" s="27" t="str">
        <f t="shared" si="2"/>
        <v>Cumple</v>
      </c>
    </row>
    <row r="33" spans="2:28" ht="15" customHeight="1" thickBot="1">
      <c r="B33" s="81">
        <v>45252.875</v>
      </c>
      <c r="C33" s="82">
        <v>45252.875</v>
      </c>
      <c r="D33" s="85">
        <v>13.769</v>
      </c>
      <c r="E33" s="62">
        <v>86.2316</v>
      </c>
      <c r="F33" s="62">
        <v>566.41</v>
      </c>
      <c r="G33" s="62">
        <v>185.46</v>
      </c>
      <c r="H33" s="62">
        <v>1.29</v>
      </c>
      <c r="I33" s="62">
        <v>0</v>
      </c>
      <c r="J33" s="62"/>
      <c r="K33" s="86">
        <v>0</v>
      </c>
      <c r="L33" s="85">
        <v>14.05</v>
      </c>
      <c r="M33" s="62">
        <v>83.72</v>
      </c>
      <c r="N33" s="62">
        <v>565.41</v>
      </c>
      <c r="O33" s="62">
        <v>185.46</v>
      </c>
      <c r="P33" s="62">
        <v>0.28999999999999998</v>
      </c>
      <c r="Q33" s="62">
        <v>0</v>
      </c>
      <c r="R33" s="62"/>
      <c r="S33" s="86">
        <v>0</v>
      </c>
      <c r="T33" s="85">
        <f t="shared" si="3"/>
        <v>0.28100000000000058</v>
      </c>
      <c r="U33" s="62">
        <f t="shared" si="4"/>
        <v>2.5116000000000014</v>
      </c>
      <c r="V33" s="62">
        <f t="shared" si="5"/>
        <v>1</v>
      </c>
      <c r="W33" s="62">
        <f t="shared" si="6"/>
        <v>0</v>
      </c>
      <c r="X33" s="62">
        <f t="shared" si="7"/>
        <v>1</v>
      </c>
      <c r="Y33" s="62">
        <f t="shared" si="8"/>
        <v>0</v>
      </c>
      <c r="Z33" s="62">
        <f t="shared" si="9"/>
        <v>0</v>
      </c>
      <c r="AA33" s="26">
        <f t="shared" si="10"/>
        <v>0</v>
      </c>
      <c r="AB33" s="27" t="str">
        <f>+IF(AND(T33&lt;=0.5,U33&lt;=5,V33&lt;=1,W33&lt;=22.5,X33&lt;=1,Y33&lt;=90,Z33&lt;=0.8,AA33&lt;=5%),"Cumple","No cumple")</f>
        <v>Cumple</v>
      </c>
    </row>
    <row r="34" spans="2:28" ht="15" customHeight="1" thickBot="1">
      <c r="B34" s="81">
        <v>45252.916666666664</v>
      </c>
      <c r="C34" s="82">
        <v>45252.916666666664</v>
      </c>
      <c r="D34" s="85">
        <v>13.7592</v>
      </c>
      <c r="E34" s="62">
        <v>86.52</v>
      </c>
      <c r="F34" s="62">
        <v>565.39</v>
      </c>
      <c r="G34" s="62">
        <v>269.92</v>
      </c>
      <c r="H34" s="62">
        <v>1.29</v>
      </c>
      <c r="I34" s="62">
        <v>0</v>
      </c>
      <c r="J34" s="62"/>
      <c r="K34" s="86">
        <v>0</v>
      </c>
      <c r="L34" s="85">
        <v>14.04</v>
      </c>
      <c r="M34" s="62">
        <v>84</v>
      </c>
      <c r="N34" s="62">
        <v>565.39</v>
      </c>
      <c r="O34" s="62">
        <v>260.92</v>
      </c>
      <c r="P34" s="62">
        <v>0.28999999999999998</v>
      </c>
      <c r="Q34" s="62">
        <v>0</v>
      </c>
      <c r="R34" s="62"/>
      <c r="S34" s="86">
        <v>0</v>
      </c>
      <c r="T34" s="85">
        <f t="shared" si="3"/>
        <v>0.28079999999999927</v>
      </c>
      <c r="U34" s="62">
        <f t="shared" si="4"/>
        <v>2.519999999999996</v>
      </c>
      <c r="V34" s="62">
        <f t="shared" si="5"/>
        <v>0</v>
      </c>
      <c r="W34" s="62">
        <f t="shared" si="6"/>
        <v>9</v>
      </c>
      <c r="X34" s="62">
        <f t="shared" si="7"/>
        <v>1</v>
      </c>
      <c r="Y34" s="62">
        <f t="shared" si="8"/>
        <v>0</v>
      </c>
      <c r="Z34" s="62">
        <f t="shared" si="9"/>
        <v>0</v>
      </c>
      <c r="AA34" s="26">
        <f t="shared" si="10"/>
        <v>0</v>
      </c>
      <c r="AB34" s="27" t="str">
        <f t="shared" si="2"/>
        <v>Cumple</v>
      </c>
    </row>
    <row r="35" spans="2:28" ht="15" customHeight="1" thickBot="1">
      <c r="B35" s="81">
        <v>45252.958333333336</v>
      </c>
      <c r="C35" s="82">
        <v>45252.958333333336</v>
      </c>
      <c r="D35" s="87">
        <v>13.455400000000001</v>
      </c>
      <c r="E35" s="88">
        <v>87.560300000000012</v>
      </c>
      <c r="F35" s="88">
        <v>565.08000000000004</v>
      </c>
      <c r="G35" s="88">
        <v>161.07</v>
      </c>
      <c r="H35" s="88">
        <v>1.31</v>
      </c>
      <c r="I35" s="88">
        <v>0</v>
      </c>
      <c r="J35" s="88"/>
      <c r="K35" s="89">
        <v>0</v>
      </c>
      <c r="L35" s="87">
        <v>13.73</v>
      </c>
      <c r="M35" s="88">
        <v>85.01</v>
      </c>
      <c r="N35" s="88">
        <v>565.08000000000004</v>
      </c>
      <c r="O35" s="88">
        <v>160.07</v>
      </c>
      <c r="P35" s="88">
        <v>0.31</v>
      </c>
      <c r="Q35" s="88">
        <v>0</v>
      </c>
      <c r="R35" s="88"/>
      <c r="S35" s="89">
        <v>0</v>
      </c>
      <c r="T35" s="87">
        <f t="shared" si="3"/>
        <v>0.27459999999999951</v>
      </c>
      <c r="U35" s="88">
        <f t="shared" si="4"/>
        <v>2.5503000000000071</v>
      </c>
      <c r="V35" s="88">
        <f t="shared" si="5"/>
        <v>0</v>
      </c>
      <c r="W35" s="88">
        <f t="shared" si="6"/>
        <v>1</v>
      </c>
      <c r="X35" s="88">
        <f t="shared" si="7"/>
        <v>1</v>
      </c>
      <c r="Y35" s="88">
        <f t="shared" si="8"/>
        <v>0</v>
      </c>
      <c r="Z35" s="88">
        <f t="shared" si="9"/>
        <v>0</v>
      </c>
      <c r="AA35" s="26">
        <f t="shared" si="10"/>
        <v>0</v>
      </c>
      <c r="AB35" s="27" t="str">
        <f t="shared" si="2"/>
        <v>Cumple</v>
      </c>
    </row>
    <row r="36" spans="2:28" ht="33" customHeight="1">
      <c r="B36" s="221" t="s">
        <v>42</v>
      </c>
      <c r="C36" s="222"/>
      <c r="D36" s="159">
        <v>45257.958333333336</v>
      </c>
      <c r="E36" s="160"/>
      <c r="F36" s="160"/>
      <c r="G36" s="160"/>
      <c r="H36" s="160"/>
      <c r="I36" s="161"/>
      <c r="J36" s="226" t="s">
        <v>43</v>
      </c>
      <c r="K36" s="226"/>
      <c r="L36" s="226"/>
      <c r="M36" s="226"/>
      <c r="N36" s="226"/>
      <c r="O36" s="226"/>
      <c r="P36" s="226"/>
      <c r="Q36" s="165" t="s">
        <v>44</v>
      </c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6"/>
    </row>
    <row r="37" spans="2:28" ht="33" customHeight="1">
      <c r="B37" s="227" t="s">
        <v>45</v>
      </c>
      <c r="C37" s="228"/>
      <c r="D37" s="170" t="s">
        <v>46</v>
      </c>
      <c r="E37" s="171"/>
      <c r="F37" s="171"/>
      <c r="G37" s="171"/>
      <c r="H37" s="171"/>
      <c r="I37" s="172"/>
      <c r="J37" s="229" t="s">
        <v>47</v>
      </c>
      <c r="K37" s="230"/>
      <c r="L37" s="230"/>
      <c r="M37" s="230"/>
      <c r="N37" s="230"/>
      <c r="O37" s="230"/>
      <c r="P37" s="231"/>
      <c r="Q37" s="235" t="s">
        <v>48</v>
      </c>
      <c r="R37" s="178"/>
      <c r="S37" s="178"/>
      <c r="T37" s="178"/>
      <c r="U37" s="178"/>
      <c r="V37" s="178"/>
      <c r="W37" s="178"/>
      <c r="X37" s="178"/>
      <c r="Y37" s="178"/>
      <c r="Z37" s="178"/>
      <c r="AA37" s="178"/>
      <c r="AB37" s="178"/>
    </row>
    <row r="38" spans="2:28" ht="33" customHeight="1" thickBot="1">
      <c r="B38" s="237" t="s">
        <v>49</v>
      </c>
      <c r="C38" s="238"/>
      <c r="D38" s="239" t="s">
        <v>50</v>
      </c>
      <c r="E38" s="186"/>
      <c r="F38" s="186"/>
      <c r="G38" s="186"/>
      <c r="H38" s="186"/>
      <c r="I38" s="187"/>
      <c r="J38" s="232"/>
      <c r="K38" s="233"/>
      <c r="L38" s="233"/>
      <c r="M38" s="233"/>
      <c r="N38" s="233"/>
      <c r="O38" s="233"/>
      <c r="P38" s="234"/>
      <c r="Q38" s="236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</row>
    <row r="39" spans="2:28" ht="15" customHeight="1"/>
    <row r="40" spans="2:28" ht="15" customHeight="1"/>
    <row r="41" spans="2:28" ht="15" customHeight="1"/>
    <row r="42" spans="2:28" ht="15" customHeight="1"/>
    <row r="43" spans="2:28" ht="15" customHeight="1"/>
    <row r="44" spans="2:28" ht="15" customHeight="1"/>
    <row r="45" spans="2:28" ht="15" customHeight="1"/>
    <row r="46" spans="2:28" ht="15" customHeight="1"/>
    <row r="47" spans="2:28" ht="15" customHeight="1"/>
    <row r="48" spans="2:28" ht="15" customHeight="1"/>
    <row r="49" customFormat="1" ht="15" customHeight="1"/>
    <row r="50" customFormat="1" ht="15" customHeight="1"/>
    <row r="51" customFormat="1" ht="15" customHeight="1"/>
    <row r="52" customFormat="1" ht="15" customHeight="1"/>
    <row r="53" customFormat="1" ht="15" customHeight="1"/>
    <row r="54" customFormat="1" ht="15" customHeight="1"/>
    <row r="55" customFormat="1" ht="15" customHeight="1"/>
    <row r="56" customFormat="1" ht="15" customHeight="1"/>
    <row r="57" customFormat="1" ht="15" customHeight="1"/>
    <row r="58" customFormat="1" ht="15" customHeight="1"/>
    <row r="59" customFormat="1" ht="15" customHeight="1"/>
    <row r="60" customFormat="1" ht="15" customHeight="1"/>
    <row r="61" customFormat="1" ht="15" customHeight="1"/>
    <row r="62" customFormat="1" ht="15" customHeight="1"/>
    <row r="63" customFormat="1" ht="15" customHeight="1"/>
    <row r="64" customFormat="1" ht="15" customHeight="1"/>
    <row r="65" customFormat="1" ht="15" customHeight="1"/>
    <row r="66" customFormat="1" ht="33.75" customHeight="1"/>
    <row r="67" customFormat="1" ht="33.75" customHeight="1"/>
    <row r="68" customFormat="1" ht="33.75" customHeight="1"/>
  </sheetData>
  <mergeCells count="38">
    <mergeCell ref="B36:C36"/>
    <mergeCell ref="D36:I36"/>
    <mergeCell ref="J36:P36"/>
    <mergeCell ref="Q36:AB36"/>
    <mergeCell ref="B37:C37"/>
    <mergeCell ref="D37:I37"/>
    <mergeCell ref="J37:P38"/>
    <mergeCell ref="Q37:AB38"/>
    <mergeCell ref="B38:C38"/>
    <mergeCell ref="D38:I38"/>
    <mergeCell ref="AB10:AB11"/>
    <mergeCell ref="B7:C7"/>
    <mergeCell ref="T7:X7"/>
    <mergeCell ref="Y7:Z7"/>
    <mergeCell ref="B8:C8"/>
    <mergeCell ref="T8:X8"/>
    <mergeCell ref="Y8:Z8"/>
    <mergeCell ref="B10:B11"/>
    <mergeCell ref="C10:C11"/>
    <mergeCell ref="D10:K10"/>
    <mergeCell ref="L10:S10"/>
    <mergeCell ref="T10:AA10"/>
    <mergeCell ref="D7:K7"/>
    <mergeCell ref="D8:K8"/>
    <mergeCell ref="L7:S7"/>
    <mergeCell ref="AA7:AB7"/>
    <mergeCell ref="L8:S8"/>
    <mergeCell ref="AA8:AB8"/>
    <mergeCell ref="B1:C4"/>
    <mergeCell ref="D1:Z2"/>
    <mergeCell ref="AB1:AB4"/>
    <mergeCell ref="D3:Z4"/>
    <mergeCell ref="B6:C6"/>
    <mergeCell ref="L6:R6"/>
    <mergeCell ref="T6:X6"/>
    <mergeCell ref="Y6:Z6"/>
    <mergeCell ref="D6:K6"/>
    <mergeCell ref="AA6:AB6"/>
  </mergeCells>
  <conditionalFormatting sqref="T12:T35">
    <cfRule type="cellIs" dxfId="76" priority="17" operator="greaterThan">
      <formula>0.51</formula>
    </cfRule>
    <cfRule type="cellIs" dxfId="75" priority="18" operator="lessThan">
      <formula>0.5</formula>
    </cfRule>
  </conditionalFormatting>
  <conditionalFormatting sqref="U12:U35">
    <cfRule type="cellIs" dxfId="74" priority="15" operator="greaterThan">
      <formula>5.1</formula>
    </cfRule>
    <cfRule type="cellIs" dxfId="73" priority="16" operator="lessThan">
      <formula>5</formula>
    </cfRule>
  </conditionalFormatting>
  <conditionalFormatting sqref="V12:V35">
    <cfRule type="cellIs" dxfId="72" priority="13" operator="greaterThan">
      <formula>1</formula>
    </cfRule>
    <cfRule type="cellIs" dxfId="71" priority="14" operator="lessThanOrEqual">
      <formula>1</formula>
    </cfRule>
  </conditionalFormatting>
  <conditionalFormatting sqref="W12:W35">
    <cfRule type="cellIs" dxfId="70" priority="11" operator="greaterThan">
      <formula>22.6</formula>
    </cfRule>
    <cfRule type="cellIs" dxfId="69" priority="12" operator="lessThanOrEqual">
      <formula>22.5</formula>
    </cfRule>
  </conditionalFormatting>
  <conditionalFormatting sqref="X12:X35">
    <cfRule type="cellIs" dxfId="68" priority="9" operator="greaterThan">
      <formula>1</formula>
    </cfRule>
    <cfRule type="cellIs" dxfId="67" priority="10" operator="lessThanOrEqual">
      <formula>1</formula>
    </cfRule>
  </conditionalFormatting>
  <conditionalFormatting sqref="Y12:Y35">
    <cfRule type="cellIs" dxfId="66" priority="7" operator="greaterThan">
      <formula>90.1</formula>
    </cfRule>
    <cfRule type="cellIs" dxfId="65" priority="8" operator="lessThan">
      <formula>90</formula>
    </cfRule>
  </conditionalFormatting>
  <conditionalFormatting sqref="Z12:Z35">
    <cfRule type="cellIs" dxfId="64" priority="5" operator="greaterThan">
      <formula>0.9</formula>
    </cfRule>
    <cfRule type="cellIs" dxfId="63" priority="6" operator="lessThan">
      <formula>0.8</formula>
    </cfRule>
  </conditionalFormatting>
  <conditionalFormatting sqref="AA12:AA35">
    <cfRule type="cellIs" dxfId="62" priority="2" operator="equal">
      <formula>0</formula>
    </cfRule>
    <cfRule type="expression" dxfId="61" priority="3">
      <formula>OR(AND(K12=0, S12=0), AND(K12&lt;&gt;0, ABS(S12-K12)/K12 &lt;= 0.05))</formula>
    </cfRule>
    <cfRule type="expression" dxfId="60" priority="4">
      <formula>AND(K12&lt;&gt;0, ABS(S12-K12)/K12 &gt; 0.05)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EABC6-8C4E-4495-B3BA-044A3449BE8D}">
  <dimension ref="B1:AM68"/>
  <sheetViews>
    <sheetView topLeftCell="M1" zoomScale="94" zoomScaleNormal="94" workbookViewId="0">
      <selection activeCell="Y7" sqref="Y7:Z7"/>
    </sheetView>
  </sheetViews>
  <sheetFormatPr baseColWidth="10" defaultColWidth="11.42578125" defaultRowHeight="15"/>
  <cols>
    <col min="1" max="1" width="0.28515625" customWidth="1"/>
    <col min="2" max="2" width="11.28515625" customWidth="1"/>
    <col min="3" max="3" width="14" customWidth="1"/>
    <col min="4" max="18" width="8.7109375" customWidth="1"/>
    <col min="19" max="19" width="8.5703125" customWidth="1"/>
    <col min="20" max="24" width="8.7109375" customWidth="1"/>
    <col min="25" max="25" width="9.85546875" customWidth="1"/>
    <col min="26" max="27" width="8.7109375" customWidth="1"/>
    <col min="28" max="28" width="20.85546875" bestFit="1" customWidth="1"/>
    <col min="29" max="29" width="5" customWidth="1"/>
    <col min="38" max="38" width="11.7109375" bestFit="1" customWidth="1"/>
  </cols>
  <sheetData>
    <row r="1" spans="2:39" ht="18" customHeight="1">
      <c r="B1" s="106"/>
      <c r="C1" s="107"/>
      <c r="D1" s="112" t="s">
        <v>6</v>
      </c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4"/>
      <c r="AA1" s="118" t="s">
        <v>51</v>
      </c>
      <c r="AB1" s="119"/>
    </row>
    <row r="2" spans="2:39" ht="18" customHeight="1">
      <c r="B2" s="108"/>
      <c r="C2" s="109"/>
      <c r="D2" s="115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7"/>
      <c r="AA2" s="120"/>
      <c r="AB2" s="121"/>
    </row>
    <row r="3" spans="2:39" ht="18" customHeight="1">
      <c r="B3" s="108"/>
      <c r="C3" s="109"/>
      <c r="D3" s="124" t="s">
        <v>8</v>
      </c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6"/>
      <c r="AA3" s="120"/>
      <c r="AB3" s="121"/>
    </row>
    <row r="4" spans="2:39" ht="18" customHeight="1" thickBot="1">
      <c r="B4" s="110"/>
      <c r="C4" s="111"/>
      <c r="D4" s="127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9"/>
      <c r="AA4" s="122"/>
      <c r="AB4" s="123"/>
    </row>
    <row r="5" spans="2:39" ht="6.6" customHeight="1">
      <c r="B5" s="39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1"/>
    </row>
    <row r="6" spans="2:39" ht="33.75" customHeight="1">
      <c r="B6" s="130" t="s">
        <v>9</v>
      </c>
      <c r="C6" s="130"/>
      <c r="D6" s="131" t="s">
        <v>74</v>
      </c>
      <c r="E6" s="132"/>
      <c r="F6" s="132"/>
      <c r="G6" s="132"/>
      <c r="H6" s="132"/>
      <c r="I6" s="132"/>
      <c r="J6" s="132"/>
      <c r="K6" s="133"/>
      <c r="L6" s="134" t="s">
        <v>10</v>
      </c>
      <c r="M6" s="135"/>
      <c r="N6" s="135"/>
      <c r="O6" s="135"/>
      <c r="P6" s="135"/>
      <c r="Q6" s="135"/>
      <c r="R6" s="135"/>
      <c r="S6" s="136"/>
      <c r="T6" s="137" t="s">
        <v>11</v>
      </c>
      <c r="U6" s="137"/>
      <c r="V6" s="137"/>
      <c r="W6" s="137"/>
      <c r="X6" s="137"/>
      <c r="Y6" s="137" t="s">
        <v>12</v>
      </c>
      <c r="Z6" s="137"/>
      <c r="AA6" s="138" t="s">
        <v>52</v>
      </c>
      <c r="AB6" s="139"/>
    </row>
    <row r="7" spans="2:39" ht="33.75" customHeight="1">
      <c r="B7" s="130" t="s">
        <v>14</v>
      </c>
      <c r="C7" s="130"/>
      <c r="D7" s="131" t="s">
        <v>75</v>
      </c>
      <c r="E7" s="132"/>
      <c r="F7" s="132"/>
      <c r="G7" s="132"/>
      <c r="H7" s="132"/>
      <c r="I7" s="132"/>
      <c r="J7" s="132"/>
      <c r="K7" s="133"/>
      <c r="L7" s="140" t="s">
        <v>15</v>
      </c>
      <c r="M7" s="141"/>
      <c r="N7" s="141"/>
      <c r="O7" s="141"/>
      <c r="P7" s="141"/>
      <c r="Q7" s="141"/>
      <c r="R7" s="141"/>
      <c r="S7" s="142"/>
      <c r="T7" s="140" t="s">
        <v>77</v>
      </c>
      <c r="U7" s="141"/>
      <c r="V7" s="141"/>
      <c r="W7" s="141"/>
      <c r="X7" s="142"/>
      <c r="Y7" s="143">
        <v>6262</v>
      </c>
      <c r="Z7" s="144"/>
      <c r="AA7" s="104" t="s">
        <v>81</v>
      </c>
      <c r="AB7" s="105"/>
    </row>
    <row r="8" spans="2:39" ht="33.75" customHeight="1">
      <c r="B8" s="130" t="s">
        <v>16</v>
      </c>
      <c r="C8" s="130"/>
      <c r="D8" s="131" t="s">
        <v>76</v>
      </c>
      <c r="E8" s="132"/>
      <c r="F8" s="132"/>
      <c r="G8" s="132"/>
      <c r="H8" s="132"/>
      <c r="I8" s="132"/>
      <c r="J8" s="132"/>
      <c r="K8" s="133"/>
      <c r="L8" s="140" t="s">
        <v>78</v>
      </c>
      <c r="M8" s="141"/>
      <c r="N8" s="141"/>
      <c r="O8" s="141"/>
      <c r="P8" s="141"/>
      <c r="Q8" s="141"/>
      <c r="R8" s="141"/>
      <c r="S8" s="142"/>
      <c r="T8" s="140" t="s">
        <v>77</v>
      </c>
      <c r="U8" s="141"/>
      <c r="V8" s="141"/>
      <c r="W8" s="141"/>
      <c r="X8" s="142"/>
      <c r="Y8" s="143">
        <v>6327</v>
      </c>
      <c r="Z8" s="144"/>
      <c r="AA8" s="104" t="s">
        <v>79</v>
      </c>
      <c r="AB8" s="105"/>
    </row>
    <row r="9" spans="2:39" ht="9" customHeight="1" thickBot="1">
      <c r="B9" s="42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4"/>
    </row>
    <row r="10" spans="2:39" ht="22.5" customHeight="1">
      <c r="B10" s="147" t="s">
        <v>18</v>
      </c>
      <c r="C10" s="149" t="s">
        <v>19</v>
      </c>
      <c r="D10" s="151" t="s">
        <v>20</v>
      </c>
      <c r="E10" s="152"/>
      <c r="F10" s="152"/>
      <c r="G10" s="152"/>
      <c r="H10" s="152"/>
      <c r="I10" s="152"/>
      <c r="J10" s="152"/>
      <c r="K10" s="153"/>
      <c r="L10" s="151" t="s">
        <v>21</v>
      </c>
      <c r="M10" s="152"/>
      <c r="N10" s="152"/>
      <c r="O10" s="152"/>
      <c r="P10" s="152"/>
      <c r="Q10" s="152"/>
      <c r="R10" s="152"/>
      <c r="S10" s="154"/>
      <c r="T10" s="155" t="s">
        <v>53</v>
      </c>
      <c r="U10" s="156"/>
      <c r="V10" s="156"/>
      <c r="W10" s="156"/>
      <c r="X10" s="156"/>
      <c r="Y10" s="156"/>
      <c r="Z10" s="156"/>
      <c r="AA10" s="156"/>
      <c r="AB10" s="145" t="s">
        <v>23</v>
      </c>
      <c r="AD10" s="45" t="s">
        <v>34</v>
      </c>
      <c r="AE10" s="45" t="s">
        <v>35</v>
      </c>
      <c r="AF10" s="45" t="s">
        <v>36</v>
      </c>
      <c r="AG10" s="45" t="s">
        <v>37</v>
      </c>
      <c r="AH10" s="45" t="s">
        <v>38</v>
      </c>
      <c r="AI10" s="45" t="s">
        <v>39</v>
      </c>
      <c r="AJ10" s="45" t="s">
        <v>40</v>
      </c>
      <c r="AK10" s="45" t="s">
        <v>41</v>
      </c>
    </row>
    <row r="11" spans="2:39" ht="48.75" customHeight="1" thickBot="1">
      <c r="B11" s="148"/>
      <c r="C11" s="150"/>
      <c r="D11" s="46" t="s">
        <v>24</v>
      </c>
      <c r="E11" s="47" t="s">
        <v>25</v>
      </c>
      <c r="F11" s="47" t="s">
        <v>26</v>
      </c>
      <c r="G11" s="47" t="s">
        <v>27</v>
      </c>
      <c r="H11" s="47" t="s">
        <v>28</v>
      </c>
      <c r="I11" s="47" t="s">
        <v>29</v>
      </c>
      <c r="J11" s="47" t="s">
        <v>30</v>
      </c>
      <c r="K11" s="48" t="s">
        <v>31</v>
      </c>
      <c r="L11" s="49" t="s">
        <v>32</v>
      </c>
      <c r="M11" s="50" t="s">
        <v>25</v>
      </c>
      <c r="N11" s="50" t="s">
        <v>26</v>
      </c>
      <c r="O11" s="50" t="s">
        <v>27</v>
      </c>
      <c r="P11" s="50" t="s">
        <v>28</v>
      </c>
      <c r="Q11" s="50" t="s">
        <v>29</v>
      </c>
      <c r="R11" s="50" t="s">
        <v>33</v>
      </c>
      <c r="S11" s="51" t="s">
        <v>31</v>
      </c>
      <c r="T11" s="52" t="s">
        <v>34</v>
      </c>
      <c r="U11" s="53" t="s">
        <v>35</v>
      </c>
      <c r="V11" s="53" t="s">
        <v>36</v>
      </c>
      <c r="W11" s="53" t="s">
        <v>37</v>
      </c>
      <c r="X11" s="53" t="s">
        <v>38</v>
      </c>
      <c r="Y11" s="53" t="s">
        <v>39</v>
      </c>
      <c r="Z11" s="53" t="s">
        <v>40</v>
      </c>
      <c r="AA11" s="54" t="s">
        <v>41</v>
      </c>
      <c r="AB11" s="146"/>
      <c r="AD11" s="1">
        <v>0.5</v>
      </c>
      <c r="AE11" s="55">
        <v>5</v>
      </c>
      <c r="AF11" s="1">
        <v>1</v>
      </c>
      <c r="AG11" s="1">
        <v>22.5</v>
      </c>
      <c r="AH11" s="1">
        <v>1</v>
      </c>
      <c r="AI11" s="1">
        <v>90</v>
      </c>
      <c r="AJ11" s="1">
        <v>0.8</v>
      </c>
      <c r="AK11" s="56">
        <v>0.05</v>
      </c>
      <c r="AL11" s="13" t="s">
        <v>27</v>
      </c>
      <c r="AM11" s="13" t="s">
        <v>37</v>
      </c>
    </row>
    <row r="12" spans="2:39" ht="15" customHeight="1">
      <c r="B12" s="80">
        <v>45434</v>
      </c>
      <c r="C12" s="57">
        <v>45434</v>
      </c>
      <c r="D12" s="83">
        <v>13.7102</v>
      </c>
      <c r="E12" s="58">
        <v>88.806600000000003</v>
      </c>
      <c r="F12" s="58">
        <v>567.21</v>
      </c>
      <c r="G12" s="58">
        <v>64.11</v>
      </c>
      <c r="H12" s="58">
        <v>0.31</v>
      </c>
      <c r="I12" s="58">
        <v>0</v>
      </c>
      <c r="J12" s="58"/>
      <c r="K12" s="84">
        <v>1</v>
      </c>
      <c r="L12" s="83">
        <v>13.99</v>
      </c>
      <c r="M12" s="58">
        <v>86.22</v>
      </c>
      <c r="N12" s="58">
        <v>567.21</v>
      </c>
      <c r="O12" s="58">
        <v>58.11</v>
      </c>
      <c r="P12" s="58">
        <v>0.31</v>
      </c>
      <c r="Q12" s="58">
        <v>0</v>
      </c>
      <c r="R12" s="58"/>
      <c r="S12" s="90">
        <v>1</v>
      </c>
      <c r="T12" s="83">
        <f>+ABS(L12-D12)</f>
        <v>0.27979999999999983</v>
      </c>
      <c r="U12" s="58">
        <f t="shared" ref="T12:Z35" si="0">+ABS(M12-E12)</f>
        <v>2.5866000000000042</v>
      </c>
      <c r="V12" s="58">
        <f t="shared" si="0"/>
        <v>0</v>
      </c>
      <c r="W12" s="58">
        <f t="shared" si="0"/>
        <v>6</v>
      </c>
      <c r="X12" s="58">
        <f t="shared" si="0"/>
        <v>0</v>
      </c>
      <c r="Y12" s="91">
        <f t="shared" si="0"/>
        <v>0</v>
      </c>
      <c r="Z12" s="58">
        <f t="shared" si="0"/>
        <v>0</v>
      </c>
      <c r="AA12" s="59">
        <f>IF(AND(K12=0, S12=0), 0, IF(K12=0, 1, ABS((S12-K12)/K12)))</f>
        <v>0</v>
      </c>
      <c r="AB12" s="60" t="str">
        <f>+IF(AND(T12&lt;=$AD$11,U12&lt;=$AE$11,V12&lt;=$AF$11,W12&lt;=$AG$11,X12&lt;=$AH$11,Y12&lt;=$AI$11,Z12&lt;=$AJ$11,AA12&lt;=$AK$11),"Cumple","No cumple")</f>
        <v>Cumple</v>
      </c>
      <c r="AL12" t="s">
        <v>54</v>
      </c>
      <c r="AM12" t="s">
        <v>54</v>
      </c>
    </row>
    <row r="13" spans="2:39" ht="15" customHeight="1">
      <c r="B13" s="80">
        <v>45434.041666666664</v>
      </c>
      <c r="C13" s="61">
        <v>45434.041666666664</v>
      </c>
      <c r="D13" s="85">
        <v>13.1418</v>
      </c>
      <c r="E13" s="62">
        <v>90.887199999999993</v>
      </c>
      <c r="F13" s="62">
        <v>565.9</v>
      </c>
      <c r="G13" s="62">
        <v>304.75</v>
      </c>
      <c r="H13" s="62">
        <v>0.32</v>
      </c>
      <c r="I13" s="62">
        <v>0</v>
      </c>
      <c r="J13" s="62"/>
      <c r="K13" s="86">
        <v>0</v>
      </c>
      <c r="L13" s="85">
        <v>13.41</v>
      </c>
      <c r="M13" s="62">
        <v>88.24</v>
      </c>
      <c r="N13" s="62">
        <v>565.9</v>
      </c>
      <c r="O13" s="62">
        <v>301.75</v>
      </c>
      <c r="P13" s="62">
        <v>0.32</v>
      </c>
      <c r="Q13" s="62">
        <v>0</v>
      </c>
      <c r="R13" s="62"/>
      <c r="S13" s="92">
        <v>0</v>
      </c>
      <c r="T13" s="85">
        <f t="shared" si="0"/>
        <v>0.26820000000000022</v>
      </c>
      <c r="U13" s="62">
        <f t="shared" si="0"/>
        <v>2.647199999999998</v>
      </c>
      <c r="V13" s="62">
        <f t="shared" si="0"/>
        <v>0</v>
      </c>
      <c r="W13" s="62">
        <f t="shared" si="0"/>
        <v>3</v>
      </c>
      <c r="X13" s="62">
        <f t="shared" si="0"/>
        <v>0</v>
      </c>
      <c r="Y13" s="62">
        <f t="shared" si="0"/>
        <v>0</v>
      </c>
      <c r="Z13" s="62">
        <f t="shared" si="0"/>
        <v>0</v>
      </c>
      <c r="AA13" s="59">
        <f t="shared" ref="AA13:AA35" si="1">IF(AND(K13=0, S13=0), 0, IF(K13=0, 1, ABS((S13-K13)/K13)))</f>
        <v>0</v>
      </c>
      <c r="AB13" s="60" t="str">
        <f>+IF(AND(T13&lt;=$AD$11,U13&lt;=$AE$11,V13&lt;=$AF$11,W13&lt;=$AG$11,X13&lt;=$AH$11,Y13&lt;=$AI$11,Z13&lt;=$AJ$11,AA13&lt;=$AK$11),"Cumple","No cumple")</f>
        <v>Cumple</v>
      </c>
      <c r="AL13" t="s">
        <v>55</v>
      </c>
      <c r="AM13" t="s">
        <v>54</v>
      </c>
    </row>
    <row r="14" spans="2:39" ht="15" customHeight="1">
      <c r="B14" s="80">
        <v>45434.083333333336</v>
      </c>
      <c r="C14" s="61">
        <v>45434.083333333336</v>
      </c>
      <c r="D14" s="85">
        <v>12.8086</v>
      </c>
      <c r="E14" s="62">
        <v>91.268299999999996</v>
      </c>
      <c r="F14" s="62">
        <v>565.54</v>
      </c>
      <c r="G14" s="62">
        <v>316.62</v>
      </c>
      <c r="H14" s="62">
        <v>1.44</v>
      </c>
      <c r="I14" s="62">
        <v>0</v>
      </c>
      <c r="J14" s="62"/>
      <c r="K14" s="86">
        <v>0</v>
      </c>
      <c r="L14" s="85">
        <v>13.07</v>
      </c>
      <c r="M14" s="62">
        <v>88.61</v>
      </c>
      <c r="N14" s="62">
        <v>565.54</v>
      </c>
      <c r="O14" s="62">
        <v>313.62</v>
      </c>
      <c r="P14" s="62">
        <v>0.44</v>
      </c>
      <c r="Q14" s="62">
        <v>0</v>
      </c>
      <c r="R14" s="62"/>
      <c r="S14" s="92">
        <v>0</v>
      </c>
      <c r="T14" s="85">
        <f t="shared" si="0"/>
        <v>0.26140000000000008</v>
      </c>
      <c r="U14" s="62">
        <f t="shared" si="0"/>
        <v>2.658299999999997</v>
      </c>
      <c r="V14" s="62">
        <f>+ABS(N14-F14)</f>
        <v>0</v>
      </c>
      <c r="W14" s="62">
        <f t="shared" si="0"/>
        <v>3</v>
      </c>
      <c r="X14" s="62">
        <f t="shared" si="0"/>
        <v>1</v>
      </c>
      <c r="Y14" s="62">
        <f t="shared" si="0"/>
        <v>0</v>
      </c>
      <c r="Z14" s="62">
        <f t="shared" si="0"/>
        <v>0</v>
      </c>
      <c r="AA14" s="59">
        <f t="shared" si="1"/>
        <v>0</v>
      </c>
      <c r="AB14" s="60" t="str">
        <f>+IF(AND(T14&lt;=$AD$11,U14&lt;=$AE$11,V14&lt;=$AF$11,W14&lt;=$AG$11,X14&lt;=$AH$11,Y14&lt;=$AI$11,Z14&lt;=$AJ$11,AA14&lt;=$AK$11),"Cumple","No cumple")</f>
        <v>Cumple</v>
      </c>
      <c r="AL14" t="s">
        <v>55</v>
      </c>
      <c r="AM14" t="s">
        <v>55</v>
      </c>
    </row>
    <row r="15" spans="2:39" ht="15" customHeight="1">
      <c r="B15" s="80">
        <v>45434.125</v>
      </c>
      <c r="C15" s="61">
        <v>45434.125</v>
      </c>
      <c r="D15" s="85">
        <v>12.573399999999999</v>
      </c>
      <c r="E15" s="62">
        <v>91.453700000000012</v>
      </c>
      <c r="F15" s="62">
        <v>566.72</v>
      </c>
      <c r="G15" s="62">
        <v>323.5</v>
      </c>
      <c r="H15" s="62">
        <v>0.13</v>
      </c>
      <c r="I15" s="62">
        <v>0</v>
      </c>
      <c r="J15" s="62"/>
      <c r="K15" s="86">
        <v>0</v>
      </c>
      <c r="L15" s="85">
        <v>12.83</v>
      </c>
      <c r="M15" s="62">
        <v>88.79</v>
      </c>
      <c r="N15" s="62">
        <v>565.72</v>
      </c>
      <c r="O15" s="62">
        <v>313.5</v>
      </c>
      <c r="P15" s="62">
        <v>0.13</v>
      </c>
      <c r="Q15" s="62">
        <v>0</v>
      </c>
      <c r="R15" s="62"/>
      <c r="S15" s="92">
        <v>0</v>
      </c>
      <c r="T15" s="85">
        <f t="shared" si="0"/>
        <v>0.25660000000000061</v>
      </c>
      <c r="U15" s="62">
        <f t="shared" si="0"/>
        <v>2.6637000000000057</v>
      </c>
      <c r="V15" s="62">
        <f t="shared" si="0"/>
        <v>1</v>
      </c>
      <c r="W15" s="62">
        <f t="shared" si="0"/>
        <v>10</v>
      </c>
      <c r="X15" s="62">
        <f t="shared" si="0"/>
        <v>0</v>
      </c>
      <c r="Y15" s="62">
        <f t="shared" si="0"/>
        <v>0</v>
      </c>
      <c r="Z15" s="62">
        <f t="shared" si="0"/>
        <v>0</v>
      </c>
      <c r="AA15" s="59">
        <f t="shared" si="1"/>
        <v>0</v>
      </c>
      <c r="AB15" s="60" t="str">
        <f t="shared" ref="AB15:AB35" si="2">+IF(AND(T15&lt;=$AD$11,U15&lt;=$AE$11,V15&lt;=$AF$11,W15&lt;=$AG$11,X15&lt;=$AH$11,Y15&lt;=$AI$11,Z15&lt;=$AJ$11,AA15&lt;=$AK$11),"Cumple","No cumple")</f>
        <v>Cumple</v>
      </c>
      <c r="AL15" t="s">
        <v>55</v>
      </c>
      <c r="AM15" t="s">
        <v>55</v>
      </c>
    </row>
    <row r="16" spans="2:39" ht="15" customHeight="1">
      <c r="B16" s="80">
        <v>45434.166666666664</v>
      </c>
      <c r="C16" s="61">
        <v>45434.166666666664</v>
      </c>
      <c r="D16" s="85">
        <v>12.8086</v>
      </c>
      <c r="E16" s="62">
        <v>89.455500000000001</v>
      </c>
      <c r="F16" s="62">
        <v>567.16999999999996</v>
      </c>
      <c r="G16" s="62">
        <v>268.54000000000002</v>
      </c>
      <c r="H16" s="62">
        <v>1.23</v>
      </c>
      <c r="I16" s="62">
        <v>0</v>
      </c>
      <c r="J16" s="62"/>
      <c r="K16" s="86">
        <v>0</v>
      </c>
      <c r="L16" s="85">
        <v>13.07</v>
      </c>
      <c r="M16" s="62">
        <v>86.85</v>
      </c>
      <c r="N16" s="62">
        <v>566.16999999999996</v>
      </c>
      <c r="O16" s="62">
        <v>266.54000000000002</v>
      </c>
      <c r="P16" s="62">
        <v>0.23</v>
      </c>
      <c r="Q16" s="62">
        <v>0</v>
      </c>
      <c r="R16" s="62"/>
      <c r="S16" s="92">
        <v>0</v>
      </c>
      <c r="T16" s="85">
        <f t="shared" si="0"/>
        <v>0.26140000000000008</v>
      </c>
      <c r="U16" s="62">
        <f t="shared" si="0"/>
        <v>2.6055000000000064</v>
      </c>
      <c r="V16" s="62">
        <f t="shared" si="0"/>
        <v>1</v>
      </c>
      <c r="W16" s="62">
        <f t="shared" si="0"/>
        <v>2</v>
      </c>
      <c r="X16" s="62">
        <f t="shared" si="0"/>
        <v>1</v>
      </c>
      <c r="Y16" s="62">
        <f t="shared" si="0"/>
        <v>0</v>
      </c>
      <c r="Z16" s="62">
        <f t="shared" si="0"/>
        <v>0</v>
      </c>
      <c r="AA16" s="59">
        <f t="shared" si="1"/>
        <v>0</v>
      </c>
      <c r="AB16" s="60" t="str">
        <f t="shared" si="2"/>
        <v>Cumple</v>
      </c>
      <c r="AL16" t="s">
        <v>56</v>
      </c>
      <c r="AM16" t="s">
        <v>57</v>
      </c>
    </row>
    <row r="17" spans="2:39" ht="15" customHeight="1">
      <c r="B17" s="80">
        <v>45434.208333333336</v>
      </c>
      <c r="C17" s="61">
        <v>45434.208333333336</v>
      </c>
      <c r="D17" s="85">
        <v>13.053599999999999</v>
      </c>
      <c r="E17" s="62">
        <v>88.178299999999993</v>
      </c>
      <c r="F17" s="62">
        <v>566.29</v>
      </c>
      <c r="G17" s="62">
        <v>313</v>
      </c>
      <c r="H17" s="62">
        <v>0</v>
      </c>
      <c r="I17" s="62">
        <v>0</v>
      </c>
      <c r="J17" s="62"/>
      <c r="K17" s="86">
        <v>0</v>
      </c>
      <c r="L17" s="85">
        <v>13.32</v>
      </c>
      <c r="M17" s="62">
        <v>85.61</v>
      </c>
      <c r="N17" s="62">
        <v>566.29</v>
      </c>
      <c r="O17" s="62">
        <v>307</v>
      </c>
      <c r="P17" s="62">
        <v>0</v>
      </c>
      <c r="Q17" s="62">
        <v>0</v>
      </c>
      <c r="R17" s="62"/>
      <c r="S17" s="92">
        <v>0</v>
      </c>
      <c r="T17" s="85">
        <f t="shared" si="0"/>
        <v>0.26640000000000086</v>
      </c>
      <c r="U17" s="62">
        <f t="shared" si="0"/>
        <v>2.5682999999999936</v>
      </c>
      <c r="V17" s="62">
        <f t="shared" si="0"/>
        <v>0</v>
      </c>
      <c r="W17" s="62">
        <f t="shared" si="0"/>
        <v>6</v>
      </c>
      <c r="X17" s="62">
        <f t="shared" si="0"/>
        <v>0</v>
      </c>
      <c r="Y17" s="62">
        <f t="shared" si="0"/>
        <v>0</v>
      </c>
      <c r="Z17" s="62">
        <f t="shared" si="0"/>
        <v>0</v>
      </c>
      <c r="AA17" s="59">
        <f t="shared" si="1"/>
        <v>0</v>
      </c>
      <c r="AB17" s="60" t="str">
        <f t="shared" si="2"/>
        <v>Cumple</v>
      </c>
      <c r="AL17" t="s">
        <v>58</v>
      </c>
      <c r="AM17" t="s">
        <v>58</v>
      </c>
    </row>
    <row r="18" spans="2:39" ht="15" customHeight="1">
      <c r="B18" s="80">
        <v>45434.25</v>
      </c>
      <c r="C18" s="61">
        <v>45434.25</v>
      </c>
      <c r="D18" s="85">
        <v>13.651399999999999</v>
      </c>
      <c r="E18" s="62">
        <v>84.974999999999994</v>
      </c>
      <c r="F18" s="62">
        <v>566.91999999999996</v>
      </c>
      <c r="G18" s="62">
        <v>315.61</v>
      </c>
      <c r="H18" s="62">
        <v>0.35</v>
      </c>
      <c r="I18" s="62">
        <v>93.31</v>
      </c>
      <c r="J18" s="62"/>
      <c r="K18" s="86">
        <v>0</v>
      </c>
      <c r="L18" s="85">
        <v>13.93</v>
      </c>
      <c r="M18" s="62">
        <v>82.5</v>
      </c>
      <c r="N18" s="62">
        <v>566.91999999999996</v>
      </c>
      <c r="O18" s="62">
        <v>313.61</v>
      </c>
      <c r="P18" s="62">
        <v>0.35</v>
      </c>
      <c r="Q18" s="62">
        <v>23.31</v>
      </c>
      <c r="R18" s="62"/>
      <c r="S18" s="92">
        <v>0</v>
      </c>
      <c r="T18" s="85">
        <f t="shared" si="0"/>
        <v>0.27860000000000085</v>
      </c>
      <c r="U18" s="62">
        <f t="shared" si="0"/>
        <v>2.4749999999999943</v>
      </c>
      <c r="V18" s="62">
        <f t="shared" si="0"/>
        <v>0</v>
      </c>
      <c r="W18" s="62">
        <f t="shared" si="0"/>
        <v>2</v>
      </c>
      <c r="X18" s="62">
        <f t="shared" si="0"/>
        <v>0</v>
      </c>
      <c r="Y18" s="62">
        <f t="shared" si="0"/>
        <v>70</v>
      </c>
      <c r="Z18" s="62">
        <f t="shared" si="0"/>
        <v>0</v>
      </c>
      <c r="AA18" s="59">
        <f t="shared" si="1"/>
        <v>0</v>
      </c>
      <c r="AB18" s="60" t="str">
        <f t="shared" si="2"/>
        <v>Cumple</v>
      </c>
      <c r="AL18" t="s">
        <v>55</v>
      </c>
      <c r="AM18" t="s">
        <v>55</v>
      </c>
    </row>
    <row r="19" spans="2:39" ht="15" customHeight="1">
      <c r="B19" s="80">
        <v>45434.291666666664</v>
      </c>
      <c r="C19" s="61">
        <v>45434.291666666664</v>
      </c>
      <c r="D19" s="85">
        <v>14.4354</v>
      </c>
      <c r="E19" s="62">
        <v>82.317599999999999</v>
      </c>
      <c r="F19" s="62">
        <v>568.41</v>
      </c>
      <c r="G19" s="62">
        <v>264.51</v>
      </c>
      <c r="H19" s="62">
        <v>1.5899999999999999</v>
      </c>
      <c r="I19" s="62">
        <v>124.96</v>
      </c>
      <c r="J19" s="62"/>
      <c r="K19" s="86">
        <v>0</v>
      </c>
      <c r="L19" s="85">
        <v>14.73</v>
      </c>
      <c r="M19" s="62">
        <v>79.92</v>
      </c>
      <c r="N19" s="62">
        <v>567.41</v>
      </c>
      <c r="O19" s="62">
        <v>257.51</v>
      </c>
      <c r="P19" s="62">
        <v>0.59</v>
      </c>
      <c r="Q19" s="62">
        <v>99.96</v>
      </c>
      <c r="R19" s="62"/>
      <c r="S19" s="92">
        <v>0</v>
      </c>
      <c r="T19" s="85">
        <f t="shared" si="0"/>
        <v>0.29460000000000086</v>
      </c>
      <c r="U19" s="62">
        <f t="shared" si="0"/>
        <v>2.3975999999999971</v>
      </c>
      <c r="V19" s="62">
        <f t="shared" si="0"/>
        <v>1</v>
      </c>
      <c r="W19" s="62">
        <f t="shared" si="0"/>
        <v>7</v>
      </c>
      <c r="X19" s="62">
        <f t="shared" si="0"/>
        <v>0.99999999999999989</v>
      </c>
      <c r="Y19" s="62">
        <f t="shared" si="0"/>
        <v>25</v>
      </c>
      <c r="Z19" s="62">
        <f t="shared" si="0"/>
        <v>0</v>
      </c>
      <c r="AA19" s="59">
        <f t="shared" si="1"/>
        <v>0</v>
      </c>
      <c r="AB19" s="60" t="str">
        <f t="shared" si="2"/>
        <v>Cumple</v>
      </c>
      <c r="AL19" t="s">
        <v>55</v>
      </c>
      <c r="AM19" t="s">
        <v>55</v>
      </c>
    </row>
    <row r="20" spans="2:39" ht="15" customHeight="1">
      <c r="B20" s="80">
        <v>45434.333333333336</v>
      </c>
      <c r="C20" s="61">
        <v>45434.333333333336</v>
      </c>
      <c r="D20" s="85">
        <v>16.5914</v>
      </c>
      <c r="E20" s="62">
        <v>72.707700000000003</v>
      </c>
      <c r="F20" s="62">
        <v>567.59</v>
      </c>
      <c r="G20" s="62">
        <v>22.14</v>
      </c>
      <c r="H20" s="62">
        <v>0.98</v>
      </c>
      <c r="I20" s="62">
        <v>126.09</v>
      </c>
      <c r="J20" s="62"/>
      <c r="K20" s="86">
        <v>0</v>
      </c>
      <c r="L20" s="85">
        <v>16.93</v>
      </c>
      <c r="M20" s="62">
        <v>70.59</v>
      </c>
      <c r="N20" s="62">
        <v>567.59</v>
      </c>
      <c r="O20" s="62">
        <v>16.14</v>
      </c>
      <c r="P20" s="62">
        <v>0.98</v>
      </c>
      <c r="Q20" s="62">
        <v>119.09</v>
      </c>
      <c r="R20" s="62"/>
      <c r="S20" s="92">
        <v>0</v>
      </c>
      <c r="T20" s="85">
        <f t="shared" si="0"/>
        <v>0.33859999999999957</v>
      </c>
      <c r="U20" s="62">
        <f t="shared" si="0"/>
        <v>2.1176999999999992</v>
      </c>
      <c r="V20" s="62">
        <f t="shared" si="0"/>
        <v>0</v>
      </c>
      <c r="W20" s="62">
        <f t="shared" si="0"/>
        <v>6</v>
      </c>
      <c r="X20" s="62">
        <f t="shared" si="0"/>
        <v>0</v>
      </c>
      <c r="Y20" s="62">
        <f t="shared" si="0"/>
        <v>7</v>
      </c>
      <c r="Z20" s="62">
        <f t="shared" si="0"/>
        <v>0</v>
      </c>
      <c r="AA20" s="59">
        <f t="shared" si="1"/>
        <v>0</v>
      </c>
      <c r="AB20" s="60" t="str">
        <f t="shared" si="2"/>
        <v>Cumple</v>
      </c>
      <c r="AL20" t="s">
        <v>55</v>
      </c>
      <c r="AM20" t="s">
        <v>55</v>
      </c>
    </row>
    <row r="21" spans="2:39" ht="15" customHeight="1">
      <c r="B21" s="80">
        <v>45434.375</v>
      </c>
      <c r="C21" s="61">
        <v>45434.375</v>
      </c>
      <c r="D21" s="85">
        <v>17.816399999999998</v>
      </c>
      <c r="E21" s="62">
        <v>66.599800000000002</v>
      </c>
      <c r="F21" s="62">
        <v>567.75</v>
      </c>
      <c r="G21" s="62">
        <v>169.63</v>
      </c>
      <c r="H21" s="62">
        <v>1.36</v>
      </c>
      <c r="I21" s="62">
        <v>295.37</v>
      </c>
      <c r="J21" s="62"/>
      <c r="K21" s="86">
        <v>0</v>
      </c>
      <c r="L21" s="85">
        <v>18.18</v>
      </c>
      <c r="M21" s="62">
        <v>64.66</v>
      </c>
      <c r="N21" s="62">
        <v>567.75</v>
      </c>
      <c r="O21" s="62">
        <v>163.63</v>
      </c>
      <c r="P21" s="62">
        <v>1.36</v>
      </c>
      <c r="Q21" s="62">
        <v>260.37</v>
      </c>
      <c r="R21" s="62"/>
      <c r="S21" s="92">
        <v>0</v>
      </c>
      <c r="T21" s="85">
        <f t="shared" si="0"/>
        <v>0.3636000000000017</v>
      </c>
      <c r="U21" s="62">
        <f t="shared" si="0"/>
        <v>1.9398000000000053</v>
      </c>
      <c r="V21" s="62">
        <f t="shared" si="0"/>
        <v>0</v>
      </c>
      <c r="W21" s="62">
        <f t="shared" si="0"/>
        <v>6</v>
      </c>
      <c r="X21" s="62">
        <f t="shared" si="0"/>
        <v>0</v>
      </c>
      <c r="Y21" s="62">
        <f t="shared" si="0"/>
        <v>35</v>
      </c>
      <c r="Z21" s="62">
        <f t="shared" si="0"/>
        <v>0</v>
      </c>
      <c r="AA21" s="59">
        <f t="shared" si="1"/>
        <v>0</v>
      </c>
      <c r="AB21" s="60" t="str">
        <f t="shared" si="2"/>
        <v>Cumple</v>
      </c>
      <c r="AL21" t="s">
        <v>58</v>
      </c>
      <c r="AM21" t="s">
        <v>58</v>
      </c>
    </row>
    <row r="22" spans="2:39" ht="15" customHeight="1">
      <c r="B22" s="80">
        <v>45434.416666666664</v>
      </c>
      <c r="C22" s="61">
        <v>45434.416666666664</v>
      </c>
      <c r="D22" s="85">
        <v>19.002200000000002</v>
      </c>
      <c r="E22" s="62">
        <v>57.659399999999998</v>
      </c>
      <c r="F22" s="62">
        <v>568.08000000000004</v>
      </c>
      <c r="G22" s="62">
        <v>91.62</v>
      </c>
      <c r="H22" s="62">
        <v>3.08</v>
      </c>
      <c r="I22" s="62">
        <v>347.85</v>
      </c>
      <c r="J22" s="62"/>
      <c r="K22" s="86">
        <v>0</v>
      </c>
      <c r="L22" s="85">
        <v>19.39</v>
      </c>
      <c r="M22" s="62">
        <v>55.98</v>
      </c>
      <c r="N22" s="62">
        <v>568.08000000000004</v>
      </c>
      <c r="O22" s="62">
        <v>88.62</v>
      </c>
      <c r="P22" s="62">
        <v>2.08</v>
      </c>
      <c r="Q22" s="62">
        <v>266.85000000000002</v>
      </c>
      <c r="R22" s="62"/>
      <c r="S22" s="92">
        <v>0</v>
      </c>
      <c r="T22" s="85">
        <f t="shared" si="0"/>
        <v>0.38779999999999859</v>
      </c>
      <c r="U22" s="62">
        <f t="shared" si="0"/>
        <v>1.6794000000000011</v>
      </c>
      <c r="V22" s="62">
        <f t="shared" si="0"/>
        <v>0</v>
      </c>
      <c r="W22" s="62">
        <f t="shared" si="0"/>
        <v>3</v>
      </c>
      <c r="X22" s="62">
        <f t="shared" si="0"/>
        <v>1</v>
      </c>
      <c r="Y22" s="62">
        <f t="shared" si="0"/>
        <v>81</v>
      </c>
      <c r="Z22" s="62">
        <f t="shared" si="0"/>
        <v>0</v>
      </c>
      <c r="AA22" s="59">
        <f t="shared" si="1"/>
        <v>0</v>
      </c>
      <c r="AB22" s="60" t="str">
        <f t="shared" si="2"/>
        <v>Cumple</v>
      </c>
      <c r="AL22" t="s">
        <v>58</v>
      </c>
      <c r="AM22" t="s">
        <v>59</v>
      </c>
    </row>
    <row r="23" spans="2:39" ht="15" customHeight="1">
      <c r="B23" s="80">
        <v>45434.458333333336</v>
      </c>
      <c r="C23" s="61">
        <v>45434.458333333336</v>
      </c>
      <c r="D23" s="85">
        <v>19.982199999999999</v>
      </c>
      <c r="E23" s="62">
        <v>54.260399999999997</v>
      </c>
      <c r="F23" s="62">
        <v>567.73</v>
      </c>
      <c r="G23" s="62">
        <v>118.54</v>
      </c>
      <c r="H23" s="62">
        <v>3.17</v>
      </c>
      <c r="I23" s="62">
        <v>395.53</v>
      </c>
      <c r="J23" s="62"/>
      <c r="K23" s="86">
        <v>0</v>
      </c>
      <c r="L23" s="85">
        <v>20.39</v>
      </c>
      <c r="M23" s="62">
        <v>52.68</v>
      </c>
      <c r="N23" s="62">
        <v>567.73</v>
      </c>
      <c r="O23" s="62">
        <v>110.54</v>
      </c>
      <c r="P23" s="62">
        <v>2.17</v>
      </c>
      <c r="Q23" s="62">
        <v>333.53</v>
      </c>
      <c r="R23" s="62"/>
      <c r="S23" s="92">
        <v>0</v>
      </c>
      <c r="T23" s="85">
        <f t="shared" si="0"/>
        <v>0.40780000000000172</v>
      </c>
      <c r="U23" s="62">
        <f t="shared" si="0"/>
        <v>1.5803999999999974</v>
      </c>
      <c r="V23" s="62">
        <f t="shared" si="0"/>
        <v>0</v>
      </c>
      <c r="W23" s="62">
        <f t="shared" si="0"/>
        <v>8</v>
      </c>
      <c r="X23" s="62">
        <f t="shared" si="0"/>
        <v>1</v>
      </c>
      <c r="Y23" s="62">
        <f>+ABS(Q23-I23)</f>
        <v>62</v>
      </c>
      <c r="Z23" s="62">
        <f t="shared" si="0"/>
        <v>0</v>
      </c>
      <c r="AA23" s="59">
        <f t="shared" si="1"/>
        <v>0</v>
      </c>
      <c r="AB23" s="60" t="str">
        <f t="shared" si="2"/>
        <v>Cumple</v>
      </c>
      <c r="AL23" t="s">
        <v>58</v>
      </c>
      <c r="AM23" t="s">
        <v>58</v>
      </c>
    </row>
    <row r="24" spans="2:39" ht="15" customHeight="1">
      <c r="B24" s="80">
        <v>45434.5</v>
      </c>
      <c r="C24" s="61">
        <v>45434.5</v>
      </c>
      <c r="D24" s="85">
        <v>20.58</v>
      </c>
      <c r="E24" s="62">
        <v>53.549700000000001</v>
      </c>
      <c r="F24" s="62">
        <v>567.01</v>
      </c>
      <c r="G24" s="62">
        <v>54.83</v>
      </c>
      <c r="H24" s="62">
        <v>1.78</v>
      </c>
      <c r="I24" s="62">
        <v>326.42</v>
      </c>
      <c r="J24" s="62"/>
      <c r="K24" s="86">
        <v>0</v>
      </c>
      <c r="L24" s="85">
        <v>21</v>
      </c>
      <c r="M24" s="62">
        <v>51.99</v>
      </c>
      <c r="N24" s="62">
        <v>567.01</v>
      </c>
      <c r="O24" s="62">
        <v>50.83</v>
      </c>
      <c r="P24" s="62">
        <v>1.78</v>
      </c>
      <c r="Q24" s="62">
        <v>301.42</v>
      </c>
      <c r="R24" s="62"/>
      <c r="S24" s="92">
        <v>0</v>
      </c>
      <c r="T24" s="85">
        <f t="shared" si="0"/>
        <v>0.42000000000000171</v>
      </c>
      <c r="U24" s="62">
        <f t="shared" si="0"/>
        <v>1.5596999999999994</v>
      </c>
      <c r="V24" s="62">
        <f t="shared" si="0"/>
        <v>0</v>
      </c>
      <c r="W24" s="62">
        <f t="shared" si="0"/>
        <v>4</v>
      </c>
      <c r="X24" s="62">
        <f t="shared" si="0"/>
        <v>0</v>
      </c>
      <c r="Y24" s="62">
        <f t="shared" si="0"/>
        <v>25</v>
      </c>
      <c r="Z24" s="62">
        <f t="shared" si="0"/>
        <v>0</v>
      </c>
      <c r="AA24" s="59">
        <f t="shared" si="1"/>
        <v>0</v>
      </c>
      <c r="AB24" s="60" t="str">
        <f t="shared" si="2"/>
        <v>Cumple</v>
      </c>
      <c r="AL24" t="s">
        <v>58</v>
      </c>
      <c r="AM24" t="s">
        <v>58</v>
      </c>
    </row>
    <row r="25" spans="2:39" ht="15" customHeight="1">
      <c r="B25" s="80">
        <v>45434.541666666664</v>
      </c>
      <c r="C25" s="61">
        <v>45434.541666666664</v>
      </c>
      <c r="D25" s="85">
        <v>21.021000000000001</v>
      </c>
      <c r="E25" s="62">
        <v>51.5</v>
      </c>
      <c r="F25" s="62">
        <v>567.58000000000004</v>
      </c>
      <c r="G25" s="62">
        <v>77.64</v>
      </c>
      <c r="H25" s="62">
        <v>2.23</v>
      </c>
      <c r="I25" s="93">
        <v>388.22</v>
      </c>
      <c r="J25" s="62"/>
      <c r="K25" s="92">
        <v>0</v>
      </c>
      <c r="L25" s="94">
        <v>21.45</v>
      </c>
      <c r="M25" s="62">
        <v>50</v>
      </c>
      <c r="N25" s="62">
        <v>566.58000000000004</v>
      </c>
      <c r="O25" s="62">
        <v>77.64</v>
      </c>
      <c r="P25" s="62">
        <v>2.23</v>
      </c>
      <c r="Q25" s="93">
        <v>373.22</v>
      </c>
      <c r="R25" s="62"/>
      <c r="S25" s="92">
        <v>0</v>
      </c>
      <c r="T25" s="85">
        <f t="shared" si="0"/>
        <v>0.42899999999999849</v>
      </c>
      <c r="U25" s="62">
        <f t="shared" si="0"/>
        <v>1.5</v>
      </c>
      <c r="V25" s="62">
        <f t="shared" si="0"/>
        <v>1</v>
      </c>
      <c r="W25" s="62">
        <f t="shared" si="0"/>
        <v>0</v>
      </c>
      <c r="X25" s="62">
        <f t="shared" si="0"/>
        <v>0</v>
      </c>
      <c r="Y25" s="62">
        <f t="shared" si="0"/>
        <v>15</v>
      </c>
      <c r="Z25" s="62">
        <f t="shared" si="0"/>
        <v>0</v>
      </c>
      <c r="AA25" s="59">
        <f t="shared" si="1"/>
        <v>0</v>
      </c>
      <c r="AB25" s="60" t="str">
        <f t="shared" si="2"/>
        <v>Cumple</v>
      </c>
      <c r="AL25" t="s">
        <v>60</v>
      </c>
      <c r="AM25" t="s">
        <v>60</v>
      </c>
    </row>
    <row r="26" spans="2:39" ht="15" customHeight="1">
      <c r="B26" s="80">
        <v>45434.583333333336</v>
      </c>
      <c r="C26" s="61">
        <v>45434.583333333336</v>
      </c>
      <c r="D26" s="85">
        <v>21.991200000000003</v>
      </c>
      <c r="E26" s="62">
        <v>48.234899999999996</v>
      </c>
      <c r="F26" s="62">
        <v>565.96</v>
      </c>
      <c r="G26" s="62">
        <v>90.92</v>
      </c>
      <c r="H26" s="62">
        <v>3.41</v>
      </c>
      <c r="I26" s="93">
        <v>584.17999999999995</v>
      </c>
      <c r="J26" s="62"/>
      <c r="K26" s="92">
        <v>0</v>
      </c>
      <c r="L26" s="94">
        <v>22.44</v>
      </c>
      <c r="M26" s="62">
        <v>46.83</v>
      </c>
      <c r="N26" s="62">
        <v>565.96</v>
      </c>
      <c r="O26" s="62">
        <v>89.92</v>
      </c>
      <c r="P26" s="62">
        <v>2.41</v>
      </c>
      <c r="Q26" s="93">
        <v>523.17999999999995</v>
      </c>
      <c r="R26" s="62"/>
      <c r="S26" s="92">
        <v>0</v>
      </c>
      <c r="T26" s="85">
        <f t="shared" si="0"/>
        <v>0.44879999999999853</v>
      </c>
      <c r="U26" s="62">
        <f t="shared" si="0"/>
        <v>1.4048999999999978</v>
      </c>
      <c r="V26" s="62">
        <f t="shared" si="0"/>
        <v>0</v>
      </c>
      <c r="W26" s="62">
        <f t="shared" si="0"/>
        <v>1</v>
      </c>
      <c r="X26" s="62">
        <f t="shared" si="0"/>
        <v>1</v>
      </c>
      <c r="Y26" s="62">
        <f t="shared" si="0"/>
        <v>61</v>
      </c>
      <c r="Z26" s="62">
        <f t="shared" si="0"/>
        <v>0</v>
      </c>
      <c r="AA26" s="59">
        <f t="shared" si="1"/>
        <v>0</v>
      </c>
      <c r="AB26" s="60" t="str">
        <f t="shared" si="2"/>
        <v>Cumple</v>
      </c>
      <c r="AL26" t="s">
        <v>61</v>
      </c>
      <c r="AM26" t="s">
        <v>61</v>
      </c>
    </row>
    <row r="27" spans="2:39" ht="15" customHeight="1">
      <c r="B27" s="80">
        <v>45434.625</v>
      </c>
      <c r="C27" s="61">
        <v>45434.625</v>
      </c>
      <c r="D27" s="85">
        <v>22.0304</v>
      </c>
      <c r="E27" s="62">
        <v>47.874399999999994</v>
      </c>
      <c r="F27" s="62">
        <v>565.17999999999995</v>
      </c>
      <c r="G27" s="62">
        <v>117.17</v>
      </c>
      <c r="H27" s="62">
        <v>3.2</v>
      </c>
      <c r="I27" s="93">
        <v>342.64</v>
      </c>
      <c r="J27" s="62"/>
      <c r="K27" s="92">
        <v>0</v>
      </c>
      <c r="L27" s="94">
        <v>22.48</v>
      </c>
      <c r="M27" s="62">
        <v>46.48</v>
      </c>
      <c r="N27" s="62">
        <v>565.17999999999995</v>
      </c>
      <c r="O27" s="62">
        <v>112.17</v>
      </c>
      <c r="P27" s="62">
        <v>2.2000000000000002</v>
      </c>
      <c r="Q27" s="93">
        <v>328.64</v>
      </c>
      <c r="R27" s="62"/>
      <c r="S27" s="92">
        <v>0</v>
      </c>
      <c r="T27" s="85">
        <f t="shared" si="0"/>
        <v>0.44960000000000022</v>
      </c>
      <c r="U27" s="62">
        <f t="shared" si="0"/>
        <v>1.3943999999999974</v>
      </c>
      <c r="V27" s="62">
        <f t="shared" si="0"/>
        <v>0</v>
      </c>
      <c r="W27" s="62">
        <f t="shared" si="0"/>
        <v>5</v>
      </c>
      <c r="X27" s="62">
        <f t="shared" si="0"/>
        <v>1</v>
      </c>
      <c r="Y27" s="62">
        <f t="shared" si="0"/>
        <v>14</v>
      </c>
      <c r="Z27" s="62">
        <f t="shared" si="0"/>
        <v>0</v>
      </c>
      <c r="AA27" s="59">
        <f t="shared" si="1"/>
        <v>0</v>
      </c>
      <c r="AB27" s="60" t="str">
        <f t="shared" si="2"/>
        <v>Cumple</v>
      </c>
      <c r="AL27" t="s">
        <v>60</v>
      </c>
      <c r="AM27" t="s">
        <v>60</v>
      </c>
    </row>
    <row r="28" spans="2:39" ht="15" customHeight="1">
      <c r="B28" s="80">
        <v>45434.666666666664</v>
      </c>
      <c r="C28" s="61">
        <v>45434.666666666664</v>
      </c>
      <c r="D28" s="85">
        <v>21.236600000000003</v>
      </c>
      <c r="E28" s="62">
        <v>51.170400000000001</v>
      </c>
      <c r="F28" s="62">
        <v>565.89</v>
      </c>
      <c r="G28" s="62">
        <v>75.569999999999993</v>
      </c>
      <c r="H28" s="62">
        <v>2.91</v>
      </c>
      <c r="I28" s="93">
        <v>209.62</v>
      </c>
      <c r="J28" s="62"/>
      <c r="K28" s="92">
        <v>0</v>
      </c>
      <c r="L28" s="94">
        <v>21.67</v>
      </c>
      <c r="M28" s="62">
        <v>49.68</v>
      </c>
      <c r="N28" s="62">
        <v>564.89</v>
      </c>
      <c r="O28" s="62">
        <v>75.569999999999993</v>
      </c>
      <c r="P28" s="62">
        <v>1.91</v>
      </c>
      <c r="Q28" s="93">
        <v>143.62</v>
      </c>
      <c r="R28" s="62"/>
      <c r="S28" s="92">
        <v>0</v>
      </c>
      <c r="T28" s="85">
        <f t="shared" si="0"/>
        <v>0.4333999999999989</v>
      </c>
      <c r="U28" s="62">
        <f t="shared" si="0"/>
        <v>1.4904000000000011</v>
      </c>
      <c r="V28" s="62">
        <f t="shared" si="0"/>
        <v>1</v>
      </c>
      <c r="W28" s="62">
        <f t="shared" si="0"/>
        <v>0</v>
      </c>
      <c r="X28" s="62">
        <f t="shared" si="0"/>
        <v>1.0000000000000002</v>
      </c>
      <c r="Y28" s="62">
        <f t="shared" si="0"/>
        <v>66</v>
      </c>
      <c r="Z28" s="62">
        <f t="shared" si="0"/>
        <v>0</v>
      </c>
      <c r="AA28" s="59">
        <f t="shared" si="1"/>
        <v>0</v>
      </c>
      <c r="AB28" s="60" t="str">
        <f t="shared" si="2"/>
        <v>Cumple</v>
      </c>
      <c r="AL28" t="s">
        <v>62</v>
      </c>
      <c r="AM28" t="s">
        <v>63</v>
      </c>
    </row>
    <row r="29" spans="2:39" ht="15" customHeight="1">
      <c r="B29" s="80">
        <v>45434.708333333336</v>
      </c>
      <c r="C29" s="61">
        <v>45434.708333333336</v>
      </c>
      <c r="D29" s="85">
        <v>19.854800000000001</v>
      </c>
      <c r="E29" s="62">
        <v>57.927199999999999</v>
      </c>
      <c r="F29" s="62">
        <v>566.21</v>
      </c>
      <c r="G29" s="62">
        <v>99.74</v>
      </c>
      <c r="H29" s="62">
        <v>3.57</v>
      </c>
      <c r="I29" s="93">
        <v>118.42</v>
      </c>
      <c r="J29" s="62"/>
      <c r="K29" s="92">
        <v>0</v>
      </c>
      <c r="L29" s="94">
        <v>20.260000000000002</v>
      </c>
      <c r="M29" s="62">
        <v>56.24</v>
      </c>
      <c r="N29" s="62">
        <v>565.21</v>
      </c>
      <c r="O29" s="62">
        <v>95.74</v>
      </c>
      <c r="P29" s="62">
        <v>2.57</v>
      </c>
      <c r="Q29" s="93">
        <v>33.42</v>
      </c>
      <c r="R29" s="62"/>
      <c r="S29" s="92">
        <v>0</v>
      </c>
      <c r="T29" s="85">
        <f t="shared" si="0"/>
        <v>0.40520000000000067</v>
      </c>
      <c r="U29" s="62">
        <f t="shared" si="0"/>
        <v>1.6871999999999971</v>
      </c>
      <c r="V29" s="62">
        <f t="shared" si="0"/>
        <v>1</v>
      </c>
      <c r="W29" s="62">
        <f t="shared" si="0"/>
        <v>4</v>
      </c>
      <c r="X29" s="62">
        <f t="shared" si="0"/>
        <v>1</v>
      </c>
      <c r="Y29" s="62">
        <f t="shared" si="0"/>
        <v>85</v>
      </c>
      <c r="Z29" s="62">
        <f t="shared" si="0"/>
        <v>0</v>
      </c>
      <c r="AA29" s="59">
        <f t="shared" si="1"/>
        <v>0</v>
      </c>
      <c r="AB29" s="60" t="str">
        <f t="shared" si="2"/>
        <v>Cumple</v>
      </c>
      <c r="AL29" t="s">
        <v>64</v>
      </c>
      <c r="AM29" t="s">
        <v>64</v>
      </c>
    </row>
    <row r="30" spans="2:39" ht="15" customHeight="1">
      <c r="B30" s="80">
        <v>45434.75</v>
      </c>
      <c r="C30" s="61">
        <v>45434.75</v>
      </c>
      <c r="D30" s="85">
        <v>18.257400000000001</v>
      </c>
      <c r="E30" s="62">
        <v>60.893599999999999</v>
      </c>
      <c r="F30" s="62">
        <v>565.9</v>
      </c>
      <c r="G30" s="62">
        <v>101.59</v>
      </c>
      <c r="H30" s="62">
        <v>3.06</v>
      </c>
      <c r="I30" s="93">
        <v>59.12</v>
      </c>
      <c r="J30" s="62"/>
      <c r="K30" s="92">
        <v>0</v>
      </c>
      <c r="L30" s="94">
        <v>18.63</v>
      </c>
      <c r="M30" s="62">
        <v>59.12</v>
      </c>
      <c r="N30" s="62">
        <v>565.9</v>
      </c>
      <c r="O30" s="62">
        <v>96.59</v>
      </c>
      <c r="P30" s="62">
        <v>2.06</v>
      </c>
      <c r="Q30" s="93">
        <v>1.1200000000000001</v>
      </c>
      <c r="R30" s="62"/>
      <c r="S30" s="92">
        <v>0</v>
      </c>
      <c r="T30" s="85">
        <f t="shared" si="0"/>
        <v>0.37259999999999849</v>
      </c>
      <c r="U30" s="62">
        <f t="shared" si="0"/>
        <v>1.7736000000000018</v>
      </c>
      <c r="V30" s="62">
        <f t="shared" si="0"/>
        <v>0</v>
      </c>
      <c r="W30" s="62">
        <f t="shared" si="0"/>
        <v>5</v>
      </c>
      <c r="X30" s="62">
        <f t="shared" si="0"/>
        <v>1</v>
      </c>
      <c r="Y30" s="62">
        <f t="shared" si="0"/>
        <v>58</v>
      </c>
      <c r="Z30" s="62">
        <f t="shared" si="0"/>
        <v>0</v>
      </c>
      <c r="AA30" s="59">
        <f t="shared" si="1"/>
        <v>0</v>
      </c>
      <c r="AB30" s="60" t="str">
        <f t="shared" si="2"/>
        <v>Cumple</v>
      </c>
      <c r="AL30" t="s">
        <v>54</v>
      </c>
      <c r="AM30" t="s">
        <v>54</v>
      </c>
    </row>
    <row r="31" spans="2:39" ht="15" customHeight="1">
      <c r="B31" s="80">
        <v>45434.791666666664</v>
      </c>
      <c r="C31" s="61">
        <v>45434.791666666664</v>
      </c>
      <c r="D31" s="85">
        <v>17.3264</v>
      </c>
      <c r="E31" s="62">
        <v>63.221400000000003</v>
      </c>
      <c r="F31" s="62">
        <v>566.55999999999995</v>
      </c>
      <c r="G31" s="62">
        <v>93.75</v>
      </c>
      <c r="H31" s="62">
        <v>2.0299999999999998</v>
      </c>
      <c r="I31" s="93">
        <v>0</v>
      </c>
      <c r="J31" s="62"/>
      <c r="K31" s="92">
        <v>0</v>
      </c>
      <c r="L31" s="94">
        <v>17.68</v>
      </c>
      <c r="M31" s="62">
        <v>61.38</v>
      </c>
      <c r="N31" s="62">
        <v>566.55999999999995</v>
      </c>
      <c r="O31" s="62">
        <v>84.75</v>
      </c>
      <c r="P31" s="62">
        <v>2.0299999999999998</v>
      </c>
      <c r="Q31" s="93">
        <v>0</v>
      </c>
      <c r="R31" s="62"/>
      <c r="S31" s="92">
        <v>0</v>
      </c>
      <c r="T31" s="85">
        <f t="shared" si="0"/>
        <v>0.35360000000000014</v>
      </c>
      <c r="U31" s="62">
        <f t="shared" si="0"/>
        <v>1.8414000000000001</v>
      </c>
      <c r="V31" s="62">
        <f t="shared" si="0"/>
        <v>0</v>
      </c>
      <c r="W31" s="62">
        <f t="shared" si="0"/>
        <v>9</v>
      </c>
      <c r="X31" s="62">
        <f t="shared" si="0"/>
        <v>0</v>
      </c>
      <c r="Y31" s="62">
        <f t="shared" si="0"/>
        <v>0</v>
      </c>
      <c r="Z31" s="62">
        <f t="shared" si="0"/>
        <v>0</v>
      </c>
      <c r="AA31" s="59">
        <f t="shared" si="1"/>
        <v>0</v>
      </c>
      <c r="AB31" s="60" t="str">
        <f t="shared" si="2"/>
        <v>Cumple</v>
      </c>
      <c r="AL31" t="s">
        <v>65</v>
      </c>
      <c r="AM31" t="s">
        <v>65</v>
      </c>
    </row>
    <row r="32" spans="2:39" ht="15" customHeight="1">
      <c r="B32" s="80">
        <v>45434.833333333336</v>
      </c>
      <c r="C32" s="61">
        <v>45434.833333333336</v>
      </c>
      <c r="D32" s="85">
        <v>16.7286</v>
      </c>
      <c r="E32" s="62">
        <v>65.209299999999999</v>
      </c>
      <c r="F32" s="62">
        <v>567.46</v>
      </c>
      <c r="G32" s="62">
        <v>98.57</v>
      </c>
      <c r="H32" s="62">
        <v>1.22</v>
      </c>
      <c r="I32" s="93">
        <v>0</v>
      </c>
      <c r="J32" s="62"/>
      <c r="K32" s="92">
        <v>0</v>
      </c>
      <c r="L32" s="94">
        <v>17.07</v>
      </c>
      <c r="M32" s="62">
        <v>63.31</v>
      </c>
      <c r="N32" s="62">
        <v>567.46</v>
      </c>
      <c r="O32" s="62">
        <v>93.57</v>
      </c>
      <c r="P32" s="62">
        <v>1.22</v>
      </c>
      <c r="Q32" s="93">
        <v>0</v>
      </c>
      <c r="R32" s="62"/>
      <c r="S32" s="92">
        <v>0</v>
      </c>
      <c r="T32" s="85">
        <f t="shared" si="0"/>
        <v>0.34140000000000015</v>
      </c>
      <c r="U32" s="62">
        <f t="shared" si="0"/>
        <v>1.8992999999999967</v>
      </c>
      <c r="V32" s="62">
        <f t="shared" si="0"/>
        <v>0</v>
      </c>
      <c r="W32" s="62">
        <f t="shared" si="0"/>
        <v>5</v>
      </c>
      <c r="X32" s="62">
        <f t="shared" si="0"/>
        <v>0</v>
      </c>
      <c r="Y32" s="62">
        <f t="shared" si="0"/>
        <v>0</v>
      </c>
      <c r="Z32" s="62">
        <f t="shared" si="0"/>
        <v>0</v>
      </c>
      <c r="AA32" s="59">
        <f t="shared" si="1"/>
        <v>0</v>
      </c>
      <c r="AB32" s="60" t="str">
        <f t="shared" si="2"/>
        <v>Cumple</v>
      </c>
      <c r="AL32" t="s">
        <v>55</v>
      </c>
      <c r="AM32" t="s">
        <v>54</v>
      </c>
    </row>
    <row r="33" spans="2:39" ht="15" customHeight="1">
      <c r="B33" s="80">
        <v>45434.875</v>
      </c>
      <c r="C33" s="61">
        <v>45434.875</v>
      </c>
      <c r="D33" s="85">
        <v>16.542400000000001</v>
      </c>
      <c r="E33" s="62">
        <v>65.384399999999999</v>
      </c>
      <c r="F33" s="62">
        <v>567.94000000000005</v>
      </c>
      <c r="G33" s="62">
        <v>127.44</v>
      </c>
      <c r="H33" s="62">
        <v>1.9</v>
      </c>
      <c r="I33" s="93">
        <v>0</v>
      </c>
      <c r="J33" s="62"/>
      <c r="K33" s="92">
        <v>0</v>
      </c>
      <c r="L33" s="94">
        <v>16.88</v>
      </c>
      <c r="M33" s="62">
        <v>63.48</v>
      </c>
      <c r="N33" s="62">
        <v>567.94000000000005</v>
      </c>
      <c r="O33" s="62">
        <v>123.44</v>
      </c>
      <c r="P33" s="62">
        <v>0.9</v>
      </c>
      <c r="Q33" s="93">
        <v>0</v>
      </c>
      <c r="R33" s="62"/>
      <c r="S33" s="92">
        <v>0</v>
      </c>
      <c r="T33" s="85">
        <f t="shared" si="0"/>
        <v>0.33759999999999835</v>
      </c>
      <c r="U33" s="62">
        <f t="shared" si="0"/>
        <v>1.9044000000000025</v>
      </c>
      <c r="V33" s="62">
        <f t="shared" si="0"/>
        <v>0</v>
      </c>
      <c r="W33" s="62">
        <f t="shared" si="0"/>
        <v>4</v>
      </c>
      <c r="X33" s="62">
        <f t="shared" si="0"/>
        <v>0.99999999999999989</v>
      </c>
      <c r="Y33" s="62">
        <f t="shared" si="0"/>
        <v>0</v>
      </c>
      <c r="Z33" s="62">
        <f t="shared" si="0"/>
        <v>0</v>
      </c>
      <c r="AA33" s="59">
        <f t="shared" si="1"/>
        <v>0</v>
      </c>
      <c r="AB33" s="60" t="str">
        <f t="shared" si="2"/>
        <v>Cumple</v>
      </c>
      <c r="AL33" t="s">
        <v>55</v>
      </c>
      <c r="AM33" t="s">
        <v>55</v>
      </c>
    </row>
    <row r="34" spans="2:39" ht="15" customHeight="1">
      <c r="B34" s="80">
        <v>45434.916666666664</v>
      </c>
      <c r="C34" s="61">
        <v>45434.916666666664</v>
      </c>
      <c r="D34" s="85">
        <v>15.7094</v>
      </c>
      <c r="E34" s="62">
        <v>73.923099999999991</v>
      </c>
      <c r="F34" s="62">
        <v>568.72</v>
      </c>
      <c r="G34" s="62">
        <v>221.17</v>
      </c>
      <c r="H34" s="62">
        <v>1.37</v>
      </c>
      <c r="I34" s="93">
        <v>0</v>
      </c>
      <c r="J34" s="62"/>
      <c r="K34" s="92">
        <v>0</v>
      </c>
      <c r="L34" s="94">
        <v>16.03</v>
      </c>
      <c r="M34" s="62">
        <v>71.77</v>
      </c>
      <c r="N34" s="62">
        <v>567.72</v>
      </c>
      <c r="O34" s="62">
        <v>214.17</v>
      </c>
      <c r="P34" s="62">
        <v>0.37</v>
      </c>
      <c r="Q34" s="93">
        <v>0</v>
      </c>
      <c r="R34" s="62"/>
      <c r="S34" s="92">
        <v>0</v>
      </c>
      <c r="T34" s="85">
        <f t="shared" si="0"/>
        <v>0.32060000000000066</v>
      </c>
      <c r="U34" s="62">
        <f t="shared" si="0"/>
        <v>2.1530999999999949</v>
      </c>
      <c r="V34" s="62">
        <f t="shared" si="0"/>
        <v>1</v>
      </c>
      <c r="W34" s="62">
        <f t="shared" si="0"/>
        <v>7</v>
      </c>
      <c r="X34" s="62">
        <f t="shared" si="0"/>
        <v>1</v>
      </c>
      <c r="Y34" s="62">
        <f t="shared" si="0"/>
        <v>0</v>
      </c>
      <c r="Z34" s="62">
        <f t="shared" si="0"/>
        <v>0</v>
      </c>
      <c r="AA34" s="59">
        <f t="shared" si="1"/>
        <v>0</v>
      </c>
      <c r="AB34" s="60" t="str">
        <f t="shared" si="2"/>
        <v>Cumple</v>
      </c>
      <c r="AL34" t="s">
        <v>55</v>
      </c>
      <c r="AM34" t="s">
        <v>54</v>
      </c>
    </row>
    <row r="35" spans="2:39" ht="15" customHeight="1" thickBot="1">
      <c r="B35" s="80">
        <v>45434.958333333336</v>
      </c>
      <c r="C35" s="61">
        <v>45434.958333333336</v>
      </c>
      <c r="D35" s="87">
        <v>14.8764</v>
      </c>
      <c r="E35" s="88">
        <v>78.661100000000005</v>
      </c>
      <c r="F35" s="88">
        <v>568.78</v>
      </c>
      <c r="G35" s="88">
        <v>341.2</v>
      </c>
      <c r="H35" s="88">
        <v>0.95</v>
      </c>
      <c r="I35" s="95">
        <v>0</v>
      </c>
      <c r="J35" s="88"/>
      <c r="K35" s="96">
        <v>0</v>
      </c>
      <c r="L35" s="97">
        <v>15.18</v>
      </c>
      <c r="M35" s="88">
        <v>76.37</v>
      </c>
      <c r="N35" s="88">
        <v>567.78</v>
      </c>
      <c r="O35" s="88">
        <v>336.2</v>
      </c>
      <c r="P35" s="88">
        <v>0.95</v>
      </c>
      <c r="Q35" s="95">
        <v>0</v>
      </c>
      <c r="R35" s="88"/>
      <c r="S35" s="96">
        <v>0</v>
      </c>
      <c r="T35" s="87">
        <f t="shared" si="0"/>
        <v>0.30359999999999943</v>
      </c>
      <c r="U35" s="88">
        <f t="shared" si="0"/>
        <v>2.2911000000000001</v>
      </c>
      <c r="V35" s="88">
        <f t="shared" si="0"/>
        <v>1</v>
      </c>
      <c r="W35" s="88">
        <f t="shared" si="0"/>
        <v>5</v>
      </c>
      <c r="X35" s="88">
        <f t="shared" si="0"/>
        <v>0</v>
      </c>
      <c r="Y35" s="88">
        <f t="shared" si="0"/>
        <v>0</v>
      </c>
      <c r="Z35" s="88">
        <f t="shared" si="0"/>
        <v>0</v>
      </c>
      <c r="AA35" s="59">
        <f t="shared" si="1"/>
        <v>0</v>
      </c>
      <c r="AB35" s="63" t="str">
        <f t="shared" si="2"/>
        <v>Cumple</v>
      </c>
      <c r="AL35" t="s">
        <v>55</v>
      </c>
      <c r="AM35" t="s">
        <v>55</v>
      </c>
    </row>
    <row r="36" spans="2:39" ht="33" customHeight="1">
      <c r="B36" s="157" t="s">
        <v>42</v>
      </c>
      <c r="C36" s="158"/>
      <c r="D36" s="159">
        <v>45439.958333333336</v>
      </c>
      <c r="E36" s="160"/>
      <c r="F36" s="160"/>
      <c r="G36" s="160"/>
      <c r="H36" s="160"/>
      <c r="I36" s="161"/>
      <c r="J36" s="162" t="s">
        <v>43</v>
      </c>
      <c r="K36" s="162"/>
      <c r="L36" s="162"/>
      <c r="M36" s="162"/>
      <c r="N36" s="162"/>
      <c r="O36" s="162"/>
      <c r="P36" s="163"/>
      <c r="Q36" s="164" t="s">
        <v>73</v>
      </c>
      <c r="R36" s="165"/>
      <c r="S36" s="165"/>
      <c r="T36" s="166"/>
      <c r="U36" s="166"/>
      <c r="V36" s="166"/>
      <c r="W36" s="166"/>
      <c r="X36" s="166"/>
      <c r="Y36" s="166"/>
      <c r="Z36" s="166"/>
      <c r="AA36" s="166"/>
      <c r="AB36" s="167"/>
    </row>
    <row r="37" spans="2:39" ht="33" customHeight="1">
      <c r="B37" s="168" t="s">
        <v>45</v>
      </c>
      <c r="C37" s="169"/>
      <c r="D37" s="170" t="s">
        <v>46</v>
      </c>
      <c r="E37" s="171"/>
      <c r="F37" s="171"/>
      <c r="G37" s="171"/>
      <c r="H37" s="171"/>
      <c r="I37" s="172"/>
      <c r="J37" s="173" t="s">
        <v>47</v>
      </c>
      <c r="K37" s="174"/>
      <c r="L37" s="174"/>
      <c r="M37" s="174"/>
      <c r="N37" s="174"/>
      <c r="O37" s="174"/>
      <c r="P37" s="174"/>
      <c r="Q37" s="177" t="s">
        <v>48</v>
      </c>
      <c r="R37" s="178"/>
      <c r="S37" s="178"/>
      <c r="T37" s="178"/>
      <c r="U37" s="178"/>
      <c r="V37" s="178"/>
      <c r="W37" s="178"/>
      <c r="X37" s="178"/>
      <c r="Y37" s="178"/>
      <c r="Z37" s="178"/>
      <c r="AA37" s="178"/>
      <c r="AB37" s="179"/>
    </row>
    <row r="38" spans="2:39" ht="33" customHeight="1" thickBot="1">
      <c r="B38" s="183" t="s">
        <v>49</v>
      </c>
      <c r="C38" s="184"/>
      <c r="D38" s="185" t="s">
        <v>50</v>
      </c>
      <c r="E38" s="186"/>
      <c r="F38" s="186"/>
      <c r="G38" s="186"/>
      <c r="H38" s="186"/>
      <c r="I38" s="187"/>
      <c r="J38" s="175"/>
      <c r="K38" s="176"/>
      <c r="L38" s="176"/>
      <c r="M38" s="176"/>
      <c r="N38" s="176"/>
      <c r="O38" s="176"/>
      <c r="P38" s="176"/>
      <c r="Q38" s="180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2"/>
    </row>
    <row r="39" spans="2:39" ht="15" customHeight="1"/>
    <row r="40" spans="2:39" ht="15" customHeight="1"/>
    <row r="41" spans="2:39" ht="15" customHeight="1"/>
    <row r="42" spans="2:39" ht="15" customHeight="1"/>
    <row r="43" spans="2:39" ht="15" customHeight="1"/>
    <row r="44" spans="2:39" ht="15" customHeight="1"/>
    <row r="45" spans="2:39" ht="15" customHeight="1"/>
    <row r="46" spans="2:39" ht="15" customHeight="1"/>
    <row r="47" spans="2:39" ht="15" customHeight="1"/>
    <row r="48" spans="2:39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customFormat="1" ht="15" customHeight="1"/>
    <row r="66" customFormat="1" ht="33.75" customHeight="1"/>
    <row r="67" customFormat="1" ht="33.75" customHeight="1"/>
    <row r="68" customFormat="1" ht="33.75" customHeight="1"/>
  </sheetData>
  <protectedRanges>
    <protectedRange sqref="AL12:AM35" name="Rango1"/>
    <protectedRange sqref="D12:F24 H12:N24 P12:S24" name="Rango1_1"/>
  </protectedRanges>
  <mergeCells count="38">
    <mergeCell ref="B36:C36"/>
    <mergeCell ref="D36:I36"/>
    <mergeCell ref="J36:P36"/>
    <mergeCell ref="Q36:AB36"/>
    <mergeCell ref="B37:C37"/>
    <mergeCell ref="D37:I37"/>
    <mergeCell ref="J37:P38"/>
    <mergeCell ref="Q37:AB38"/>
    <mergeCell ref="B38:C38"/>
    <mergeCell ref="D38:I38"/>
    <mergeCell ref="AB10:AB11"/>
    <mergeCell ref="B8:C8"/>
    <mergeCell ref="D8:K8"/>
    <mergeCell ref="L8:S8"/>
    <mergeCell ref="T8:X8"/>
    <mergeCell ref="Y8:Z8"/>
    <mergeCell ref="AA8:AB8"/>
    <mergeCell ref="B10:B11"/>
    <mergeCell ref="C10:C11"/>
    <mergeCell ref="D10:K10"/>
    <mergeCell ref="L10:S10"/>
    <mergeCell ref="T10:AA10"/>
    <mergeCell ref="AA7:AB7"/>
    <mergeCell ref="B1:C4"/>
    <mergeCell ref="D1:Z2"/>
    <mergeCell ref="AA1:AB4"/>
    <mergeCell ref="D3:Z4"/>
    <mergeCell ref="B6:C6"/>
    <mergeCell ref="D6:K6"/>
    <mergeCell ref="L6:S6"/>
    <mergeCell ref="T6:X6"/>
    <mergeCell ref="Y6:Z6"/>
    <mergeCell ref="AA6:AB6"/>
    <mergeCell ref="B7:C7"/>
    <mergeCell ref="D7:K7"/>
    <mergeCell ref="L7:S7"/>
    <mergeCell ref="T7:X7"/>
    <mergeCell ref="Y7:Z7"/>
  </mergeCells>
  <conditionalFormatting sqref="G12:G24">
    <cfRule type="cellIs" dxfId="59" priority="2" operator="equal">
      <formula>FALSE</formula>
    </cfRule>
  </conditionalFormatting>
  <conditionalFormatting sqref="T12:T35">
    <cfRule type="cellIs" dxfId="58" priority="19" operator="greaterThan">
      <formula>0.5</formula>
    </cfRule>
    <cfRule type="cellIs" dxfId="57" priority="20" operator="lessThanOrEqual">
      <formula>0.5</formula>
    </cfRule>
  </conditionalFormatting>
  <conditionalFormatting sqref="U12:U35">
    <cfRule type="cellIs" dxfId="56" priority="17" operator="greaterThan">
      <formula>5</formula>
    </cfRule>
    <cfRule type="cellIs" dxfId="55" priority="18" operator="lessThanOrEqual">
      <formula>5</formula>
    </cfRule>
  </conditionalFormatting>
  <conditionalFormatting sqref="V12:V35">
    <cfRule type="cellIs" dxfId="54" priority="15" operator="greaterThan">
      <formula>1</formula>
    </cfRule>
    <cfRule type="cellIs" dxfId="53" priority="16" operator="lessThanOrEqual">
      <formula>1</formula>
    </cfRule>
  </conditionalFormatting>
  <conditionalFormatting sqref="W12:W35">
    <cfRule type="cellIs" dxfId="52" priority="13" operator="greaterThan">
      <formula>22.5</formula>
    </cfRule>
    <cfRule type="cellIs" dxfId="51" priority="14" operator="lessThanOrEqual">
      <formula>22.5</formula>
    </cfRule>
  </conditionalFormatting>
  <conditionalFormatting sqref="X12:X35">
    <cfRule type="cellIs" dxfId="50" priority="7" operator="lessThanOrEqual">
      <formula>1</formula>
    </cfRule>
    <cfRule type="cellIs" dxfId="49" priority="8" operator="greaterThan">
      <formula>1</formula>
    </cfRule>
  </conditionalFormatting>
  <conditionalFormatting sqref="Y12:Y35">
    <cfRule type="cellIs" dxfId="48" priority="5" operator="lessThanOrEqual">
      <formula>90</formula>
    </cfRule>
    <cfRule type="cellIs" dxfId="47" priority="6" operator="greaterThan">
      <formula>90</formula>
    </cfRule>
  </conditionalFormatting>
  <conditionalFormatting sqref="Z12:Z35">
    <cfRule type="cellIs" dxfId="46" priority="11" operator="greaterThan">
      <formula>0.8</formula>
    </cfRule>
    <cfRule type="cellIs" dxfId="45" priority="12" operator="lessThanOrEqual">
      <formula>0.8</formula>
    </cfRule>
  </conditionalFormatting>
  <conditionalFormatting sqref="AA12:AA35">
    <cfRule type="expression" dxfId="44" priority="1">
      <formula>OR(AND(K12=0, S12=0), AND(K12&lt;&gt;0, ABS(S12-K12)/K12 &lt;= 0.05))</formula>
    </cfRule>
    <cfRule type="cellIs" dxfId="43" priority="9" operator="equal">
      <formula>0</formula>
    </cfRule>
    <cfRule type="expression" dxfId="42" priority="10">
      <formula>AND(K12&lt;&gt;0, S, ABS(S12-K12)/K12 &gt; 0.05)</formula>
    </cfRule>
  </conditionalFormatting>
  <conditionalFormatting sqref="AK11">
    <cfRule type="cellIs" dxfId="41" priority="3" operator="lessThan">
      <formula>0.05</formula>
    </cfRule>
    <cfRule type="cellIs" dxfId="40" priority="4" operator="greaterThan">
      <formula>0.05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FAAD1-1761-4870-A44B-13569CA89ADE}">
  <dimension ref="B1:AM68"/>
  <sheetViews>
    <sheetView topLeftCell="O1" zoomScale="94" zoomScaleNormal="94" workbookViewId="0">
      <selection activeCell="D36" sqref="D36:I36"/>
    </sheetView>
  </sheetViews>
  <sheetFormatPr baseColWidth="10" defaultColWidth="11.42578125" defaultRowHeight="15"/>
  <cols>
    <col min="1" max="1" width="0.28515625" customWidth="1"/>
    <col min="2" max="2" width="11.28515625" customWidth="1"/>
    <col min="3" max="3" width="14" customWidth="1"/>
    <col min="4" max="18" width="8.7109375" customWidth="1"/>
    <col min="19" max="19" width="8.5703125" customWidth="1"/>
    <col min="20" max="24" width="8.7109375" customWidth="1"/>
    <col min="25" max="25" width="9.85546875" customWidth="1"/>
    <col min="26" max="27" width="8.7109375" customWidth="1"/>
    <col min="28" max="28" width="20.85546875" bestFit="1" customWidth="1"/>
    <col min="29" max="29" width="5" customWidth="1"/>
    <col min="38" max="38" width="11.7109375" bestFit="1" customWidth="1"/>
  </cols>
  <sheetData>
    <row r="1" spans="2:39" ht="18" customHeight="1">
      <c r="B1" s="106"/>
      <c r="C1" s="107"/>
      <c r="D1" s="112" t="s">
        <v>6</v>
      </c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4"/>
      <c r="AA1" s="118" t="s">
        <v>51</v>
      </c>
      <c r="AB1" s="119"/>
    </row>
    <row r="2" spans="2:39" ht="18" customHeight="1">
      <c r="B2" s="108"/>
      <c r="C2" s="109"/>
      <c r="D2" s="115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7"/>
      <c r="AA2" s="120"/>
      <c r="AB2" s="121"/>
    </row>
    <row r="3" spans="2:39" ht="18" customHeight="1">
      <c r="B3" s="108"/>
      <c r="C3" s="109"/>
      <c r="D3" s="124" t="s">
        <v>8</v>
      </c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6"/>
      <c r="AA3" s="120"/>
      <c r="AB3" s="121"/>
    </row>
    <row r="4" spans="2:39" ht="18" customHeight="1" thickBot="1">
      <c r="B4" s="110"/>
      <c r="C4" s="111"/>
      <c r="D4" s="127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9"/>
      <c r="AA4" s="122"/>
      <c r="AB4" s="123"/>
    </row>
    <row r="5" spans="2:39" ht="6.6" customHeight="1">
      <c r="B5" s="39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1"/>
    </row>
    <row r="6" spans="2:39" ht="33.75" customHeight="1">
      <c r="B6" s="130" t="s">
        <v>9</v>
      </c>
      <c r="C6" s="130"/>
      <c r="D6" s="131" t="s">
        <v>74</v>
      </c>
      <c r="E6" s="132"/>
      <c r="F6" s="132"/>
      <c r="G6" s="132"/>
      <c r="H6" s="132"/>
      <c r="I6" s="132"/>
      <c r="J6" s="132"/>
      <c r="K6" s="133"/>
      <c r="L6" s="134" t="s">
        <v>10</v>
      </c>
      <c r="M6" s="135"/>
      <c r="N6" s="135"/>
      <c r="O6" s="135"/>
      <c r="P6" s="135"/>
      <c r="Q6" s="135"/>
      <c r="R6" s="135"/>
      <c r="S6" s="136"/>
      <c r="T6" s="137" t="s">
        <v>11</v>
      </c>
      <c r="U6" s="137"/>
      <c r="V6" s="137"/>
      <c r="W6" s="137"/>
      <c r="X6" s="137"/>
      <c r="Y6" s="137" t="s">
        <v>12</v>
      </c>
      <c r="Z6" s="137"/>
      <c r="AA6" s="138" t="s">
        <v>52</v>
      </c>
      <c r="AB6" s="139"/>
    </row>
    <row r="7" spans="2:39" ht="33.75" customHeight="1">
      <c r="B7" s="130" t="s">
        <v>14</v>
      </c>
      <c r="C7" s="130"/>
      <c r="D7" s="131" t="s">
        <v>75</v>
      </c>
      <c r="E7" s="132"/>
      <c r="F7" s="132"/>
      <c r="G7" s="132"/>
      <c r="H7" s="132"/>
      <c r="I7" s="132"/>
      <c r="J7" s="132"/>
      <c r="K7" s="133"/>
      <c r="L7" s="140" t="s">
        <v>15</v>
      </c>
      <c r="M7" s="141"/>
      <c r="N7" s="141"/>
      <c r="O7" s="141"/>
      <c r="P7" s="141"/>
      <c r="Q7" s="141"/>
      <c r="R7" s="141"/>
      <c r="S7" s="142"/>
      <c r="T7" s="140" t="s">
        <v>77</v>
      </c>
      <c r="U7" s="141"/>
      <c r="V7" s="141"/>
      <c r="W7" s="141"/>
      <c r="X7" s="142"/>
      <c r="Y7" s="143">
        <v>6327</v>
      </c>
      <c r="Z7" s="144"/>
      <c r="AA7" s="104" t="s">
        <v>80</v>
      </c>
      <c r="AB7" s="105"/>
    </row>
    <row r="8" spans="2:39" ht="33.75" customHeight="1">
      <c r="B8" s="130" t="s">
        <v>16</v>
      </c>
      <c r="C8" s="130"/>
      <c r="D8" s="131" t="s">
        <v>76</v>
      </c>
      <c r="E8" s="132"/>
      <c r="F8" s="132"/>
      <c r="G8" s="132"/>
      <c r="H8" s="132"/>
      <c r="I8" s="132"/>
      <c r="J8" s="132"/>
      <c r="K8" s="133"/>
      <c r="L8" s="140" t="s">
        <v>78</v>
      </c>
      <c r="M8" s="141"/>
      <c r="N8" s="141"/>
      <c r="O8" s="141"/>
      <c r="P8" s="141"/>
      <c r="Q8" s="141"/>
      <c r="R8" s="141"/>
      <c r="S8" s="142"/>
      <c r="T8" s="140" t="s">
        <v>77</v>
      </c>
      <c r="U8" s="141"/>
      <c r="V8" s="141"/>
      <c r="W8" s="141"/>
      <c r="X8" s="142"/>
      <c r="Y8" s="143">
        <v>6327</v>
      </c>
      <c r="Z8" s="144"/>
      <c r="AA8" s="104" t="s">
        <v>79</v>
      </c>
      <c r="AB8" s="105"/>
    </row>
    <row r="9" spans="2:39" ht="9" customHeight="1" thickBot="1">
      <c r="B9" s="42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4"/>
    </row>
    <row r="10" spans="2:39" ht="22.5" customHeight="1">
      <c r="B10" s="147" t="s">
        <v>18</v>
      </c>
      <c r="C10" s="149" t="s">
        <v>19</v>
      </c>
      <c r="D10" s="151" t="s">
        <v>20</v>
      </c>
      <c r="E10" s="152"/>
      <c r="F10" s="152"/>
      <c r="G10" s="152"/>
      <c r="H10" s="152"/>
      <c r="I10" s="152"/>
      <c r="J10" s="152"/>
      <c r="K10" s="153"/>
      <c r="L10" s="151" t="s">
        <v>21</v>
      </c>
      <c r="M10" s="152"/>
      <c r="N10" s="152"/>
      <c r="O10" s="152"/>
      <c r="P10" s="152"/>
      <c r="Q10" s="152"/>
      <c r="R10" s="152"/>
      <c r="S10" s="154"/>
      <c r="T10" s="155" t="s">
        <v>53</v>
      </c>
      <c r="U10" s="156"/>
      <c r="V10" s="156"/>
      <c r="W10" s="156"/>
      <c r="X10" s="156"/>
      <c r="Y10" s="156"/>
      <c r="Z10" s="156"/>
      <c r="AA10" s="156"/>
      <c r="AB10" s="145" t="s">
        <v>23</v>
      </c>
      <c r="AD10" s="45" t="s">
        <v>34</v>
      </c>
      <c r="AE10" s="45" t="s">
        <v>35</v>
      </c>
      <c r="AF10" s="45" t="s">
        <v>36</v>
      </c>
      <c r="AG10" s="45" t="s">
        <v>37</v>
      </c>
      <c r="AH10" s="45" t="s">
        <v>38</v>
      </c>
      <c r="AI10" s="45" t="s">
        <v>39</v>
      </c>
      <c r="AJ10" s="45" t="s">
        <v>40</v>
      </c>
      <c r="AK10" s="45" t="s">
        <v>41</v>
      </c>
    </row>
    <row r="11" spans="2:39" ht="48.75" customHeight="1" thickBot="1">
      <c r="B11" s="148"/>
      <c r="C11" s="150"/>
      <c r="D11" s="46" t="s">
        <v>24</v>
      </c>
      <c r="E11" s="47" t="s">
        <v>25</v>
      </c>
      <c r="F11" s="47" t="s">
        <v>26</v>
      </c>
      <c r="G11" s="47" t="s">
        <v>27</v>
      </c>
      <c r="H11" s="47" t="s">
        <v>28</v>
      </c>
      <c r="I11" s="47" t="s">
        <v>29</v>
      </c>
      <c r="J11" s="47" t="s">
        <v>30</v>
      </c>
      <c r="K11" s="48" t="s">
        <v>31</v>
      </c>
      <c r="L11" s="49" t="s">
        <v>32</v>
      </c>
      <c r="M11" s="50" t="s">
        <v>25</v>
      </c>
      <c r="N11" s="50" t="s">
        <v>26</v>
      </c>
      <c r="O11" s="50" t="s">
        <v>27</v>
      </c>
      <c r="P11" s="50" t="s">
        <v>28</v>
      </c>
      <c r="Q11" s="50" t="s">
        <v>29</v>
      </c>
      <c r="R11" s="50" t="s">
        <v>33</v>
      </c>
      <c r="S11" s="51" t="s">
        <v>31</v>
      </c>
      <c r="T11" s="52" t="s">
        <v>34</v>
      </c>
      <c r="U11" s="53" t="s">
        <v>35</v>
      </c>
      <c r="V11" s="53" t="s">
        <v>36</v>
      </c>
      <c r="W11" s="53" t="s">
        <v>37</v>
      </c>
      <c r="X11" s="53" t="s">
        <v>38</v>
      </c>
      <c r="Y11" s="53" t="s">
        <v>39</v>
      </c>
      <c r="Z11" s="53" t="s">
        <v>40</v>
      </c>
      <c r="AA11" s="54" t="s">
        <v>41</v>
      </c>
      <c r="AB11" s="146"/>
      <c r="AD11" s="1">
        <v>0.5</v>
      </c>
      <c r="AE11" s="55">
        <v>5</v>
      </c>
      <c r="AF11" s="1">
        <v>1</v>
      </c>
      <c r="AG11" s="1">
        <v>22.5</v>
      </c>
      <c r="AH11" s="1">
        <v>1</v>
      </c>
      <c r="AI11" s="1">
        <v>90</v>
      </c>
      <c r="AJ11" s="1">
        <v>0.8</v>
      </c>
      <c r="AK11" s="56">
        <v>0.05</v>
      </c>
      <c r="AL11" s="13" t="s">
        <v>27</v>
      </c>
      <c r="AM11" s="13" t="s">
        <v>37</v>
      </c>
    </row>
    <row r="12" spans="2:39" ht="15" customHeight="1">
      <c r="B12" s="80">
        <v>45618</v>
      </c>
      <c r="C12" s="57">
        <v>45618</v>
      </c>
      <c r="D12" s="83">
        <v>13.7788</v>
      </c>
      <c r="E12" s="58">
        <v>87.601500000000001</v>
      </c>
      <c r="F12" s="58">
        <v>567.96</v>
      </c>
      <c r="G12" s="58">
        <v>249.24</v>
      </c>
      <c r="H12" s="58">
        <v>1.34</v>
      </c>
      <c r="I12" s="58">
        <v>0</v>
      </c>
      <c r="J12" s="58"/>
      <c r="K12" s="84">
        <v>0</v>
      </c>
      <c r="L12" s="83">
        <v>14.06</v>
      </c>
      <c r="M12" s="58">
        <v>85.05</v>
      </c>
      <c r="N12" s="58">
        <v>566.96</v>
      </c>
      <c r="O12" s="58">
        <v>244.24</v>
      </c>
      <c r="P12" s="58">
        <v>0.34</v>
      </c>
      <c r="Q12" s="58">
        <v>0</v>
      </c>
      <c r="R12" s="58"/>
      <c r="S12" s="90">
        <v>0</v>
      </c>
      <c r="T12" s="83">
        <f>+ABS(L12-D12)</f>
        <v>0.28120000000000012</v>
      </c>
      <c r="U12" s="58">
        <f t="shared" ref="T12:Z35" si="0">+ABS(M12-E12)</f>
        <v>2.5515000000000043</v>
      </c>
      <c r="V12" s="58">
        <f t="shared" si="0"/>
        <v>1</v>
      </c>
      <c r="W12" s="58">
        <f t="shared" si="0"/>
        <v>5</v>
      </c>
      <c r="X12" s="58">
        <f t="shared" si="0"/>
        <v>1</v>
      </c>
      <c r="Y12" s="91">
        <f t="shared" si="0"/>
        <v>0</v>
      </c>
      <c r="Z12" s="58">
        <f t="shared" si="0"/>
        <v>0</v>
      </c>
      <c r="AA12" s="59">
        <f>IF(AND(K12=0, S12=0), 0, IF(K12=0, 1, ABS((S12-K12)/K12)))</f>
        <v>0</v>
      </c>
      <c r="AB12" s="60" t="str">
        <f>+IF(AND(T12&lt;=$AD$11,U12&lt;=$AE$11,V12&lt;=$AF$11,W12&lt;=$AG$11,X12&lt;=$AH$11,Y12&lt;=$AI$11,Z12&lt;=$AJ$11,AA12&lt;=$AK$11),"Cumple","No cumple")</f>
        <v>Cumple</v>
      </c>
      <c r="AL12" t="s">
        <v>54</v>
      </c>
      <c r="AM12" t="s">
        <v>54</v>
      </c>
    </row>
    <row r="13" spans="2:39" ht="15" customHeight="1">
      <c r="B13" s="80">
        <v>45618.041666666664</v>
      </c>
      <c r="C13" s="61">
        <v>45618.041666666664</v>
      </c>
      <c r="D13" s="85">
        <v>13.426</v>
      </c>
      <c r="E13" s="62">
        <v>87.941400000000002</v>
      </c>
      <c r="F13" s="62">
        <v>566.28</v>
      </c>
      <c r="G13" s="62">
        <v>270.77</v>
      </c>
      <c r="H13" s="62">
        <v>0.34</v>
      </c>
      <c r="I13" s="62">
        <v>0</v>
      </c>
      <c r="J13" s="62"/>
      <c r="K13" s="86">
        <v>0</v>
      </c>
      <c r="L13" s="85">
        <v>13.7</v>
      </c>
      <c r="M13" s="62">
        <v>85.38</v>
      </c>
      <c r="N13" s="62">
        <v>566.28</v>
      </c>
      <c r="O13" s="62">
        <v>264.77</v>
      </c>
      <c r="P13" s="62">
        <v>0.34</v>
      </c>
      <c r="Q13" s="62">
        <v>0</v>
      </c>
      <c r="R13" s="62"/>
      <c r="S13" s="92">
        <v>0</v>
      </c>
      <c r="T13" s="85">
        <f t="shared" si="0"/>
        <v>0.27399999999999913</v>
      </c>
      <c r="U13" s="62">
        <f t="shared" si="0"/>
        <v>2.5614000000000061</v>
      </c>
      <c r="V13" s="62">
        <f t="shared" si="0"/>
        <v>0</v>
      </c>
      <c r="W13" s="62">
        <f t="shared" si="0"/>
        <v>6</v>
      </c>
      <c r="X13" s="62">
        <f t="shared" si="0"/>
        <v>0</v>
      </c>
      <c r="Y13" s="62">
        <f t="shared" si="0"/>
        <v>0</v>
      </c>
      <c r="Z13" s="62">
        <f t="shared" si="0"/>
        <v>0</v>
      </c>
      <c r="AA13" s="59">
        <f t="shared" ref="AA13:AA35" si="1">IF(AND(K13=0, S13=0), 0, IF(K13=0, 1, ABS((S13-K13)/K13)))</f>
        <v>0</v>
      </c>
      <c r="AB13" s="60" t="str">
        <f>+IF(AND(T13&lt;=$AD$11,U13&lt;=$AE$11,V13&lt;=$AF$11,W13&lt;=$AG$11,X13&lt;=$AH$11,Y13&lt;=$AI$11,Z13&lt;=$AJ$11,AA13&lt;=$AK$11),"Cumple","No cumple")</f>
        <v>Cumple</v>
      </c>
      <c r="AL13" t="s">
        <v>55</v>
      </c>
      <c r="AM13" t="s">
        <v>54</v>
      </c>
    </row>
    <row r="14" spans="2:39" ht="15" customHeight="1">
      <c r="B14" s="80">
        <v>45618.083333333336</v>
      </c>
      <c r="C14" s="61">
        <v>45618.083333333336</v>
      </c>
      <c r="D14" s="85">
        <v>13.504399999999999</v>
      </c>
      <c r="E14" s="62">
        <v>87.395499999999998</v>
      </c>
      <c r="F14" s="62">
        <v>565.91999999999996</v>
      </c>
      <c r="G14" s="62">
        <v>209.89</v>
      </c>
      <c r="H14" s="62">
        <v>1.35</v>
      </c>
      <c r="I14" s="62">
        <v>0</v>
      </c>
      <c r="J14" s="62"/>
      <c r="K14" s="86">
        <v>0</v>
      </c>
      <c r="L14" s="85">
        <v>13.78</v>
      </c>
      <c r="M14" s="62">
        <v>84.85</v>
      </c>
      <c r="N14" s="62">
        <v>565.91999999999996</v>
      </c>
      <c r="O14" s="62">
        <v>205.89</v>
      </c>
      <c r="P14" s="62">
        <v>0.35</v>
      </c>
      <c r="Q14" s="62">
        <v>0</v>
      </c>
      <c r="R14" s="62"/>
      <c r="S14" s="92">
        <v>0</v>
      </c>
      <c r="T14" s="85">
        <f t="shared" si="0"/>
        <v>0.27560000000000073</v>
      </c>
      <c r="U14" s="62">
        <f t="shared" si="0"/>
        <v>2.5455000000000041</v>
      </c>
      <c r="V14" s="62">
        <f>+ABS(N14-F14)</f>
        <v>0</v>
      </c>
      <c r="W14" s="62">
        <f t="shared" si="0"/>
        <v>4</v>
      </c>
      <c r="X14" s="62">
        <f t="shared" si="0"/>
        <v>1</v>
      </c>
      <c r="Y14" s="62">
        <f t="shared" si="0"/>
        <v>0</v>
      </c>
      <c r="Z14" s="62">
        <f t="shared" si="0"/>
        <v>0</v>
      </c>
      <c r="AA14" s="59">
        <f t="shared" si="1"/>
        <v>0</v>
      </c>
      <c r="AB14" s="60" t="str">
        <f>+IF(AND(T14&lt;=$AD$11,U14&lt;=$AE$11,V14&lt;=$AF$11,W14&lt;=$AG$11,X14&lt;=$AH$11,Y14&lt;=$AI$11,Z14&lt;=$AJ$11,AA14&lt;=$AK$11),"Cumple","No cumple")</f>
        <v>Cumple</v>
      </c>
      <c r="AL14" t="s">
        <v>55</v>
      </c>
      <c r="AM14" t="s">
        <v>55</v>
      </c>
    </row>
    <row r="15" spans="2:39" ht="15" customHeight="1">
      <c r="B15" s="80">
        <v>45618.125</v>
      </c>
      <c r="C15" s="61">
        <v>45618.125</v>
      </c>
      <c r="D15" s="85">
        <v>13.318199999999999</v>
      </c>
      <c r="E15" s="62">
        <v>87.869299999999996</v>
      </c>
      <c r="F15" s="62">
        <v>566.97</v>
      </c>
      <c r="G15" s="62">
        <v>232.35</v>
      </c>
      <c r="H15" s="62">
        <v>1.1299999999999999</v>
      </c>
      <c r="I15" s="62">
        <v>0</v>
      </c>
      <c r="J15" s="62"/>
      <c r="K15" s="86">
        <v>0</v>
      </c>
      <c r="L15" s="85">
        <v>13.59</v>
      </c>
      <c r="M15" s="62">
        <v>85.31</v>
      </c>
      <c r="N15" s="62">
        <v>565.97</v>
      </c>
      <c r="O15" s="62">
        <v>224.35</v>
      </c>
      <c r="P15" s="62">
        <v>0.13</v>
      </c>
      <c r="Q15" s="62">
        <v>0</v>
      </c>
      <c r="R15" s="62"/>
      <c r="S15" s="92">
        <v>0</v>
      </c>
      <c r="T15" s="85">
        <f t="shared" si="0"/>
        <v>0.27180000000000071</v>
      </c>
      <c r="U15" s="62">
        <f t="shared" si="0"/>
        <v>2.5592999999999932</v>
      </c>
      <c r="V15" s="62">
        <f t="shared" si="0"/>
        <v>1</v>
      </c>
      <c r="W15" s="62">
        <f t="shared" si="0"/>
        <v>8</v>
      </c>
      <c r="X15" s="62">
        <f t="shared" si="0"/>
        <v>0.99999999999999989</v>
      </c>
      <c r="Y15" s="62">
        <f t="shared" si="0"/>
        <v>0</v>
      </c>
      <c r="Z15" s="62">
        <f t="shared" si="0"/>
        <v>0</v>
      </c>
      <c r="AA15" s="59">
        <f t="shared" si="1"/>
        <v>0</v>
      </c>
      <c r="AB15" s="60" t="str">
        <f t="shared" ref="AB15:AB35" si="2">+IF(AND(T15&lt;=$AD$11,U15&lt;=$AE$11,V15&lt;=$AF$11,W15&lt;=$AG$11,X15&lt;=$AH$11,Y15&lt;=$AI$11,Z15&lt;=$AJ$11,AA15&lt;=$AK$11),"Cumple","No cumple")</f>
        <v>Cumple</v>
      </c>
      <c r="AL15" t="s">
        <v>55</v>
      </c>
      <c r="AM15" t="s">
        <v>55</v>
      </c>
    </row>
    <row r="16" spans="2:39" ht="15" customHeight="1">
      <c r="B16" s="80">
        <v>45618.166666666664</v>
      </c>
      <c r="C16" s="61">
        <v>45618.166666666664</v>
      </c>
      <c r="D16" s="85">
        <v>13.249599999999999</v>
      </c>
      <c r="E16" s="62">
        <v>87.962000000000003</v>
      </c>
      <c r="F16" s="62">
        <v>567.12</v>
      </c>
      <c r="G16" s="62">
        <v>160.44</v>
      </c>
      <c r="H16" s="62">
        <v>1.19</v>
      </c>
      <c r="I16" s="62">
        <v>0</v>
      </c>
      <c r="J16" s="62"/>
      <c r="K16" s="86">
        <v>0</v>
      </c>
      <c r="L16" s="85">
        <v>13.52</v>
      </c>
      <c r="M16" s="62">
        <v>85.4</v>
      </c>
      <c r="N16" s="62">
        <v>566.12</v>
      </c>
      <c r="O16" s="62">
        <v>152.44</v>
      </c>
      <c r="P16" s="62">
        <v>0.19</v>
      </c>
      <c r="Q16" s="62">
        <v>0</v>
      </c>
      <c r="R16" s="62"/>
      <c r="S16" s="92">
        <v>0</v>
      </c>
      <c r="T16" s="85">
        <f t="shared" si="0"/>
        <v>0.27040000000000042</v>
      </c>
      <c r="U16" s="62">
        <f t="shared" si="0"/>
        <v>2.5619999999999976</v>
      </c>
      <c r="V16" s="62">
        <f t="shared" si="0"/>
        <v>1</v>
      </c>
      <c r="W16" s="62">
        <f t="shared" si="0"/>
        <v>8</v>
      </c>
      <c r="X16" s="62">
        <f t="shared" si="0"/>
        <v>1</v>
      </c>
      <c r="Y16" s="62">
        <f t="shared" si="0"/>
        <v>0</v>
      </c>
      <c r="Z16" s="62">
        <f t="shared" si="0"/>
        <v>0</v>
      </c>
      <c r="AA16" s="59">
        <f t="shared" si="1"/>
        <v>0</v>
      </c>
      <c r="AB16" s="60" t="str">
        <f t="shared" si="2"/>
        <v>Cumple</v>
      </c>
      <c r="AL16" t="s">
        <v>56</v>
      </c>
      <c r="AM16" t="s">
        <v>57</v>
      </c>
    </row>
    <row r="17" spans="2:39" ht="15" customHeight="1">
      <c r="B17" s="80">
        <v>45618.208333333336</v>
      </c>
      <c r="C17" s="61">
        <v>45618.208333333336</v>
      </c>
      <c r="D17" s="85">
        <v>13.524000000000001</v>
      </c>
      <c r="E17" s="62">
        <v>86.993799999999993</v>
      </c>
      <c r="F17" s="62">
        <v>567.6</v>
      </c>
      <c r="G17" s="62">
        <v>73.38</v>
      </c>
      <c r="H17" s="62">
        <v>0.03</v>
      </c>
      <c r="I17" s="62">
        <v>0</v>
      </c>
      <c r="J17" s="62"/>
      <c r="K17" s="86">
        <v>0</v>
      </c>
      <c r="L17" s="85">
        <v>13.8</v>
      </c>
      <c r="M17" s="62">
        <v>84.46</v>
      </c>
      <c r="N17" s="62">
        <v>566.6</v>
      </c>
      <c r="O17" s="62">
        <v>72.38</v>
      </c>
      <c r="P17" s="62">
        <v>0.03</v>
      </c>
      <c r="Q17" s="62">
        <v>0</v>
      </c>
      <c r="R17" s="62"/>
      <c r="S17" s="92">
        <v>0</v>
      </c>
      <c r="T17" s="85">
        <f t="shared" si="0"/>
        <v>0.2759999999999998</v>
      </c>
      <c r="U17" s="62">
        <f t="shared" si="0"/>
        <v>2.5337999999999994</v>
      </c>
      <c r="V17" s="62">
        <f t="shared" si="0"/>
        <v>1</v>
      </c>
      <c r="W17" s="62">
        <f t="shared" si="0"/>
        <v>1</v>
      </c>
      <c r="X17" s="62">
        <f t="shared" si="0"/>
        <v>0</v>
      </c>
      <c r="Y17" s="62">
        <f t="shared" si="0"/>
        <v>0</v>
      </c>
      <c r="Z17" s="62">
        <f t="shared" si="0"/>
        <v>0</v>
      </c>
      <c r="AA17" s="59">
        <f t="shared" si="1"/>
        <v>0</v>
      </c>
      <c r="AB17" s="60" t="str">
        <f t="shared" si="2"/>
        <v>Cumple</v>
      </c>
      <c r="AL17" t="s">
        <v>58</v>
      </c>
      <c r="AM17" t="s">
        <v>58</v>
      </c>
    </row>
    <row r="18" spans="2:39" ht="15" customHeight="1">
      <c r="B18" s="80">
        <v>45618.25</v>
      </c>
      <c r="C18" s="61">
        <v>45618.25</v>
      </c>
      <c r="D18" s="85">
        <v>13.5632</v>
      </c>
      <c r="E18" s="62">
        <v>87.148300000000006</v>
      </c>
      <c r="F18" s="62">
        <v>568.09</v>
      </c>
      <c r="G18" s="62">
        <v>294.36</v>
      </c>
      <c r="H18" s="62">
        <v>1.53</v>
      </c>
      <c r="I18" s="62">
        <v>97.59</v>
      </c>
      <c r="J18" s="62"/>
      <c r="K18" s="86">
        <v>0</v>
      </c>
      <c r="L18" s="85">
        <v>13.84</v>
      </c>
      <c r="M18" s="62">
        <v>84.61</v>
      </c>
      <c r="N18" s="62">
        <v>567.09</v>
      </c>
      <c r="O18" s="62">
        <v>292.36</v>
      </c>
      <c r="P18" s="62">
        <v>0.53</v>
      </c>
      <c r="Q18" s="62">
        <v>11.59</v>
      </c>
      <c r="R18" s="62"/>
      <c r="S18" s="92">
        <v>0</v>
      </c>
      <c r="T18" s="85">
        <f t="shared" si="0"/>
        <v>0.27679999999999971</v>
      </c>
      <c r="U18" s="62">
        <f t="shared" si="0"/>
        <v>2.5383000000000067</v>
      </c>
      <c r="V18" s="62">
        <f t="shared" si="0"/>
        <v>1</v>
      </c>
      <c r="W18" s="62">
        <f t="shared" si="0"/>
        <v>2</v>
      </c>
      <c r="X18" s="62">
        <f t="shared" si="0"/>
        <v>1</v>
      </c>
      <c r="Y18" s="62">
        <f t="shared" si="0"/>
        <v>86</v>
      </c>
      <c r="Z18" s="62">
        <f t="shared" si="0"/>
        <v>0</v>
      </c>
      <c r="AA18" s="59">
        <f t="shared" si="1"/>
        <v>0</v>
      </c>
      <c r="AB18" s="60" t="str">
        <f t="shared" si="2"/>
        <v>Cumple</v>
      </c>
      <c r="AL18" t="s">
        <v>55</v>
      </c>
      <c r="AM18" t="s">
        <v>55</v>
      </c>
    </row>
    <row r="19" spans="2:39" ht="15" customHeight="1">
      <c r="B19" s="80">
        <v>45618.291666666664</v>
      </c>
      <c r="C19" s="61">
        <v>45618.291666666664</v>
      </c>
      <c r="D19" s="85">
        <v>14.268800000000001</v>
      </c>
      <c r="E19" s="62">
        <v>84.758700000000005</v>
      </c>
      <c r="F19" s="62">
        <v>567.66999999999996</v>
      </c>
      <c r="G19" s="62">
        <v>303.52</v>
      </c>
      <c r="H19" s="62">
        <v>0.74</v>
      </c>
      <c r="I19" s="62">
        <v>199.05</v>
      </c>
      <c r="J19" s="62"/>
      <c r="K19" s="86">
        <v>0</v>
      </c>
      <c r="L19" s="85">
        <v>14.56</v>
      </c>
      <c r="M19" s="62">
        <v>82.29</v>
      </c>
      <c r="N19" s="62">
        <v>567.66999999999996</v>
      </c>
      <c r="O19" s="62">
        <v>301.52</v>
      </c>
      <c r="P19" s="62">
        <v>0.74</v>
      </c>
      <c r="Q19" s="62">
        <v>121.05</v>
      </c>
      <c r="R19" s="62"/>
      <c r="S19" s="92">
        <v>0</v>
      </c>
      <c r="T19" s="85">
        <f t="shared" si="0"/>
        <v>0.2911999999999999</v>
      </c>
      <c r="U19" s="62">
        <f t="shared" si="0"/>
        <v>2.4686999999999983</v>
      </c>
      <c r="V19" s="62">
        <f t="shared" si="0"/>
        <v>0</v>
      </c>
      <c r="W19" s="62">
        <f t="shared" si="0"/>
        <v>2</v>
      </c>
      <c r="X19" s="62">
        <f t="shared" si="0"/>
        <v>0</v>
      </c>
      <c r="Y19" s="62">
        <f t="shared" si="0"/>
        <v>78.000000000000014</v>
      </c>
      <c r="Z19" s="62">
        <f t="shared" si="0"/>
        <v>0</v>
      </c>
      <c r="AA19" s="59">
        <f t="shared" si="1"/>
        <v>0</v>
      </c>
      <c r="AB19" s="60" t="str">
        <f t="shared" si="2"/>
        <v>Cumple</v>
      </c>
      <c r="AL19" t="s">
        <v>55</v>
      </c>
      <c r="AM19" t="s">
        <v>55</v>
      </c>
    </row>
    <row r="20" spans="2:39" ht="15" customHeight="1">
      <c r="B20" s="80">
        <v>45618.333333333336</v>
      </c>
      <c r="C20" s="61">
        <v>45618.333333333336</v>
      </c>
      <c r="D20" s="85">
        <v>15.7682</v>
      </c>
      <c r="E20" s="62">
        <v>77.147000000000006</v>
      </c>
      <c r="F20" s="62">
        <v>567.74</v>
      </c>
      <c r="G20" s="62">
        <v>344.04</v>
      </c>
      <c r="H20" s="62">
        <v>1.1399999999999999</v>
      </c>
      <c r="I20" s="62">
        <v>268.18</v>
      </c>
      <c r="J20" s="62"/>
      <c r="K20" s="86">
        <v>0</v>
      </c>
      <c r="L20" s="85">
        <v>16.09</v>
      </c>
      <c r="M20" s="62">
        <v>74.900000000000006</v>
      </c>
      <c r="N20" s="62">
        <v>567.74</v>
      </c>
      <c r="O20" s="62">
        <v>336.04</v>
      </c>
      <c r="P20" s="62">
        <v>1.1399999999999999</v>
      </c>
      <c r="Q20" s="62">
        <v>184.18</v>
      </c>
      <c r="R20" s="62"/>
      <c r="S20" s="92">
        <v>0</v>
      </c>
      <c r="T20" s="85">
        <f t="shared" si="0"/>
        <v>0.32179999999999964</v>
      </c>
      <c r="U20" s="62">
        <f t="shared" si="0"/>
        <v>2.2469999999999999</v>
      </c>
      <c r="V20" s="62">
        <f t="shared" si="0"/>
        <v>0</v>
      </c>
      <c r="W20" s="62">
        <f t="shared" si="0"/>
        <v>8</v>
      </c>
      <c r="X20" s="62">
        <f t="shared" si="0"/>
        <v>0</v>
      </c>
      <c r="Y20" s="62">
        <f t="shared" si="0"/>
        <v>84</v>
      </c>
      <c r="Z20" s="62">
        <f t="shared" si="0"/>
        <v>0</v>
      </c>
      <c r="AA20" s="59">
        <f t="shared" si="1"/>
        <v>0</v>
      </c>
      <c r="AB20" s="60" t="str">
        <f t="shared" si="2"/>
        <v>Cumple</v>
      </c>
      <c r="AL20" t="s">
        <v>55</v>
      </c>
      <c r="AM20" t="s">
        <v>55</v>
      </c>
    </row>
    <row r="21" spans="2:39" ht="15" customHeight="1">
      <c r="B21" s="80">
        <v>45618.375</v>
      </c>
      <c r="C21" s="61">
        <v>45618.375</v>
      </c>
      <c r="D21" s="85">
        <v>17.179400000000001</v>
      </c>
      <c r="E21" s="62">
        <v>70.050300000000007</v>
      </c>
      <c r="F21" s="62">
        <v>568.54</v>
      </c>
      <c r="G21" s="62">
        <v>352.07</v>
      </c>
      <c r="H21" s="62">
        <v>1.03</v>
      </c>
      <c r="I21" s="62">
        <v>338.42</v>
      </c>
      <c r="J21" s="62"/>
      <c r="K21" s="86">
        <v>0</v>
      </c>
      <c r="L21" s="85">
        <v>17.53</v>
      </c>
      <c r="M21" s="62">
        <v>68.010000000000005</v>
      </c>
      <c r="N21" s="62">
        <v>567.54</v>
      </c>
      <c r="O21" s="62">
        <v>348.07</v>
      </c>
      <c r="P21" s="62">
        <v>1.03</v>
      </c>
      <c r="Q21" s="62">
        <v>322.42</v>
      </c>
      <c r="R21" s="62"/>
      <c r="S21" s="92">
        <v>0</v>
      </c>
      <c r="T21" s="85">
        <f t="shared" si="0"/>
        <v>0.35060000000000002</v>
      </c>
      <c r="U21" s="62">
        <f t="shared" si="0"/>
        <v>2.040300000000002</v>
      </c>
      <c r="V21" s="62">
        <f t="shared" si="0"/>
        <v>1</v>
      </c>
      <c r="W21" s="62">
        <f t="shared" si="0"/>
        <v>4</v>
      </c>
      <c r="X21" s="62">
        <f t="shared" si="0"/>
        <v>0</v>
      </c>
      <c r="Y21" s="62">
        <f t="shared" si="0"/>
        <v>16</v>
      </c>
      <c r="Z21" s="62">
        <f t="shared" si="0"/>
        <v>0</v>
      </c>
      <c r="AA21" s="59">
        <f t="shared" si="1"/>
        <v>0</v>
      </c>
      <c r="AB21" s="60" t="str">
        <f t="shared" si="2"/>
        <v>Cumple</v>
      </c>
      <c r="AL21" t="s">
        <v>58</v>
      </c>
      <c r="AM21" t="s">
        <v>58</v>
      </c>
    </row>
    <row r="22" spans="2:39" ht="15" customHeight="1">
      <c r="B22" s="80">
        <v>45618.416666666664</v>
      </c>
      <c r="C22" s="61">
        <v>45618.416666666664</v>
      </c>
      <c r="D22" s="85">
        <v>19.237399999999997</v>
      </c>
      <c r="E22" s="62">
        <v>59.812100000000001</v>
      </c>
      <c r="F22" s="62">
        <v>567.15</v>
      </c>
      <c r="G22" s="62">
        <v>310.7</v>
      </c>
      <c r="H22" s="62">
        <v>0.8</v>
      </c>
      <c r="I22" s="62">
        <v>328.55</v>
      </c>
      <c r="J22" s="62"/>
      <c r="K22" s="86">
        <v>0</v>
      </c>
      <c r="L22" s="85">
        <v>19.63</v>
      </c>
      <c r="M22" s="62">
        <v>58.07</v>
      </c>
      <c r="N22" s="62">
        <v>567.15</v>
      </c>
      <c r="O22" s="62">
        <v>304.7</v>
      </c>
      <c r="P22" s="62">
        <v>0.8</v>
      </c>
      <c r="Q22" s="62">
        <v>263.55</v>
      </c>
      <c r="R22" s="62"/>
      <c r="S22" s="92">
        <v>0</v>
      </c>
      <c r="T22" s="85">
        <f t="shared" si="0"/>
        <v>0.39260000000000161</v>
      </c>
      <c r="U22" s="62">
        <f t="shared" si="0"/>
        <v>1.7421000000000006</v>
      </c>
      <c r="V22" s="62">
        <f t="shared" si="0"/>
        <v>0</v>
      </c>
      <c r="W22" s="62">
        <f t="shared" si="0"/>
        <v>6</v>
      </c>
      <c r="X22" s="62">
        <f t="shared" si="0"/>
        <v>0</v>
      </c>
      <c r="Y22" s="62">
        <f t="shared" si="0"/>
        <v>65</v>
      </c>
      <c r="Z22" s="62">
        <f t="shared" si="0"/>
        <v>0</v>
      </c>
      <c r="AA22" s="59">
        <f t="shared" si="1"/>
        <v>0</v>
      </c>
      <c r="AB22" s="60" t="str">
        <f t="shared" si="2"/>
        <v>Cumple</v>
      </c>
      <c r="AL22" t="s">
        <v>58</v>
      </c>
      <c r="AM22" t="s">
        <v>59</v>
      </c>
    </row>
    <row r="23" spans="2:39" ht="15" customHeight="1">
      <c r="B23" s="80">
        <v>45618.458333333336</v>
      </c>
      <c r="C23" s="61">
        <v>45618.458333333336</v>
      </c>
      <c r="D23" s="85">
        <v>18.9924</v>
      </c>
      <c r="E23" s="62">
        <v>58.874799999999993</v>
      </c>
      <c r="F23" s="62">
        <v>566.54999999999995</v>
      </c>
      <c r="G23" s="62">
        <v>119.06</v>
      </c>
      <c r="H23" s="62">
        <v>1.94</v>
      </c>
      <c r="I23" s="62">
        <v>205.72</v>
      </c>
      <c r="J23" s="62"/>
      <c r="K23" s="86">
        <v>0</v>
      </c>
      <c r="L23" s="85">
        <v>19.38</v>
      </c>
      <c r="M23" s="62">
        <v>57.16</v>
      </c>
      <c r="N23" s="62">
        <v>566.54999999999995</v>
      </c>
      <c r="O23" s="62">
        <v>109.06</v>
      </c>
      <c r="P23" s="62">
        <v>0.94</v>
      </c>
      <c r="Q23" s="62">
        <v>183.72</v>
      </c>
      <c r="R23" s="62"/>
      <c r="S23" s="92">
        <v>0</v>
      </c>
      <c r="T23" s="85">
        <f t="shared" si="0"/>
        <v>0.38759999999999906</v>
      </c>
      <c r="U23" s="62">
        <f t="shared" si="0"/>
        <v>1.7147999999999968</v>
      </c>
      <c r="V23" s="62">
        <f t="shared" si="0"/>
        <v>0</v>
      </c>
      <c r="W23" s="62">
        <f t="shared" si="0"/>
        <v>10</v>
      </c>
      <c r="X23" s="62">
        <f t="shared" si="0"/>
        <v>1</v>
      </c>
      <c r="Y23" s="62">
        <f>+ABS(Q23-I23)</f>
        <v>22</v>
      </c>
      <c r="Z23" s="62">
        <f t="shared" si="0"/>
        <v>0</v>
      </c>
      <c r="AA23" s="59">
        <f t="shared" si="1"/>
        <v>0</v>
      </c>
      <c r="AB23" s="60" t="str">
        <f t="shared" si="2"/>
        <v>Cumple</v>
      </c>
      <c r="AL23" t="s">
        <v>58</v>
      </c>
      <c r="AM23" t="s">
        <v>58</v>
      </c>
    </row>
    <row r="24" spans="2:39" ht="15" customHeight="1">
      <c r="B24" s="80">
        <v>45618.5</v>
      </c>
      <c r="C24" s="61">
        <v>45618.5</v>
      </c>
      <c r="D24" s="85">
        <v>19.119800000000001</v>
      </c>
      <c r="E24" s="62">
        <v>60.285899999999998</v>
      </c>
      <c r="F24" s="62">
        <v>565.73</v>
      </c>
      <c r="G24" s="62">
        <v>89.64</v>
      </c>
      <c r="H24" s="62">
        <v>2.66</v>
      </c>
      <c r="I24" s="62">
        <v>150.27000000000001</v>
      </c>
      <c r="J24" s="62"/>
      <c r="K24" s="86">
        <v>0</v>
      </c>
      <c r="L24" s="85">
        <v>19.510000000000002</v>
      </c>
      <c r="M24" s="62">
        <v>58.53</v>
      </c>
      <c r="N24" s="62">
        <v>565.73</v>
      </c>
      <c r="O24" s="62">
        <v>80.64</v>
      </c>
      <c r="P24" s="62">
        <v>1.66</v>
      </c>
      <c r="Q24" s="62">
        <v>131.27000000000001</v>
      </c>
      <c r="R24" s="62"/>
      <c r="S24" s="92">
        <v>0</v>
      </c>
      <c r="T24" s="85">
        <f t="shared" si="0"/>
        <v>0.3902000000000001</v>
      </c>
      <c r="U24" s="62">
        <f t="shared" si="0"/>
        <v>1.7558999999999969</v>
      </c>
      <c r="V24" s="62">
        <f t="shared" si="0"/>
        <v>0</v>
      </c>
      <c r="W24" s="62">
        <f t="shared" si="0"/>
        <v>9</v>
      </c>
      <c r="X24" s="62">
        <f t="shared" si="0"/>
        <v>1.0000000000000002</v>
      </c>
      <c r="Y24" s="62">
        <f t="shared" si="0"/>
        <v>19</v>
      </c>
      <c r="Z24" s="62">
        <f t="shared" si="0"/>
        <v>0</v>
      </c>
      <c r="AA24" s="59">
        <f t="shared" si="1"/>
        <v>0</v>
      </c>
      <c r="AB24" s="60" t="str">
        <f t="shared" si="2"/>
        <v>Cumple</v>
      </c>
      <c r="AL24" t="s">
        <v>58</v>
      </c>
      <c r="AM24" t="s">
        <v>58</v>
      </c>
    </row>
    <row r="25" spans="2:39" ht="15" customHeight="1">
      <c r="B25" s="80">
        <v>45618.541666666664</v>
      </c>
      <c r="C25" s="61">
        <v>45618.541666666664</v>
      </c>
      <c r="D25" s="85">
        <v>16.9834</v>
      </c>
      <c r="E25" s="62">
        <v>76.312700000000007</v>
      </c>
      <c r="F25" s="62">
        <v>565.89</v>
      </c>
      <c r="G25" s="62">
        <v>66.53</v>
      </c>
      <c r="H25" s="62">
        <v>3.27</v>
      </c>
      <c r="I25" s="93">
        <v>178.45999999999998</v>
      </c>
      <c r="J25" s="62"/>
      <c r="K25" s="92">
        <v>0</v>
      </c>
      <c r="L25" s="94">
        <v>17.329999999999998</v>
      </c>
      <c r="M25" s="62">
        <v>74.09</v>
      </c>
      <c r="N25" s="62">
        <v>564.89</v>
      </c>
      <c r="O25" s="62">
        <v>64.53</v>
      </c>
      <c r="P25" s="62">
        <v>2.27</v>
      </c>
      <c r="Q25" s="93">
        <v>113.46</v>
      </c>
      <c r="R25" s="62"/>
      <c r="S25" s="92">
        <v>0</v>
      </c>
      <c r="T25" s="85">
        <f t="shared" si="0"/>
        <v>0.34659999999999869</v>
      </c>
      <c r="U25" s="62">
        <f t="shared" si="0"/>
        <v>2.2227000000000032</v>
      </c>
      <c r="V25" s="62">
        <f t="shared" si="0"/>
        <v>1</v>
      </c>
      <c r="W25" s="62">
        <f t="shared" si="0"/>
        <v>2</v>
      </c>
      <c r="X25" s="62">
        <f t="shared" si="0"/>
        <v>1</v>
      </c>
      <c r="Y25" s="62">
        <f t="shared" si="0"/>
        <v>64.999999999999986</v>
      </c>
      <c r="Z25" s="62">
        <f t="shared" si="0"/>
        <v>0</v>
      </c>
      <c r="AA25" s="59">
        <f t="shared" si="1"/>
        <v>0</v>
      </c>
      <c r="AB25" s="60" t="str">
        <f t="shared" si="2"/>
        <v>Cumple</v>
      </c>
      <c r="AL25" t="s">
        <v>60</v>
      </c>
      <c r="AM25" t="s">
        <v>60</v>
      </c>
    </row>
    <row r="26" spans="2:39" ht="15" customHeight="1">
      <c r="B26" s="80">
        <v>45618.583333333336</v>
      </c>
      <c r="C26" s="61">
        <v>45618.583333333336</v>
      </c>
      <c r="D26" s="85">
        <v>15.729000000000001</v>
      </c>
      <c r="E26" s="62">
        <v>85.294300000000007</v>
      </c>
      <c r="F26" s="62">
        <v>565.38</v>
      </c>
      <c r="G26" s="62">
        <v>197</v>
      </c>
      <c r="H26" s="62">
        <v>3.21</v>
      </c>
      <c r="I26" s="93">
        <v>175.7</v>
      </c>
      <c r="J26" s="62"/>
      <c r="K26" s="92">
        <v>0</v>
      </c>
      <c r="L26" s="94">
        <v>16.05</v>
      </c>
      <c r="M26" s="62">
        <v>82.81</v>
      </c>
      <c r="N26" s="62">
        <v>564.38</v>
      </c>
      <c r="O26" s="62">
        <v>196</v>
      </c>
      <c r="P26" s="62">
        <v>2.21</v>
      </c>
      <c r="Q26" s="93">
        <v>93.7</v>
      </c>
      <c r="R26" s="62"/>
      <c r="S26" s="92">
        <v>0</v>
      </c>
      <c r="T26" s="85">
        <f t="shared" si="0"/>
        <v>0.32099999999999973</v>
      </c>
      <c r="U26" s="62">
        <f t="shared" si="0"/>
        <v>2.4843000000000046</v>
      </c>
      <c r="V26" s="62">
        <f t="shared" si="0"/>
        <v>1</v>
      </c>
      <c r="W26" s="62">
        <f t="shared" si="0"/>
        <v>1</v>
      </c>
      <c r="X26" s="62">
        <f t="shared" si="0"/>
        <v>1</v>
      </c>
      <c r="Y26" s="62">
        <f t="shared" si="0"/>
        <v>81.999999999999986</v>
      </c>
      <c r="Z26" s="62">
        <f t="shared" si="0"/>
        <v>0</v>
      </c>
      <c r="AA26" s="59">
        <f t="shared" si="1"/>
        <v>0</v>
      </c>
      <c r="AB26" s="60" t="str">
        <f t="shared" si="2"/>
        <v>Cumple</v>
      </c>
      <c r="AL26" t="s">
        <v>61</v>
      </c>
      <c r="AM26" t="s">
        <v>61</v>
      </c>
    </row>
    <row r="27" spans="2:39" ht="15" customHeight="1">
      <c r="B27" s="80">
        <v>45618.625</v>
      </c>
      <c r="C27" s="61">
        <v>45618.625</v>
      </c>
      <c r="D27" s="85">
        <v>15.670199999999999</v>
      </c>
      <c r="E27" s="62">
        <v>83.100400000000008</v>
      </c>
      <c r="F27" s="62">
        <v>565.15</v>
      </c>
      <c r="G27" s="62">
        <v>266.66000000000003</v>
      </c>
      <c r="H27" s="62">
        <v>1.64</v>
      </c>
      <c r="I27" s="93">
        <v>147.9</v>
      </c>
      <c r="J27" s="62"/>
      <c r="K27" s="92">
        <v>0</v>
      </c>
      <c r="L27" s="94">
        <v>15.99</v>
      </c>
      <c r="M27" s="62">
        <v>80.680000000000007</v>
      </c>
      <c r="N27" s="62">
        <v>564.15</v>
      </c>
      <c r="O27" s="62">
        <v>261.66000000000003</v>
      </c>
      <c r="P27" s="62">
        <v>1.64</v>
      </c>
      <c r="Q27" s="93">
        <v>142.9</v>
      </c>
      <c r="R27" s="62"/>
      <c r="S27" s="92">
        <v>0</v>
      </c>
      <c r="T27" s="85">
        <f t="shared" si="0"/>
        <v>0.31980000000000075</v>
      </c>
      <c r="U27" s="62">
        <f t="shared" si="0"/>
        <v>2.4204000000000008</v>
      </c>
      <c r="V27" s="62">
        <f t="shared" si="0"/>
        <v>1</v>
      </c>
      <c r="W27" s="62">
        <f t="shared" si="0"/>
        <v>5</v>
      </c>
      <c r="X27" s="62">
        <f t="shared" si="0"/>
        <v>0</v>
      </c>
      <c r="Y27" s="62">
        <f t="shared" si="0"/>
        <v>5</v>
      </c>
      <c r="Z27" s="62">
        <f t="shared" si="0"/>
        <v>0</v>
      </c>
      <c r="AA27" s="59">
        <f t="shared" si="1"/>
        <v>0</v>
      </c>
      <c r="AB27" s="60" t="str">
        <f t="shared" si="2"/>
        <v>Cumple</v>
      </c>
      <c r="AL27" t="s">
        <v>60</v>
      </c>
      <c r="AM27" t="s">
        <v>60</v>
      </c>
    </row>
    <row r="28" spans="2:39" ht="15" customHeight="1">
      <c r="B28" s="80">
        <v>45618.666666666664</v>
      </c>
      <c r="C28" s="61">
        <v>45618.666666666664</v>
      </c>
      <c r="D28" s="85">
        <v>15.376199999999999</v>
      </c>
      <c r="E28" s="62">
        <v>78.9392</v>
      </c>
      <c r="F28" s="62">
        <v>564.46</v>
      </c>
      <c r="G28" s="62">
        <v>308.27</v>
      </c>
      <c r="H28" s="62">
        <v>0.65</v>
      </c>
      <c r="I28" s="93">
        <v>130.51</v>
      </c>
      <c r="J28" s="62"/>
      <c r="K28" s="92">
        <v>0</v>
      </c>
      <c r="L28" s="94">
        <v>15.69</v>
      </c>
      <c r="M28" s="62">
        <v>76.64</v>
      </c>
      <c r="N28" s="62">
        <v>564.46</v>
      </c>
      <c r="O28" s="62">
        <v>305.27</v>
      </c>
      <c r="P28" s="62">
        <v>0.65</v>
      </c>
      <c r="Q28" s="93">
        <v>55.51</v>
      </c>
      <c r="R28" s="62"/>
      <c r="S28" s="92">
        <v>0</v>
      </c>
      <c r="T28" s="85">
        <f t="shared" si="0"/>
        <v>0.31380000000000052</v>
      </c>
      <c r="U28" s="62">
        <f t="shared" si="0"/>
        <v>2.299199999999999</v>
      </c>
      <c r="V28" s="62">
        <f t="shared" si="0"/>
        <v>0</v>
      </c>
      <c r="W28" s="62">
        <f t="shared" si="0"/>
        <v>3</v>
      </c>
      <c r="X28" s="62">
        <f t="shared" si="0"/>
        <v>0</v>
      </c>
      <c r="Y28" s="62">
        <f t="shared" si="0"/>
        <v>75</v>
      </c>
      <c r="Z28" s="62">
        <f t="shared" si="0"/>
        <v>0</v>
      </c>
      <c r="AA28" s="59">
        <f t="shared" si="1"/>
        <v>0</v>
      </c>
      <c r="AB28" s="60" t="str">
        <f t="shared" si="2"/>
        <v>Cumple</v>
      </c>
      <c r="AL28" t="s">
        <v>62</v>
      </c>
      <c r="AM28" t="s">
        <v>63</v>
      </c>
    </row>
    <row r="29" spans="2:39" ht="15" customHeight="1">
      <c r="B29" s="80">
        <v>45618.708333333336</v>
      </c>
      <c r="C29" s="61">
        <v>45618.708333333336</v>
      </c>
      <c r="D29" s="85">
        <v>15.248800000000001</v>
      </c>
      <c r="E29" s="62">
        <v>80.679900000000004</v>
      </c>
      <c r="F29" s="62">
        <v>565.03</v>
      </c>
      <c r="G29" s="62">
        <v>249.88</v>
      </c>
      <c r="H29" s="62">
        <v>0.81</v>
      </c>
      <c r="I29" s="93">
        <v>23.72</v>
      </c>
      <c r="J29" s="62"/>
      <c r="K29" s="92">
        <v>0</v>
      </c>
      <c r="L29" s="94">
        <v>15.56</v>
      </c>
      <c r="M29" s="62">
        <v>78.33</v>
      </c>
      <c r="N29" s="62">
        <v>565.03</v>
      </c>
      <c r="O29" s="62">
        <v>244.88</v>
      </c>
      <c r="P29" s="62">
        <v>0.81</v>
      </c>
      <c r="Q29" s="93">
        <v>4.72</v>
      </c>
      <c r="R29" s="62"/>
      <c r="S29" s="92">
        <v>0</v>
      </c>
      <c r="T29" s="85">
        <f t="shared" si="0"/>
        <v>0.31119999999999948</v>
      </c>
      <c r="U29" s="62">
        <f t="shared" si="0"/>
        <v>2.3499000000000052</v>
      </c>
      <c r="V29" s="62">
        <f t="shared" si="0"/>
        <v>0</v>
      </c>
      <c r="W29" s="62">
        <f t="shared" si="0"/>
        <v>5</v>
      </c>
      <c r="X29" s="62">
        <f t="shared" si="0"/>
        <v>0</v>
      </c>
      <c r="Y29" s="62">
        <f t="shared" si="0"/>
        <v>19</v>
      </c>
      <c r="Z29" s="62">
        <f t="shared" si="0"/>
        <v>0</v>
      </c>
      <c r="AA29" s="59">
        <f t="shared" si="1"/>
        <v>0</v>
      </c>
      <c r="AB29" s="60" t="str">
        <f t="shared" si="2"/>
        <v>Cumple</v>
      </c>
      <c r="AL29" t="s">
        <v>64</v>
      </c>
      <c r="AM29" t="s">
        <v>64</v>
      </c>
    </row>
    <row r="30" spans="2:39" ht="15" customHeight="1">
      <c r="B30" s="80">
        <v>45618.75</v>
      </c>
      <c r="C30" s="61">
        <v>45618.75</v>
      </c>
      <c r="D30" s="85">
        <v>14.494199999999999</v>
      </c>
      <c r="E30" s="62">
        <v>84.398200000000003</v>
      </c>
      <c r="F30" s="62">
        <v>565.72</v>
      </c>
      <c r="G30" s="62">
        <v>177.01</v>
      </c>
      <c r="H30" s="62">
        <v>1.87</v>
      </c>
      <c r="I30" s="93">
        <v>0</v>
      </c>
      <c r="J30" s="62"/>
      <c r="K30" s="92">
        <v>0</v>
      </c>
      <c r="L30" s="94">
        <v>14.79</v>
      </c>
      <c r="M30" s="62">
        <v>81.94</v>
      </c>
      <c r="N30" s="62">
        <v>565.72</v>
      </c>
      <c r="O30" s="62">
        <v>173.01</v>
      </c>
      <c r="P30" s="62">
        <v>0.87</v>
      </c>
      <c r="Q30" s="93">
        <v>0</v>
      </c>
      <c r="R30" s="62"/>
      <c r="S30" s="92">
        <v>0</v>
      </c>
      <c r="T30" s="85">
        <f t="shared" si="0"/>
        <v>0.29579999999999984</v>
      </c>
      <c r="U30" s="62">
        <f t="shared" si="0"/>
        <v>2.458200000000005</v>
      </c>
      <c r="V30" s="62">
        <f t="shared" si="0"/>
        <v>0</v>
      </c>
      <c r="W30" s="62">
        <f t="shared" si="0"/>
        <v>4</v>
      </c>
      <c r="X30" s="62">
        <f t="shared" si="0"/>
        <v>1</v>
      </c>
      <c r="Y30" s="62">
        <f t="shared" si="0"/>
        <v>0</v>
      </c>
      <c r="Z30" s="62">
        <f t="shared" si="0"/>
        <v>0</v>
      </c>
      <c r="AA30" s="59">
        <f t="shared" si="1"/>
        <v>0</v>
      </c>
      <c r="AB30" s="60" t="str">
        <f t="shared" si="2"/>
        <v>Cumple</v>
      </c>
      <c r="AL30" t="s">
        <v>54</v>
      </c>
      <c r="AM30" t="s">
        <v>54</v>
      </c>
    </row>
    <row r="31" spans="2:39" ht="15" customHeight="1">
      <c r="B31" s="80">
        <v>45618.791666666664</v>
      </c>
      <c r="C31" s="61">
        <v>45618.791666666664</v>
      </c>
      <c r="D31" s="85">
        <v>14.219799999999999</v>
      </c>
      <c r="E31" s="62">
        <v>87.354299999999995</v>
      </c>
      <c r="F31" s="62">
        <v>567.46</v>
      </c>
      <c r="G31" s="62">
        <v>260.41000000000003</v>
      </c>
      <c r="H31" s="62">
        <v>0.19</v>
      </c>
      <c r="I31" s="93">
        <v>0</v>
      </c>
      <c r="J31" s="62"/>
      <c r="K31" s="92">
        <v>0.60000000000000009</v>
      </c>
      <c r="L31" s="94">
        <v>14.51</v>
      </c>
      <c r="M31" s="62">
        <v>84.81</v>
      </c>
      <c r="N31" s="62">
        <v>566.46</v>
      </c>
      <c r="O31" s="62">
        <v>256.41000000000003</v>
      </c>
      <c r="P31" s="62">
        <v>0.19</v>
      </c>
      <c r="Q31" s="93">
        <v>0</v>
      </c>
      <c r="R31" s="62"/>
      <c r="S31" s="92">
        <v>0.6</v>
      </c>
      <c r="T31" s="85">
        <f t="shared" si="0"/>
        <v>0.29020000000000046</v>
      </c>
      <c r="U31" s="62">
        <f t="shared" si="0"/>
        <v>2.5442999999999927</v>
      </c>
      <c r="V31" s="62">
        <f t="shared" si="0"/>
        <v>1</v>
      </c>
      <c r="W31" s="62">
        <f t="shared" si="0"/>
        <v>4</v>
      </c>
      <c r="X31" s="62">
        <f t="shared" si="0"/>
        <v>0</v>
      </c>
      <c r="Y31" s="62">
        <f t="shared" si="0"/>
        <v>0</v>
      </c>
      <c r="Z31" s="62">
        <f t="shared" si="0"/>
        <v>0</v>
      </c>
      <c r="AA31" s="59">
        <f t="shared" si="1"/>
        <v>1.8503717077085941E-16</v>
      </c>
      <c r="AB31" s="60" t="str">
        <f t="shared" si="2"/>
        <v>Cumple</v>
      </c>
      <c r="AL31" t="s">
        <v>65</v>
      </c>
      <c r="AM31" t="s">
        <v>65</v>
      </c>
    </row>
    <row r="32" spans="2:39" ht="15" customHeight="1">
      <c r="B32" s="80">
        <v>45618.833333333336</v>
      </c>
      <c r="C32" s="61">
        <v>45618.833333333336</v>
      </c>
      <c r="D32" s="85">
        <v>13.935600000000001</v>
      </c>
      <c r="E32" s="62">
        <v>89.836600000000004</v>
      </c>
      <c r="F32" s="62">
        <v>568.09</v>
      </c>
      <c r="G32" s="62">
        <v>341.03</v>
      </c>
      <c r="H32" s="62">
        <v>1.05</v>
      </c>
      <c r="I32" s="93">
        <v>0</v>
      </c>
      <c r="J32" s="62"/>
      <c r="K32" s="92">
        <v>0.8</v>
      </c>
      <c r="L32" s="94">
        <v>14.22</v>
      </c>
      <c r="M32" s="62">
        <v>87.22</v>
      </c>
      <c r="N32" s="62">
        <v>567.09</v>
      </c>
      <c r="O32" s="62">
        <v>334.03</v>
      </c>
      <c r="P32" s="62">
        <v>0.05</v>
      </c>
      <c r="Q32" s="93">
        <v>0</v>
      </c>
      <c r="R32" s="62"/>
      <c r="S32" s="92">
        <v>0.8</v>
      </c>
      <c r="T32" s="85">
        <f t="shared" si="0"/>
        <v>0.28439999999999976</v>
      </c>
      <c r="U32" s="62">
        <f t="shared" si="0"/>
        <v>2.6166000000000054</v>
      </c>
      <c r="V32" s="62">
        <f t="shared" si="0"/>
        <v>1</v>
      </c>
      <c r="W32" s="62">
        <f t="shared" si="0"/>
        <v>7</v>
      </c>
      <c r="X32" s="62">
        <f t="shared" si="0"/>
        <v>1</v>
      </c>
      <c r="Y32" s="62">
        <f t="shared" si="0"/>
        <v>0</v>
      </c>
      <c r="Z32" s="62">
        <f t="shared" si="0"/>
        <v>0</v>
      </c>
      <c r="AA32" s="59">
        <f t="shared" si="1"/>
        <v>0</v>
      </c>
      <c r="AB32" s="60" t="str">
        <f t="shared" si="2"/>
        <v>Cumple</v>
      </c>
      <c r="AL32" t="s">
        <v>55</v>
      </c>
      <c r="AM32" t="s">
        <v>54</v>
      </c>
    </row>
    <row r="33" spans="2:39" ht="15" customHeight="1">
      <c r="B33" s="80">
        <v>45618.875</v>
      </c>
      <c r="C33" s="61">
        <v>45618.875</v>
      </c>
      <c r="D33" s="85">
        <v>13.72</v>
      </c>
      <c r="E33" s="62">
        <v>91.608199999999997</v>
      </c>
      <c r="F33" s="62">
        <v>568.36</v>
      </c>
      <c r="G33" s="62">
        <v>323.87</v>
      </c>
      <c r="H33" s="62">
        <v>0.16</v>
      </c>
      <c r="I33" s="93">
        <v>0</v>
      </c>
      <c r="J33" s="62"/>
      <c r="K33" s="92">
        <v>2.2000000000000002</v>
      </c>
      <c r="L33" s="94">
        <v>14</v>
      </c>
      <c r="M33" s="62">
        <v>88.94</v>
      </c>
      <c r="N33" s="62">
        <v>567.36</v>
      </c>
      <c r="O33" s="62">
        <v>315.87</v>
      </c>
      <c r="P33" s="62">
        <v>0.16</v>
      </c>
      <c r="Q33" s="93">
        <v>0</v>
      </c>
      <c r="R33" s="62"/>
      <c r="S33" s="92">
        <v>2.2000000000000002</v>
      </c>
      <c r="T33" s="85">
        <f t="shared" si="0"/>
        <v>0.27999999999999936</v>
      </c>
      <c r="U33" s="62">
        <f t="shared" si="0"/>
        <v>2.6681999999999988</v>
      </c>
      <c r="V33" s="62">
        <f t="shared" si="0"/>
        <v>1</v>
      </c>
      <c r="W33" s="62">
        <f t="shared" si="0"/>
        <v>8</v>
      </c>
      <c r="X33" s="62">
        <f t="shared" si="0"/>
        <v>0</v>
      </c>
      <c r="Y33" s="62">
        <f t="shared" si="0"/>
        <v>0</v>
      </c>
      <c r="Z33" s="62">
        <f t="shared" si="0"/>
        <v>0</v>
      </c>
      <c r="AA33" s="59">
        <f t="shared" si="1"/>
        <v>0</v>
      </c>
      <c r="AB33" s="60" t="str">
        <f t="shared" si="2"/>
        <v>Cumple</v>
      </c>
      <c r="AL33" t="s">
        <v>55</v>
      </c>
      <c r="AM33" t="s">
        <v>55</v>
      </c>
    </row>
    <row r="34" spans="2:39" ht="15" customHeight="1">
      <c r="B34" s="80">
        <v>45618.916666666664</v>
      </c>
      <c r="C34" s="61">
        <v>45618.916666666664</v>
      </c>
      <c r="D34" s="85">
        <v>13.475</v>
      </c>
      <c r="E34" s="62">
        <v>91.567000000000007</v>
      </c>
      <c r="F34" s="62">
        <v>567.45000000000005</v>
      </c>
      <c r="G34" s="62">
        <v>300.02999999999997</v>
      </c>
      <c r="H34" s="62">
        <v>1.1000000000000001</v>
      </c>
      <c r="I34" s="93">
        <v>0</v>
      </c>
      <c r="J34" s="62"/>
      <c r="K34" s="92">
        <v>0.8</v>
      </c>
      <c r="L34" s="94">
        <v>13.75</v>
      </c>
      <c r="M34" s="62">
        <v>88.9</v>
      </c>
      <c r="N34" s="62">
        <v>567.45000000000005</v>
      </c>
      <c r="O34" s="62">
        <v>295.02999999999997</v>
      </c>
      <c r="P34" s="62">
        <v>0.1</v>
      </c>
      <c r="Q34" s="93">
        <v>0</v>
      </c>
      <c r="R34" s="62"/>
      <c r="S34" s="92">
        <v>0.8</v>
      </c>
      <c r="T34" s="85">
        <f t="shared" si="0"/>
        <v>0.27500000000000036</v>
      </c>
      <c r="U34" s="62">
        <f t="shared" si="0"/>
        <v>2.6670000000000016</v>
      </c>
      <c r="V34" s="62">
        <f t="shared" si="0"/>
        <v>0</v>
      </c>
      <c r="W34" s="62">
        <f t="shared" si="0"/>
        <v>5</v>
      </c>
      <c r="X34" s="62">
        <f t="shared" si="0"/>
        <v>1</v>
      </c>
      <c r="Y34" s="62">
        <f t="shared" si="0"/>
        <v>0</v>
      </c>
      <c r="Z34" s="62">
        <f t="shared" si="0"/>
        <v>0</v>
      </c>
      <c r="AA34" s="59">
        <f t="shared" si="1"/>
        <v>0</v>
      </c>
      <c r="AB34" s="60" t="str">
        <f t="shared" si="2"/>
        <v>Cumple</v>
      </c>
      <c r="AL34" t="s">
        <v>55</v>
      </c>
      <c r="AM34" t="s">
        <v>54</v>
      </c>
    </row>
    <row r="35" spans="2:39" ht="15" customHeight="1" thickBot="1">
      <c r="B35" s="80">
        <v>45618.958333333336</v>
      </c>
      <c r="C35" s="61">
        <v>45618.958333333336</v>
      </c>
      <c r="D35" s="87">
        <v>13.3574</v>
      </c>
      <c r="E35" s="88">
        <v>90.979900000000001</v>
      </c>
      <c r="F35" s="88">
        <v>568.12</v>
      </c>
      <c r="G35" s="88">
        <v>265.55</v>
      </c>
      <c r="H35" s="88">
        <v>0.46</v>
      </c>
      <c r="I35" s="95">
        <v>0</v>
      </c>
      <c r="J35" s="88"/>
      <c r="K35" s="96">
        <v>0</v>
      </c>
      <c r="L35" s="97">
        <v>13.63</v>
      </c>
      <c r="M35" s="88">
        <v>88.33</v>
      </c>
      <c r="N35" s="88">
        <v>567.12</v>
      </c>
      <c r="O35" s="88">
        <v>261.55</v>
      </c>
      <c r="P35" s="88">
        <v>0.46</v>
      </c>
      <c r="Q35" s="95">
        <v>0</v>
      </c>
      <c r="R35" s="88"/>
      <c r="S35" s="96">
        <v>0</v>
      </c>
      <c r="T35" s="87">
        <f t="shared" si="0"/>
        <v>0.27260000000000062</v>
      </c>
      <c r="U35" s="88">
        <f t="shared" si="0"/>
        <v>2.6499000000000024</v>
      </c>
      <c r="V35" s="88">
        <f t="shared" si="0"/>
        <v>1</v>
      </c>
      <c r="W35" s="88">
        <f t="shared" si="0"/>
        <v>4</v>
      </c>
      <c r="X35" s="88">
        <f t="shared" si="0"/>
        <v>0</v>
      </c>
      <c r="Y35" s="88">
        <f t="shared" si="0"/>
        <v>0</v>
      </c>
      <c r="Z35" s="88">
        <f t="shared" si="0"/>
        <v>0</v>
      </c>
      <c r="AA35" s="59">
        <f t="shared" si="1"/>
        <v>0</v>
      </c>
      <c r="AB35" s="63" t="str">
        <f t="shared" si="2"/>
        <v>Cumple</v>
      </c>
      <c r="AL35" t="s">
        <v>55</v>
      </c>
      <c r="AM35" t="s">
        <v>55</v>
      </c>
    </row>
    <row r="36" spans="2:39" ht="33" customHeight="1">
      <c r="B36" s="157" t="s">
        <v>42</v>
      </c>
      <c r="C36" s="158"/>
      <c r="D36" s="159">
        <v>45623.958333333336</v>
      </c>
      <c r="E36" s="160"/>
      <c r="F36" s="160"/>
      <c r="G36" s="160"/>
      <c r="H36" s="160"/>
      <c r="I36" s="161"/>
      <c r="J36" s="162" t="s">
        <v>43</v>
      </c>
      <c r="K36" s="162"/>
      <c r="L36" s="162"/>
      <c r="M36" s="162"/>
      <c r="N36" s="162"/>
      <c r="O36" s="162"/>
      <c r="P36" s="163"/>
      <c r="Q36" s="164" t="s">
        <v>73</v>
      </c>
      <c r="R36" s="165"/>
      <c r="S36" s="165"/>
      <c r="T36" s="166"/>
      <c r="U36" s="166"/>
      <c r="V36" s="166"/>
      <c r="W36" s="166"/>
      <c r="X36" s="166"/>
      <c r="Y36" s="166"/>
      <c r="Z36" s="166"/>
      <c r="AA36" s="166"/>
      <c r="AB36" s="167"/>
    </row>
    <row r="37" spans="2:39" ht="33" customHeight="1">
      <c r="B37" s="168" t="s">
        <v>45</v>
      </c>
      <c r="C37" s="169"/>
      <c r="D37" s="170" t="s">
        <v>46</v>
      </c>
      <c r="E37" s="171"/>
      <c r="F37" s="171"/>
      <c r="G37" s="171"/>
      <c r="H37" s="171"/>
      <c r="I37" s="172"/>
      <c r="J37" s="173" t="s">
        <v>47</v>
      </c>
      <c r="K37" s="174"/>
      <c r="L37" s="174"/>
      <c r="M37" s="174"/>
      <c r="N37" s="174"/>
      <c r="O37" s="174"/>
      <c r="P37" s="174"/>
      <c r="Q37" s="177" t="s">
        <v>48</v>
      </c>
      <c r="R37" s="178"/>
      <c r="S37" s="178"/>
      <c r="T37" s="178"/>
      <c r="U37" s="178"/>
      <c r="V37" s="178"/>
      <c r="W37" s="178"/>
      <c r="X37" s="178"/>
      <c r="Y37" s="178"/>
      <c r="Z37" s="178"/>
      <c r="AA37" s="178"/>
      <c r="AB37" s="179"/>
    </row>
    <row r="38" spans="2:39" ht="33" customHeight="1" thickBot="1">
      <c r="B38" s="183" t="s">
        <v>49</v>
      </c>
      <c r="C38" s="184"/>
      <c r="D38" s="185" t="s">
        <v>50</v>
      </c>
      <c r="E38" s="186"/>
      <c r="F38" s="186"/>
      <c r="G38" s="186"/>
      <c r="H38" s="186"/>
      <c r="I38" s="187"/>
      <c r="J38" s="175"/>
      <c r="K38" s="176"/>
      <c r="L38" s="176"/>
      <c r="M38" s="176"/>
      <c r="N38" s="176"/>
      <c r="O38" s="176"/>
      <c r="P38" s="176"/>
      <c r="Q38" s="180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2"/>
    </row>
    <row r="39" spans="2:39" ht="15" customHeight="1"/>
    <row r="40" spans="2:39" ht="15" customHeight="1"/>
    <row r="41" spans="2:39" ht="15" customHeight="1"/>
    <row r="42" spans="2:39" ht="15" customHeight="1"/>
    <row r="43" spans="2:39" ht="15" customHeight="1"/>
    <row r="44" spans="2:39" ht="15" customHeight="1"/>
    <row r="45" spans="2:39" ht="15" customHeight="1"/>
    <row r="46" spans="2:39" ht="15" customHeight="1"/>
    <row r="47" spans="2:39" ht="15" customHeight="1"/>
    <row r="48" spans="2:39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customFormat="1" ht="15" customHeight="1"/>
    <row r="66" customFormat="1" ht="33.75" customHeight="1"/>
    <row r="67" customFormat="1" ht="33.75" customHeight="1"/>
    <row r="68" customFormat="1" ht="33.75" customHeight="1"/>
  </sheetData>
  <protectedRanges>
    <protectedRange sqref="AL12:AM35" name="Rango1"/>
    <protectedRange sqref="D12:F24 H12:N24 P12:S24" name="Rango1_1"/>
  </protectedRanges>
  <mergeCells count="38">
    <mergeCell ref="AA7:AB7"/>
    <mergeCell ref="B1:C4"/>
    <mergeCell ref="D1:Z2"/>
    <mergeCell ref="AA1:AB4"/>
    <mergeCell ref="D3:Z4"/>
    <mergeCell ref="B6:C6"/>
    <mergeCell ref="D6:K6"/>
    <mergeCell ref="L6:S6"/>
    <mergeCell ref="T6:X6"/>
    <mergeCell ref="Y6:Z6"/>
    <mergeCell ref="AA6:AB6"/>
    <mergeCell ref="B7:C7"/>
    <mergeCell ref="D7:K7"/>
    <mergeCell ref="L7:S7"/>
    <mergeCell ref="T7:X7"/>
    <mergeCell ref="Y7:Z7"/>
    <mergeCell ref="AB10:AB11"/>
    <mergeCell ref="B8:C8"/>
    <mergeCell ref="D8:K8"/>
    <mergeCell ref="L8:S8"/>
    <mergeCell ref="T8:X8"/>
    <mergeCell ref="Y8:Z8"/>
    <mergeCell ref="AA8:AB8"/>
    <mergeCell ref="B10:B11"/>
    <mergeCell ref="C10:C11"/>
    <mergeCell ref="D10:K10"/>
    <mergeCell ref="L10:S10"/>
    <mergeCell ref="T10:AA10"/>
    <mergeCell ref="B36:C36"/>
    <mergeCell ref="D36:I36"/>
    <mergeCell ref="J36:P36"/>
    <mergeCell ref="Q36:AB36"/>
    <mergeCell ref="B37:C37"/>
    <mergeCell ref="D37:I37"/>
    <mergeCell ref="J37:P38"/>
    <mergeCell ref="Q37:AB38"/>
    <mergeCell ref="B38:C38"/>
    <mergeCell ref="D38:I38"/>
  </mergeCells>
  <conditionalFormatting sqref="G12:G24">
    <cfRule type="cellIs" dxfId="39" priority="2" operator="equal">
      <formula>FALSE</formula>
    </cfRule>
  </conditionalFormatting>
  <conditionalFormatting sqref="T12:T35">
    <cfRule type="cellIs" dxfId="38" priority="19" operator="greaterThan">
      <formula>0.5</formula>
    </cfRule>
    <cfRule type="cellIs" dxfId="37" priority="20" operator="lessThanOrEqual">
      <formula>0.5</formula>
    </cfRule>
  </conditionalFormatting>
  <conditionalFormatting sqref="U12:U35">
    <cfRule type="cellIs" dxfId="36" priority="17" operator="greaterThan">
      <formula>5</formula>
    </cfRule>
    <cfRule type="cellIs" dxfId="35" priority="18" operator="lessThanOrEqual">
      <formula>5</formula>
    </cfRule>
  </conditionalFormatting>
  <conditionalFormatting sqref="V12:V35">
    <cfRule type="cellIs" dxfId="34" priority="15" operator="greaterThan">
      <formula>1</formula>
    </cfRule>
    <cfRule type="cellIs" dxfId="33" priority="16" operator="lessThanOrEqual">
      <formula>1</formula>
    </cfRule>
  </conditionalFormatting>
  <conditionalFormatting sqref="W12:W35">
    <cfRule type="cellIs" dxfId="32" priority="13" operator="greaterThan">
      <formula>22.5</formula>
    </cfRule>
    <cfRule type="cellIs" dxfId="31" priority="14" operator="lessThanOrEqual">
      <formula>22.5</formula>
    </cfRule>
  </conditionalFormatting>
  <conditionalFormatting sqref="X12:X35">
    <cfRule type="cellIs" dxfId="30" priority="7" operator="lessThanOrEqual">
      <formula>1</formula>
    </cfRule>
    <cfRule type="cellIs" dxfId="29" priority="8" operator="greaterThan">
      <formula>1</formula>
    </cfRule>
  </conditionalFormatting>
  <conditionalFormatting sqref="Y12:Y35">
    <cfRule type="cellIs" dxfId="28" priority="5" operator="lessThanOrEqual">
      <formula>90</formula>
    </cfRule>
    <cfRule type="cellIs" dxfId="27" priority="6" operator="greaterThan">
      <formula>90</formula>
    </cfRule>
  </conditionalFormatting>
  <conditionalFormatting sqref="Z12:Z35">
    <cfRule type="cellIs" dxfId="26" priority="11" operator="greaterThan">
      <formula>0.8</formula>
    </cfRule>
    <cfRule type="cellIs" dxfId="25" priority="12" operator="lessThanOrEqual">
      <formula>0.8</formula>
    </cfRule>
  </conditionalFormatting>
  <conditionalFormatting sqref="AA12:AA35">
    <cfRule type="expression" dxfId="24" priority="1">
      <formula>OR(AND(K12=0, S12=0), AND(K12&lt;&gt;0, ABS(S12-K12)/K12 &lt;= 0.05))</formula>
    </cfRule>
    <cfRule type="cellIs" dxfId="23" priority="9" operator="equal">
      <formula>0</formula>
    </cfRule>
    <cfRule type="expression" dxfId="22" priority="10">
      <formula>AND(K12&lt;&gt;0, S, ABS(S12-K12)/K12 &gt; 0.05)</formula>
    </cfRule>
  </conditionalFormatting>
  <conditionalFormatting sqref="AK11">
    <cfRule type="cellIs" dxfId="21" priority="3" operator="lessThan">
      <formula>0.05</formula>
    </cfRule>
    <cfRule type="cellIs" dxfId="20" priority="4" operator="greaterThan">
      <formula>0.05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67B75-60BC-4BF4-B619-EAA6497A1466}">
  <dimension ref="B1:AM68"/>
  <sheetViews>
    <sheetView tabSelected="1" topLeftCell="T1" workbookViewId="0">
      <selection activeCell="AA7" sqref="AA7:AB7"/>
    </sheetView>
  </sheetViews>
  <sheetFormatPr baseColWidth="10" defaultColWidth="11.42578125" defaultRowHeight="15"/>
  <cols>
    <col min="1" max="1" width="0.28515625" customWidth="1"/>
    <col min="2" max="2" width="11.28515625" customWidth="1"/>
    <col min="3" max="3" width="14" customWidth="1"/>
    <col min="4" max="18" width="8.7109375" customWidth="1"/>
    <col min="19" max="19" width="8.5703125" customWidth="1"/>
    <col min="20" max="24" width="8.7109375" customWidth="1"/>
    <col min="25" max="25" width="9.85546875" customWidth="1"/>
    <col min="26" max="27" width="8.7109375" customWidth="1"/>
    <col min="28" max="28" width="20.85546875" bestFit="1" customWidth="1"/>
    <col min="29" max="29" width="5" customWidth="1"/>
  </cols>
  <sheetData>
    <row r="1" spans="2:39" ht="18" customHeight="1">
      <c r="B1" s="106"/>
      <c r="C1" s="107"/>
      <c r="D1" s="112" t="s">
        <v>6</v>
      </c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4"/>
      <c r="AA1" s="118" t="s">
        <v>51</v>
      </c>
      <c r="AB1" s="119"/>
    </row>
    <row r="2" spans="2:39" ht="18" customHeight="1">
      <c r="B2" s="108"/>
      <c r="C2" s="109"/>
      <c r="D2" s="115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7"/>
      <c r="AA2" s="120"/>
      <c r="AB2" s="121"/>
    </row>
    <row r="3" spans="2:39" ht="18" customHeight="1">
      <c r="B3" s="108"/>
      <c r="C3" s="109"/>
      <c r="D3" s="124" t="s">
        <v>8</v>
      </c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6"/>
      <c r="AA3" s="120"/>
      <c r="AB3" s="121"/>
    </row>
    <row r="4" spans="2:39" ht="18" customHeight="1" thickBot="1">
      <c r="B4" s="110"/>
      <c r="C4" s="111"/>
      <c r="D4" s="127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9"/>
      <c r="AA4" s="122"/>
      <c r="AB4" s="123"/>
    </row>
    <row r="5" spans="2:39" ht="6.6" customHeight="1">
      <c r="B5" s="39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1"/>
    </row>
    <row r="6" spans="2:39" ht="33.75" customHeight="1">
      <c r="B6" s="130" t="s">
        <v>9</v>
      </c>
      <c r="C6" s="130"/>
      <c r="D6" s="131" t="s">
        <v>74</v>
      </c>
      <c r="E6" s="132"/>
      <c r="F6" s="132"/>
      <c r="G6" s="132"/>
      <c r="H6" s="132"/>
      <c r="I6" s="132"/>
      <c r="J6" s="132"/>
      <c r="K6" s="133"/>
      <c r="L6" s="134" t="s">
        <v>10</v>
      </c>
      <c r="M6" s="135"/>
      <c r="N6" s="135"/>
      <c r="O6" s="135"/>
      <c r="P6" s="135"/>
      <c r="Q6" s="135"/>
      <c r="R6" s="135"/>
      <c r="S6" s="136"/>
      <c r="T6" s="137" t="s">
        <v>11</v>
      </c>
      <c r="U6" s="137"/>
      <c r="V6" s="137"/>
      <c r="W6" s="137"/>
      <c r="X6" s="137"/>
      <c r="Y6" s="137" t="s">
        <v>12</v>
      </c>
      <c r="Z6" s="137"/>
      <c r="AA6" s="138" t="s">
        <v>52</v>
      </c>
      <c r="AB6" s="139"/>
    </row>
    <row r="7" spans="2:39" ht="33.75" customHeight="1">
      <c r="B7" s="130" t="s">
        <v>14</v>
      </c>
      <c r="C7" s="130"/>
      <c r="D7" s="131" t="s">
        <v>75</v>
      </c>
      <c r="E7" s="132"/>
      <c r="F7" s="132"/>
      <c r="G7" s="132"/>
      <c r="H7" s="132"/>
      <c r="I7" s="132"/>
      <c r="J7" s="132"/>
      <c r="K7" s="133"/>
      <c r="L7" s="140" t="s">
        <v>15</v>
      </c>
      <c r="M7" s="141"/>
      <c r="N7" s="141"/>
      <c r="O7" s="141"/>
      <c r="P7" s="141"/>
      <c r="Q7" s="141"/>
      <c r="R7" s="141"/>
      <c r="S7" s="142"/>
      <c r="T7" s="140" t="s">
        <v>77</v>
      </c>
      <c r="U7" s="141"/>
      <c r="V7" s="141"/>
      <c r="W7" s="141"/>
      <c r="X7" s="142"/>
      <c r="Y7" s="143">
        <v>6327</v>
      </c>
      <c r="Z7" s="144"/>
      <c r="AA7" s="104" t="s">
        <v>80</v>
      </c>
      <c r="AB7" s="105"/>
    </row>
    <row r="8" spans="2:39" ht="33.75" customHeight="1">
      <c r="B8" s="130" t="s">
        <v>16</v>
      </c>
      <c r="C8" s="130"/>
      <c r="D8" s="131" t="s">
        <v>76</v>
      </c>
      <c r="E8" s="132"/>
      <c r="F8" s="132"/>
      <c r="G8" s="132"/>
      <c r="H8" s="132"/>
      <c r="I8" s="132"/>
      <c r="J8" s="132"/>
      <c r="K8" s="133"/>
      <c r="L8" s="140" t="s">
        <v>78</v>
      </c>
      <c r="M8" s="141"/>
      <c r="N8" s="141"/>
      <c r="O8" s="141"/>
      <c r="P8" s="141"/>
      <c r="Q8" s="141"/>
      <c r="R8" s="141"/>
      <c r="S8" s="142"/>
      <c r="T8" s="140" t="s">
        <v>77</v>
      </c>
      <c r="U8" s="141"/>
      <c r="V8" s="141"/>
      <c r="W8" s="141"/>
      <c r="X8" s="142"/>
      <c r="Y8" s="143">
        <v>6327</v>
      </c>
      <c r="Z8" s="144"/>
      <c r="AA8" s="104" t="s">
        <v>79</v>
      </c>
      <c r="AB8" s="105"/>
    </row>
    <row r="9" spans="2:39" ht="9" customHeight="1" thickBot="1">
      <c r="B9" s="42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4"/>
    </row>
    <row r="10" spans="2:39" ht="22.5" customHeight="1">
      <c r="B10" s="147" t="s">
        <v>18</v>
      </c>
      <c r="C10" s="149" t="s">
        <v>19</v>
      </c>
      <c r="D10" s="151" t="s">
        <v>20</v>
      </c>
      <c r="E10" s="152"/>
      <c r="F10" s="152"/>
      <c r="G10" s="152"/>
      <c r="H10" s="152"/>
      <c r="I10" s="152"/>
      <c r="J10" s="152"/>
      <c r="K10" s="153"/>
      <c r="L10" s="151" t="s">
        <v>21</v>
      </c>
      <c r="M10" s="152"/>
      <c r="N10" s="152"/>
      <c r="O10" s="152"/>
      <c r="P10" s="152"/>
      <c r="Q10" s="152"/>
      <c r="R10" s="152"/>
      <c r="S10" s="154"/>
      <c r="T10" s="155" t="s">
        <v>53</v>
      </c>
      <c r="U10" s="156"/>
      <c r="V10" s="156"/>
      <c r="W10" s="156"/>
      <c r="X10" s="156"/>
      <c r="Y10" s="156"/>
      <c r="Z10" s="156"/>
      <c r="AA10" s="156"/>
      <c r="AB10" s="145" t="s">
        <v>23</v>
      </c>
      <c r="AD10" s="45" t="s">
        <v>34</v>
      </c>
      <c r="AE10" s="45" t="s">
        <v>35</v>
      </c>
      <c r="AF10" s="45" t="s">
        <v>36</v>
      </c>
      <c r="AG10" s="45" t="s">
        <v>37</v>
      </c>
      <c r="AH10" s="45" t="s">
        <v>38</v>
      </c>
      <c r="AI10" s="45" t="s">
        <v>39</v>
      </c>
      <c r="AJ10" s="45" t="s">
        <v>40</v>
      </c>
      <c r="AK10" s="45" t="s">
        <v>41</v>
      </c>
    </row>
    <row r="11" spans="2:39" ht="48.75" customHeight="1" thickBot="1">
      <c r="B11" s="148"/>
      <c r="C11" s="150"/>
      <c r="D11" s="46" t="s">
        <v>24</v>
      </c>
      <c r="E11" s="47" t="s">
        <v>25</v>
      </c>
      <c r="F11" s="47" t="s">
        <v>26</v>
      </c>
      <c r="G11" s="47" t="s">
        <v>27</v>
      </c>
      <c r="H11" s="47" t="s">
        <v>28</v>
      </c>
      <c r="I11" s="47" t="s">
        <v>29</v>
      </c>
      <c r="J11" s="47" t="s">
        <v>30</v>
      </c>
      <c r="K11" s="48" t="s">
        <v>31</v>
      </c>
      <c r="L11" s="49" t="s">
        <v>32</v>
      </c>
      <c r="M11" s="50" t="s">
        <v>25</v>
      </c>
      <c r="N11" s="50" t="s">
        <v>26</v>
      </c>
      <c r="O11" s="50" t="s">
        <v>27</v>
      </c>
      <c r="P11" s="50" t="s">
        <v>28</v>
      </c>
      <c r="Q11" s="50" t="s">
        <v>29</v>
      </c>
      <c r="R11" s="50" t="s">
        <v>33</v>
      </c>
      <c r="S11" s="51" t="s">
        <v>31</v>
      </c>
      <c r="T11" s="52" t="s">
        <v>34</v>
      </c>
      <c r="U11" s="53" t="s">
        <v>35</v>
      </c>
      <c r="V11" s="53" t="s">
        <v>36</v>
      </c>
      <c r="W11" s="53" t="s">
        <v>37</v>
      </c>
      <c r="X11" s="53" t="s">
        <v>38</v>
      </c>
      <c r="Y11" s="53" t="s">
        <v>39</v>
      </c>
      <c r="Z11" s="53" t="s">
        <v>40</v>
      </c>
      <c r="AA11" s="54" t="s">
        <v>41</v>
      </c>
      <c r="AB11" s="146"/>
      <c r="AD11" s="1">
        <v>0.5</v>
      </c>
      <c r="AE11" s="55">
        <v>5</v>
      </c>
      <c r="AF11" s="1">
        <v>1</v>
      </c>
      <c r="AG11" s="1">
        <v>22.5</v>
      </c>
      <c r="AH11" s="1">
        <v>1</v>
      </c>
      <c r="AI11" s="1">
        <v>90</v>
      </c>
      <c r="AJ11" s="1">
        <v>0.8</v>
      </c>
      <c r="AK11" s="56">
        <v>0.05</v>
      </c>
      <c r="AL11" s="13" t="s">
        <v>27</v>
      </c>
      <c r="AM11" s="13" t="s">
        <v>37</v>
      </c>
    </row>
    <row r="12" spans="2:39" ht="15" customHeight="1">
      <c r="B12" s="80">
        <v>45797</v>
      </c>
      <c r="C12" s="57">
        <v>45797</v>
      </c>
      <c r="D12" s="83">
        <v>13.024199999999999</v>
      </c>
      <c r="E12" s="58">
        <v>89.836600000000004</v>
      </c>
      <c r="F12" s="58">
        <v>567.32000000000005</v>
      </c>
      <c r="G12" s="58">
        <v>25.59</v>
      </c>
      <c r="H12" s="58">
        <v>0.06</v>
      </c>
      <c r="I12" s="58">
        <v>0</v>
      </c>
      <c r="J12" s="58"/>
      <c r="K12" s="84">
        <v>3.2</v>
      </c>
      <c r="L12" s="83">
        <v>13.29</v>
      </c>
      <c r="M12" s="58">
        <v>87.22</v>
      </c>
      <c r="N12" s="58">
        <v>567.32000000000005</v>
      </c>
      <c r="O12" s="58">
        <v>17.59</v>
      </c>
      <c r="P12" s="58">
        <v>0.06</v>
      </c>
      <c r="Q12" s="58">
        <v>0</v>
      </c>
      <c r="R12" s="58"/>
      <c r="S12" s="90">
        <v>3.2</v>
      </c>
      <c r="T12" s="83">
        <f>+ABS(L12-D12)</f>
        <v>0.26580000000000048</v>
      </c>
      <c r="U12" s="58">
        <f t="shared" ref="T12:Z35" si="0">+ABS(M12-E12)</f>
        <v>2.6166000000000054</v>
      </c>
      <c r="V12" s="58">
        <f t="shared" si="0"/>
        <v>0</v>
      </c>
      <c r="W12" s="58">
        <f t="shared" si="0"/>
        <v>8</v>
      </c>
      <c r="X12" s="58">
        <f t="shared" si="0"/>
        <v>0</v>
      </c>
      <c r="Y12" s="91">
        <f t="shared" si="0"/>
        <v>0</v>
      </c>
      <c r="Z12" s="58">
        <f t="shared" si="0"/>
        <v>0</v>
      </c>
      <c r="AA12" s="59">
        <f>IF(AND(K12=0, S12=0), 0, IF(K12=0, 1, ABS((S12-K12)/K12)))</f>
        <v>0</v>
      </c>
      <c r="AB12" s="60" t="str">
        <f>+IF(AND(T12&lt;=$AD$11,U12&lt;=$AE$11,V12&lt;=$AF$11,W12&lt;=$AG$11,X12&lt;=$AH$11,Y12&lt;=$AI$11,Z12&lt;=$AJ$11,AA12&lt;=$AK$11),"Cumple","No cumple")</f>
        <v>Cumple</v>
      </c>
      <c r="AL12" t="s">
        <v>54</v>
      </c>
      <c r="AM12" t="s">
        <v>54</v>
      </c>
    </row>
    <row r="13" spans="2:39" ht="15" customHeight="1">
      <c r="B13" s="80">
        <v>45797.041666666664</v>
      </c>
      <c r="C13" s="61">
        <v>45797.041666666664</v>
      </c>
      <c r="D13" s="85">
        <v>12.837999999999999</v>
      </c>
      <c r="E13" s="62">
        <v>91.412499999999994</v>
      </c>
      <c r="F13" s="62">
        <v>567.64</v>
      </c>
      <c r="G13" s="62">
        <v>27.47</v>
      </c>
      <c r="H13" s="62">
        <v>1.65</v>
      </c>
      <c r="I13" s="62">
        <v>0</v>
      </c>
      <c r="J13" s="62"/>
      <c r="K13" s="86">
        <v>1.8</v>
      </c>
      <c r="L13" s="85">
        <v>13.1</v>
      </c>
      <c r="M13" s="62">
        <v>88.75</v>
      </c>
      <c r="N13" s="62">
        <v>566.64</v>
      </c>
      <c r="O13" s="62">
        <v>21.47</v>
      </c>
      <c r="P13" s="62">
        <v>0.65</v>
      </c>
      <c r="Q13" s="62">
        <v>0</v>
      </c>
      <c r="R13" s="62"/>
      <c r="S13" s="92">
        <v>1.8</v>
      </c>
      <c r="T13" s="85">
        <f t="shared" si="0"/>
        <v>0.26200000000000045</v>
      </c>
      <c r="U13" s="62">
        <f t="shared" si="0"/>
        <v>2.6624999999999943</v>
      </c>
      <c r="V13" s="62">
        <f t="shared" si="0"/>
        <v>1</v>
      </c>
      <c r="W13" s="62">
        <f t="shared" si="0"/>
        <v>6</v>
      </c>
      <c r="X13" s="62">
        <f t="shared" si="0"/>
        <v>0.99999999999999989</v>
      </c>
      <c r="Y13" s="62">
        <f t="shared" si="0"/>
        <v>0</v>
      </c>
      <c r="Z13" s="62">
        <f t="shared" si="0"/>
        <v>0</v>
      </c>
      <c r="AA13" s="59">
        <f t="shared" ref="AA13:AA35" si="1">IF(AND(K13=0, S13=0), 0, IF(K13=0, 1, ABS((S13-K13)/K13)))</f>
        <v>0</v>
      </c>
      <c r="AB13" s="60" t="str">
        <f>+IF(AND(T13&lt;=$AD$11,U13&lt;=$AE$11,V13&lt;=$AF$11,W13&lt;=$AG$11,X13&lt;=$AH$11,Y13&lt;=$AI$11,Z13&lt;=$AJ$11,AA13&lt;=$AK$11),"Cumple","No cumple")</f>
        <v>Cumple</v>
      </c>
      <c r="AL13" t="s">
        <v>55</v>
      </c>
      <c r="AM13" t="s">
        <v>54</v>
      </c>
    </row>
    <row r="14" spans="2:39" ht="15" customHeight="1">
      <c r="B14" s="80">
        <v>45797.083333333336</v>
      </c>
      <c r="C14" s="61">
        <v>45797.083333333336</v>
      </c>
      <c r="D14" s="85">
        <v>12.622400000000001</v>
      </c>
      <c r="E14" s="62">
        <v>92.432199999999995</v>
      </c>
      <c r="F14" s="62">
        <v>566.46</v>
      </c>
      <c r="G14" s="62">
        <v>354.41</v>
      </c>
      <c r="H14" s="62">
        <v>1.1299999999999999</v>
      </c>
      <c r="I14" s="62">
        <v>0</v>
      </c>
      <c r="J14" s="62"/>
      <c r="K14" s="86">
        <v>0.60000000000000009</v>
      </c>
      <c r="L14" s="85">
        <v>12.88</v>
      </c>
      <c r="M14" s="62">
        <v>89.74</v>
      </c>
      <c r="N14" s="62">
        <v>566.46</v>
      </c>
      <c r="O14" s="62">
        <v>345.41</v>
      </c>
      <c r="P14" s="62">
        <v>0.13</v>
      </c>
      <c r="Q14" s="62">
        <v>0</v>
      </c>
      <c r="R14" s="62"/>
      <c r="S14" s="92">
        <v>0.6</v>
      </c>
      <c r="T14" s="85">
        <f t="shared" si="0"/>
        <v>0.25760000000000005</v>
      </c>
      <c r="U14" s="62">
        <f t="shared" si="0"/>
        <v>2.6921999999999997</v>
      </c>
      <c r="V14" s="62">
        <f>+ABS(N14-F14)</f>
        <v>0</v>
      </c>
      <c r="W14" s="62">
        <f t="shared" si="0"/>
        <v>9</v>
      </c>
      <c r="X14" s="62">
        <f t="shared" si="0"/>
        <v>0.99999999999999989</v>
      </c>
      <c r="Y14" s="62">
        <f t="shared" si="0"/>
        <v>0</v>
      </c>
      <c r="Z14" s="62">
        <f t="shared" si="0"/>
        <v>0</v>
      </c>
      <c r="AA14" s="59">
        <f t="shared" si="1"/>
        <v>1.8503717077085941E-16</v>
      </c>
      <c r="AB14" s="60" t="str">
        <f>+IF(AND(T14&lt;=$AD$11,U14&lt;=$AE$11,V14&lt;=$AF$11,W14&lt;=$AG$11,X14&lt;=$AH$11,Y14&lt;=$AI$11,Z14&lt;=$AJ$11,AA14&lt;=$AK$11),"Cumple","No cumple")</f>
        <v>Cumple</v>
      </c>
      <c r="AL14" t="s">
        <v>55</v>
      </c>
      <c r="AM14" t="s">
        <v>55</v>
      </c>
    </row>
    <row r="15" spans="2:39" ht="15" customHeight="1">
      <c r="B15" s="80">
        <v>45797.125</v>
      </c>
      <c r="C15" s="61">
        <v>45797.125</v>
      </c>
      <c r="D15" s="85">
        <v>12.446</v>
      </c>
      <c r="E15" s="62">
        <v>92.679400000000001</v>
      </c>
      <c r="F15" s="62">
        <v>567.84</v>
      </c>
      <c r="G15" s="62">
        <v>179.89</v>
      </c>
      <c r="H15" s="62">
        <v>1.03</v>
      </c>
      <c r="I15" s="62">
        <v>0</v>
      </c>
      <c r="J15" s="62"/>
      <c r="K15" s="86">
        <v>1.2000000000000002</v>
      </c>
      <c r="L15" s="85">
        <v>12.7</v>
      </c>
      <c r="M15" s="62">
        <v>89.98</v>
      </c>
      <c r="N15" s="62">
        <v>566.84</v>
      </c>
      <c r="O15" s="62">
        <v>174.89</v>
      </c>
      <c r="P15" s="62">
        <v>0.03</v>
      </c>
      <c r="Q15" s="62">
        <v>0</v>
      </c>
      <c r="R15" s="62"/>
      <c r="S15" s="92">
        <v>1.2</v>
      </c>
      <c r="T15" s="85">
        <f t="shared" si="0"/>
        <v>0.25399999999999956</v>
      </c>
      <c r="U15" s="62">
        <f t="shared" si="0"/>
        <v>2.6993999999999971</v>
      </c>
      <c r="V15" s="62">
        <f t="shared" si="0"/>
        <v>1</v>
      </c>
      <c r="W15" s="62">
        <f t="shared" si="0"/>
        <v>5</v>
      </c>
      <c r="X15" s="62">
        <f t="shared" si="0"/>
        <v>1</v>
      </c>
      <c r="Y15" s="62">
        <f t="shared" si="0"/>
        <v>0</v>
      </c>
      <c r="Z15" s="62">
        <f t="shared" si="0"/>
        <v>0</v>
      </c>
      <c r="AA15" s="59">
        <f t="shared" si="1"/>
        <v>1.8503717077085941E-16</v>
      </c>
      <c r="AB15" s="60" t="str">
        <f t="shared" ref="AB15:AB35" si="2">+IF(AND(T15&lt;=$AD$11,U15&lt;=$AE$11,V15&lt;=$AF$11,W15&lt;=$AG$11,X15&lt;=$AH$11,Y15&lt;=$AI$11,Z15&lt;=$AJ$11,AA15&lt;=$AK$11),"Cumple","No cumple")</f>
        <v>Cumple</v>
      </c>
      <c r="AL15" t="s">
        <v>55</v>
      </c>
      <c r="AM15" t="s">
        <v>55</v>
      </c>
    </row>
    <row r="16" spans="2:39" ht="15" customHeight="1">
      <c r="B16" s="80">
        <v>45797.166666666664</v>
      </c>
      <c r="C16" s="61">
        <v>45797.166666666664</v>
      </c>
      <c r="D16" s="85">
        <v>12.338200000000001</v>
      </c>
      <c r="E16" s="62">
        <v>92.7</v>
      </c>
      <c r="F16" s="62">
        <v>567.03</v>
      </c>
      <c r="G16" s="62">
        <v>346.89</v>
      </c>
      <c r="H16" s="62">
        <v>0.22</v>
      </c>
      <c r="I16" s="62">
        <v>0</v>
      </c>
      <c r="J16" s="62"/>
      <c r="K16" s="86">
        <v>0.2</v>
      </c>
      <c r="L16" s="85">
        <v>12.59</v>
      </c>
      <c r="M16" s="62">
        <v>90</v>
      </c>
      <c r="N16" s="62">
        <v>567.03</v>
      </c>
      <c r="O16" s="62">
        <v>346.89</v>
      </c>
      <c r="P16" s="62">
        <v>0.22</v>
      </c>
      <c r="Q16" s="62">
        <v>0</v>
      </c>
      <c r="R16" s="62"/>
      <c r="S16" s="92">
        <v>0.2</v>
      </c>
      <c r="T16" s="85">
        <f t="shared" si="0"/>
        <v>0.25179999999999936</v>
      </c>
      <c r="U16" s="62">
        <f t="shared" si="0"/>
        <v>2.7000000000000028</v>
      </c>
      <c r="V16" s="62">
        <f t="shared" si="0"/>
        <v>0</v>
      </c>
      <c r="W16" s="62">
        <f t="shared" si="0"/>
        <v>0</v>
      </c>
      <c r="X16" s="62">
        <f t="shared" si="0"/>
        <v>0</v>
      </c>
      <c r="Y16" s="62">
        <f t="shared" si="0"/>
        <v>0</v>
      </c>
      <c r="Z16" s="62">
        <f t="shared" si="0"/>
        <v>0</v>
      </c>
      <c r="AA16" s="59">
        <f t="shared" si="1"/>
        <v>0</v>
      </c>
      <c r="AB16" s="60" t="str">
        <f t="shared" si="2"/>
        <v>Cumple</v>
      </c>
      <c r="AL16" t="s">
        <v>56</v>
      </c>
      <c r="AM16" t="s">
        <v>57</v>
      </c>
    </row>
    <row r="17" spans="2:39" ht="15" customHeight="1">
      <c r="B17" s="80">
        <v>45797.208333333336</v>
      </c>
      <c r="C17" s="61">
        <v>45797.208333333336</v>
      </c>
      <c r="D17" s="85">
        <v>12.377400000000002</v>
      </c>
      <c r="E17" s="62">
        <v>93.081100000000006</v>
      </c>
      <c r="F17" s="62">
        <v>567.66999999999996</v>
      </c>
      <c r="G17" s="62">
        <v>25.8</v>
      </c>
      <c r="H17" s="62">
        <v>0.22</v>
      </c>
      <c r="I17" s="62">
        <v>0</v>
      </c>
      <c r="J17" s="62"/>
      <c r="K17" s="86">
        <v>1.4000000000000001</v>
      </c>
      <c r="L17" s="85">
        <v>12.63</v>
      </c>
      <c r="M17" s="62">
        <v>90.37</v>
      </c>
      <c r="N17" s="62">
        <v>567.66999999999996</v>
      </c>
      <c r="O17" s="62">
        <v>19.8</v>
      </c>
      <c r="P17" s="62">
        <v>0.22</v>
      </c>
      <c r="Q17" s="62">
        <v>0</v>
      </c>
      <c r="R17" s="62"/>
      <c r="S17" s="92">
        <v>1.4</v>
      </c>
      <c r="T17" s="85">
        <f t="shared" si="0"/>
        <v>0.25259999999999927</v>
      </c>
      <c r="U17" s="62">
        <f t="shared" si="0"/>
        <v>2.7111000000000018</v>
      </c>
      <c r="V17" s="62">
        <f t="shared" si="0"/>
        <v>0</v>
      </c>
      <c r="W17" s="62">
        <f t="shared" si="0"/>
        <v>6</v>
      </c>
      <c r="X17" s="62">
        <f t="shared" si="0"/>
        <v>0</v>
      </c>
      <c r="Y17" s="62">
        <f t="shared" si="0"/>
        <v>0</v>
      </c>
      <c r="Z17" s="62">
        <f t="shared" si="0"/>
        <v>0</v>
      </c>
      <c r="AA17" s="59">
        <f t="shared" si="1"/>
        <v>1.586032892321652E-16</v>
      </c>
      <c r="AB17" s="60" t="str">
        <f t="shared" si="2"/>
        <v>Cumple</v>
      </c>
      <c r="AL17" t="s">
        <v>58</v>
      </c>
      <c r="AM17" t="s">
        <v>58</v>
      </c>
    </row>
    <row r="18" spans="2:39" ht="15" customHeight="1">
      <c r="B18" s="80">
        <v>45797.25</v>
      </c>
      <c r="C18" s="61">
        <v>45797.25</v>
      </c>
      <c r="D18" s="85">
        <v>12.200999999999999</v>
      </c>
      <c r="E18" s="62">
        <v>91.8142</v>
      </c>
      <c r="F18" s="62">
        <v>568.17999999999995</v>
      </c>
      <c r="G18" s="62">
        <v>47.52</v>
      </c>
      <c r="H18" s="62">
        <v>1.02</v>
      </c>
      <c r="I18" s="62">
        <v>45.12</v>
      </c>
      <c r="J18" s="62"/>
      <c r="K18" s="86">
        <v>2.2000000000000002</v>
      </c>
      <c r="L18" s="85">
        <v>12.45</v>
      </c>
      <c r="M18" s="62">
        <v>89.14</v>
      </c>
      <c r="N18" s="62">
        <v>568.17999999999995</v>
      </c>
      <c r="O18" s="62">
        <v>40.520000000000003</v>
      </c>
      <c r="P18" s="62">
        <v>0.02</v>
      </c>
      <c r="Q18" s="62">
        <v>10.119999999999999</v>
      </c>
      <c r="R18" s="62"/>
      <c r="S18" s="92">
        <v>2.2000000000000002</v>
      </c>
      <c r="T18" s="85">
        <f t="shared" si="0"/>
        <v>0.24900000000000055</v>
      </c>
      <c r="U18" s="62">
        <f t="shared" si="0"/>
        <v>2.674199999999999</v>
      </c>
      <c r="V18" s="62">
        <f t="shared" si="0"/>
        <v>0</v>
      </c>
      <c r="W18" s="62">
        <f t="shared" si="0"/>
        <v>7</v>
      </c>
      <c r="X18" s="62">
        <f t="shared" si="0"/>
        <v>1</v>
      </c>
      <c r="Y18" s="62">
        <f t="shared" si="0"/>
        <v>35</v>
      </c>
      <c r="Z18" s="62">
        <f t="shared" si="0"/>
        <v>0</v>
      </c>
      <c r="AA18" s="59">
        <f t="shared" si="1"/>
        <v>0</v>
      </c>
      <c r="AB18" s="60" t="str">
        <f t="shared" si="2"/>
        <v>Cumple</v>
      </c>
      <c r="AL18" t="s">
        <v>55</v>
      </c>
      <c r="AM18" t="s">
        <v>55</v>
      </c>
    </row>
    <row r="19" spans="2:39" ht="15" customHeight="1">
      <c r="B19" s="80">
        <v>45797.291666666664</v>
      </c>
      <c r="C19" s="61">
        <v>45797.291666666664</v>
      </c>
      <c r="D19" s="85">
        <v>12.4068</v>
      </c>
      <c r="E19" s="62">
        <v>90.125</v>
      </c>
      <c r="F19" s="62">
        <v>568.66999999999996</v>
      </c>
      <c r="G19" s="62">
        <v>48.15</v>
      </c>
      <c r="H19" s="62">
        <v>0.31</v>
      </c>
      <c r="I19" s="62">
        <v>87.14</v>
      </c>
      <c r="J19" s="62"/>
      <c r="K19" s="86">
        <v>1</v>
      </c>
      <c r="L19" s="85">
        <v>12.66</v>
      </c>
      <c r="M19" s="62">
        <v>87.5</v>
      </c>
      <c r="N19" s="62">
        <v>568.66999999999996</v>
      </c>
      <c r="O19" s="62">
        <v>38.15</v>
      </c>
      <c r="P19" s="62">
        <v>0.31</v>
      </c>
      <c r="Q19" s="62">
        <v>67.14</v>
      </c>
      <c r="R19" s="62"/>
      <c r="S19" s="92">
        <v>1</v>
      </c>
      <c r="T19" s="85">
        <f t="shared" si="0"/>
        <v>0.25319999999999965</v>
      </c>
      <c r="U19" s="62">
        <f t="shared" si="0"/>
        <v>2.625</v>
      </c>
      <c r="V19" s="62">
        <f t="shared" si="0"/>
        <v>0</v>
      </c>
      <c r="W19" s="62">
        <f t="shared" si="0"/>
        <v>10</v>
      </c>
      <c r="X19" s="62">
        <f t="shared" si="0"/>
        <v>0</v>
      </c>
      <c r="Y19" s="62">
        <f t="shared" si="0"/>
        <v>20</v>
      </c>
      <c r="Z19" s="62">
        <f t="shared" si="0"/>
        <v>0</v>
      </c>
      <c r="AA19" s="59">
        <f t="shared" si="1"/>
        <v>0</v>
      </c>
      <c r="AB19" s="60" t="str">
        <f t="shared" si="2"/>
        <v>Cumple</v>
      </c>
      <c r="AL19" t="s">
        <v>55</v>
      </c>
      <c r="AM19" t="s">
        <v>55</v>
      </c>
    </row>
    <row r="20" spans="2:39" ht="15" customHeight="1">
      <c r="B20" s="80">
        <v>45797.333333333336</v>
      </c>
      <c r="C20" s="61">
        <v>45797.333333333336</v>
      </c>
      <c r="D20" s="85">
        <v>12.612599999999999</v>
      </c>
      <c r="E20" s="62">
        <v>88.899299999999997</v>
      </c>
      <c r="F20" s="62">
        <v>568.97</v>
      </c>
      <c r="G20" s="62">
        <v>111.66</v>
      </c>
      <c r="H20" s="62">
        <v>1.44</v>
      </c>
      <c r="I20" s="62">
        <v>89.61</v>
      </c>
      <c r="J20" s="62"/>
      <c r="K20" s="86">
        <v>1</v>
      </c>
      <c r="L20" s="85">
        <v>12.87</v>
      </c>
      <c r="M20" s="62">
        <v>86.31</v>
      </c>
      <c r="N20" s="62">
        <v>568.97</v>
      </c>
      <c r="O20" s="62">
        <v>101.66</v>
      </c>
      <c r="P20" s="62">
        <v>0.44</v>
      </c>
      <c r="Q20" s="62">
        <v>82.61</v>
      </c>
      <c r="R20" s="62"/>
      <c r="S20" s="92">
        <v>1</v>
      </c>
      <c r="T20" s="85">
        <f t="shared" si="0"/>
        <v>0.25740000000000052</v>
      </c>
      <c r="U20" s="62">
        <f t="shared" si="0"/>
        <v>2.5892999999999944</v>
      </c>
      <c r="V20" s="62">
        <f t="shared" si="0"/>
        <v>0</v>
      </c>
      <c r="W20" s="62">
        <f t="shared" si="0"/>
        <v>10</v>
      </c>
      <c r="X20" s="62">
        <f t="shared" si="0"/>
        <v>1</v>
      </c>
      <c r="Y20" s="62">
        <f t="shared" si="0"/>
        <v>7</v>
      </c>
      <c r="Z20" s="62">
        <f t="shared" si="0"/>
        <v>0</v>
      </c>
      <c r="AA20" s="59">
        <f t="shared" si="1"/>
        <v>0</v>
      </c>
      <c r="AB20" s="60" t="str">
        <f t="shared" si="2"/>
        <v>Cumple</v>
      </c>
      <c r="AL20" t="s">
        <v>55</v>
      </c>
      <c r="AM20" t="s">
        <v>55</v>
      </c>
    </row>
    <row r="21" spans="2:39" ht="15" customHeight="1">
      <c r="B21" s="80">
        <v>45797.375</v>
      </c>
      <c r="C21" s="61">
        <v>45797.375</v>
      </c>
      <c r="D21" s="85">
        <v>13.670999999999999</v>
      </c>
      <c r="E21" s="62">
        <v>85.201599999999999</v>
      </c>
      <c r="F21" s="62">
        <v>570.12</v>
      </c>
      <c r="G21" s="62">
        <v>65.33</v>
      </c>
      <c r="H21" s="62">
        <v>1.1100000000000001</v>
      </c>
      <c r="I21" s="62">
        <v>304.15999999999997</v>
      </c>
      <c r="J21" s="62"/>
      <c r="K21" s="86">
        <v>0.4</v>
      </c>
      <c r="L21" s="85">
        <v>13.95</v>
      </c>
      <c r="M21" s="62">
        <v>82.72</v>
      </c>
      <c r="N21" s="62">
        <v>569.12</v>
      </c>
      <c r="O21" s="62">
        <v>58.33</v>
      </c>
      <c r="P21" s="62">
        <v>1.1100000000000001</v>
      </c>
      <c r="Q21" s="62">
        <v>251.16</v>
      </c>
      <c r="R21" s="62"/>
      <c r="S21" s="92">
        <v>0.4</v>
      </c>
      <c r="T21" s="85">
        <f t="shared" si="0"/>
        <v>0.27899999999999991</v>
      </c>
      <c r="U21" s="62">
        <f t="shared" si="0"/>
        <v>2.4816000000000003</v>
      </c>
      <c r="V21" s="62">
        <f t="shared" si="0"/>
        <v>1</v>
      </c>
      <c r="W21" s="62">
        <f t="shared" si="0"/>
        <v>7</v>
      </c>
      <c r="X21" s="62">
        <f t="shared" si="0"/>
        <v>0</v>
      </c>
      <c r="Y21" s="62">
        <f t="shared" si="0"/>
        <v>52.999999999999972</v>
      </c>
      <c r="Z21" s="62">
        <f t="shared" si="0"/>
        <v>0</v>
      </c>
      <c r="AA21" s="59">
        <f t="shared" si="1"/>
        <v>0</v>
      </c>
      <c r="AB21" s="60" t="str">
        <f t="shared" si="2"/>
        <v>Cumple</v>
      </c>
      <c r="AL21" t="s">
        <v>58</v>
      </c>
      <c r="AM21" t="s">
        <v>58</v>
      </c>
    </row>
    <row r="22" spans="2:39" ht="15" customHeight="1">
      <c r="B22" s="80">
        <v>45797.416666666664</v>
      </c>
      <c r="C22" s="61">
        <v>45797.416666666664</v>
      </c>
      <c r="D22" s="85">
        <v>15.689800000000002</v>
      </c>
      <c r="E22" s="62">
        <v>78.012199999999993</v>
      </c>
      <c r="F22" s="62">
        <v>568.67999999999995</v>
      </c>
      <c r="G22" s="62">
        <v>33.78</v>
      </c>
      <c r="H22" s="62">
        <v>2.08</v>
      </c>
      <c r="I22" s="62">
        <v>380.75</v>
      </c>
      <c r="J22" s="62"/>
      <c r="K22" s="86">
        <v>0</v>
      </c>
      <c r="L22" s="85">
        <v>16.010000000000002</v>
      </c>
      <c r="M22" s="62">
        <v>75.739999999999995</v>
      </c>
      <c r="N22" s="62">
        <v>568.67999999999995</v>
      </c>
      <c r="O22" s="62">
        <v>32.78</v>
      </c>
      <c r="P22" s="62">
        <v>1.08</v>
      </c>
      <c r="Q22" s="62">
        <v>336.75</v>
      </c>
      <c r="R22" s="62"/>
      <c r="S22" s="92">
        <v>0</v>
      </c>
      <c r="T22" s="85">
        <f t="shared" si="0"/>
        <v>0.32019999999999982</v>
      </c>
      <c r="U22" s="62">
        <f t="shared" si="0"/>
        <v>2.272199999999998</v>
      </c>
      <c r="V22" s="62">
        <f t="shared" si="0"/>
        <v>0</v>
      </c>
      <c r="W22" s="62">
        <f t="shared" si="0"/>
        <v>1</v>
      </c>
      <c r="X22" s="62">
        <f t="shared" si="0"/>
        <v>1</v>
      </c>
      <c r="Y22" s="62">
        <f t="shared" si="0"/>
        <v>44</v>
      </c>
      <c r="Z22" s="62">
        <f t="shared" si="0"/>
        <v>0</v>
      </c>
      <c r="AA22" s="59">
        <f t="shared" si="1"/>
        <v>0</v>
      </c>
      <c r="AB22" s="60" t="str">
        <f t="shared" si="2"/>
        <v>Cumple</v>
      </c>
      <c r="AL22" t="s">
        <v>58</v>
      </c>
      <c r="AM22" t="s">
        <v>59</v>
      </c>
    </row>
    <row r="23" spans="2:39" ht="15" customHeight="1">
      <c r="B23" s="80">
        <v>45797.458333333336</v>
      </c>
      <c r="C23" s="61">
        <v>45797.458333333336</v>
      </c>
      <c r="D23" s="85">
        <v>18.2378</v>
      </c>
      <c r="E23" s="62">
        <v>65.652200000000008</v>
      </c>
      <c r="F23" s="62">
        <v>568.63</v>
      </c>
      <c r="G23" s="62">
        <v>42.2</v>
      </c>
      <c r="H23" s="62">
        <v>1.81</v>
      </c>
      <c r="I23" s="62">
        <v>761.16</v>
      </c>
      <c r="J23" s="62"/>
      <c r="K23" s="86">
        <v>0</v>
      </c>
      <c r="L23" s="85">
        <v>18.61</v>
      </c>
      <c r="M23" s="62">
        <v>63.74</v>
      </c>
      <c r="N23" s="62">
        <v>567.63</v>
      </c>
      <c r="O23" s="62">
        <v>38.200000000000003</v>
      </c>
      <c r="P23" s="62">
        <v>1.81</v>
      </c>
      <c r="Q23" s="62">
        <v>691.16</v>
      </c>
      <c r="R23" s="62"/>
      <c r="S23" s="92">
        <v>0</v>
      </c>
      <c r="T23" s="85">
        <f t="shared" si="0"/>
        <v>0.37219999999999942</v>
      </c>
      <c r="U23" s="62">
        <f t="shared" si="0"/>
        <v>1.9122000000000057</v>
      </c>
      <c r="V23" s="62">
        <f t="shared" si="0"/>
        <v>1</v>
      </c>
      <c r="W23" s="62">
        <f t="shared" si="0"/>
        <v>4</v>
      </c>
      <c r="X23" s="62">
        <f t="shared" si="0"/>
        <v>0</v>
      </c>
      <c r="Y23" s="62">
        <f>+ABS(Q23-I23)</f>
        <v>70</v>
      </c>
      <c r="Z23" s="62">
        <f t="shared" si="0"/>
        <v>0</v>
      </c>
      <c r="AA23" s="59">
        <f t="shared" si="1"/>
        <v>0</v>
      </c>
      <c r="AB23" s="60" t="str">
        <f t="shared" si="2"/>
        <v>Cumple</v>
      </c>
      <c r="AL23" t="s">
        <v>58</v>
      </c>
      <c r="AM23" t="s">
        <v>58</v>
      </c>
    </row>
    <row r="24" spans="2:39" ht="15" customHeight="1">
      <c r="B24" s="80">
        <v>45797.5</v>
      </c>
      <c r="C24" s="61">
        <v>45797.5</v>
      </c>
      <c r="D24" s="85">
        <v>20.1782</v>
      </c>
      <c r="E24" s="62">
        <v>60.533100000000005</v>
      </c>
      <c r="F24" s="62">
        <v>566.57000000000005</v>
      </c>
      <c r="G24" s="62">
        <v>322.87</v>
      </c>
      <c r="H24" s="62">
        <v>1.24</v>
      </c>
      <c r="I24" s="62">
        <v>583.25</v>
      </c>
      <c r="J24" s="62"/>
      <c r="K24" s="86">
        <v>0</v>
      </c>
      <c r="L24" s="85">
        <v>20.59</v>
      </c>
      <c r="M24" s="62">
        <v>58.77</v>
      </c>
      <c r="N24" s="62">
        <v>566.57000000000005</v>
      </c>
      <c r="O24" s="62">
        <v>314.87</v>
      </c>
      <c r="P24" s="62">
        <v>1.24</v>
      </c>
      <c r="Q24" s="62">
        <v>545.25</v>
      </c>
      <c r="R24" s="62"/>
      <c r="S24" s="92">
        <v>0</v>
      </c>
      <c r="T24" s="85">
        <f t="shared" si="0"/>
        <v>0.4117999999999995</v>
      </c>
      <c r="U24" s="62">
        <f t="shared" si="0"/>
        <v>1.7631000000000014</v>
      </c>
      <c r="V24" s="62">
        <f t="shared" si="0"/>
        <v>0</v>
      </c>
      <c r="W24" s="62">
        <f t="shared" si="0"/>
        <v>8</v>
      </c>
      <c r="X24" s="62">
        <f t="shared" si="0"/>
        <v>0</v>
      </c>
      <c r="Y24" s="62">
        <f t="shared" si="0"/>
        <v>38</v>
      </c>
      <c r="Z24" s="62">
        <f t="shared" si="0"/>
        <v>0</v>
      </c>
      <c r="AA24" s="59">
        <f t="shared" si="1"/>
        <v>0</v>
      </c>
      <c r="AB24" s="60" t="str">
        <f t="shared" si="2"/>
        <v>Cumple</v>
      </c>
      <c r="AL24" t="s">
        <v>58</v>
      </c>
      <c r="AM24" t="s">
        <v>58</v>
      </c>
    </row>
    <row r="25" spans="2:39" ht="15" customHeight="1">
      <c r="B25" s="80">
        <v>45797.541666666664</v>
      </c>
      <c r="C25" s="61">
        <v>45797.541666666664</v>
      </c>
      <c r="D25" s="85">
        <v>20.354599999999998</v>
      </c>
      <c r="E25" s="62">
        <v>55.558199999999999</v>
      </c>
      <c r="F25" s="62">
        <v>566.54</v>
      </c>
      <c r="G25" s="62">
        <v>119.16</v>
      </c>
      <c r="H25" s="62">
        <v>1.94</v>
      </c>
      <c r="I25" s="93">
        <v>346.37</v>
      </c>
      <c r="J25" s="62"/>
      <c r="K25" s="92">
        <v>0</v>
      </c>
      <c r="L25" s="94">
        <v>20.77</v>
      </c>
      <c r="M25" s="62">
        <v>53.94</v>
      </c>
      <c r="N25" s="62">
        <v>565.54</v>
      </c>
      <c r="O25" s="62">
        <v>114.16</v>
      </c>
      <c r="P25" s="62">
        <v>0.94</v>
      </c>
      <c r="Q25" s="93">
        <v>262.37</v>
      </c>
      <c r="R25" s="62"/>
      <c r="S25" s="92">
        <v>0</v>
      </c>
      <c r="T25" s="85">
        <f t="shared" si="0"/>
        <v>0.41540000000000177</v>
      </c>
      <c r="U25" s="62">
        <f t="shared" si="0"/>
        <v>1.6182000000000016</v>
      </c>
      <c r="V25" s="62">
        <f t="shared" si="0"/>
        <v>1</v>
      </c>
      <c r="W25" s="62">
        <f t="shared" si="0"/>
        <v>5</v>
      </c>
      <c r="X25" s="62">
        <f t="shared" si="0"/>
        <v>1</v>
      </c>
      <c r="Y25" s="62">
        <f t="shared" si="0"/>
        <v>84</v>
      </c>
      <c r="Z25" s="62">
        <f t="shared" si="0"/>
        <v>0</v>
      </c>
      <c r="AA25" s="59">
        <f t="shared" si="1"/>
        <v>0</v>
      </c>
      <c r="AB25" s="60" t="str">
        <f t="shared" si="2"/>
        <v>Cumple</v>
      </c>
      <c r="AL25" t="s">
        <v>60</v>
      </c>
      <c r="AM25" t="s">
        <v>60</v>
      </c>
    </row>
    <row r="26" spans="2:39" ht="15" customHeight="1">
      <c r="B26" s="80">
        <v>45797.583333333336</v>
      </c>
      <c r="C26" s="61">
        <v>45797.583333333336</v>
      </c>
      <c r="D26" s="85">
        <v>20.678000000000001</v>
      </c>
      <c r="E26" s="62">
        <v>60.100500000000004</v>
      </c>
      <c r="F26" s="62">
        <v>565.62</v>
      </c>
      <c r="G26" s="62">
        <v>122.93</v>
      </c>
      <c r="H26" s="62">
        <v>1.95</v>
      </c>
      <c r="I26" s="93">
        <v>414.61</v>
      </c>
      <c r="J26" s="62"/>
      <c r="K26" s="92">
        <v>0</v>
      </c>
      <c r="L26" s="94">
        <v>21.1</v>
      </c>
      <c r="M26" s="62">
        <v>58.35</v>
      </c>
      <c r="N26" s="62">
        <v>564.62</v>
      </c>
      <c r="O26" s="62">
        <v>122.93</v>
      </c>
      <c r="P26" s="62">
        <v>1.95</v>
      </c>
      <c r="Q26" s="93">
        <v>376.61</v>
      </c>
      <c r="R26" s="62"/>
      <c r="S26" s="92">
        <v>0</v>
      </c>
      <c r="T26" s="85">
        <f t="shared" si="0"/>
        <v>0.4220000000000006</v>
      </c>
      <c r="U26" s="62">
        <f t="shared" si="0"/>
        <v>1.7505000000000024</v>
      </c>
      <c r="V26" s="62">
        <f t="shared" si="0"/>
        <v>1</v>
      </c>
      <c r="W26" s="62">
        <f t="shared" si="0"/>
        <v>0</v>
      </c>
      <c r="X26" s="62">
        <f t="shared" si="0"/>
        <v>0</v>
      </c>
      <c r="Y26" s="62">
        <f t="shared" si="0"/>
        <v>38</v>
      </c>
      <c r="Z26" s="62">
        <f t="shared" si="0"/>
        <v>0</v>
      </c>
      <c r="AA26" s="59">
        <f t="shared" si="1"/>
        <v>0</v>
      </c>
      <c r="AB26" s="60" t="str">
        <f t="shared" si="2"/>
        <v>Cumple</v>
      </c>
      <c r="AL26" t="s">
        <v>61</v>
      </c>
      <c r="AM26" t="s">
        <v>61</v>
      </c>
    </row>
    <row r="27" spans="2:39" ht="15" customHeight="1">
      <c r="B27" s="80">
        <v>45797.625</v>
      </c>
      <c r="C27" s="61">
        <v>45797.625</v>
      </c>
      <c r="D27" s="85">
        <v>18.835599999999999</v>
      </c>
      <c r="E27" s="62">
        <v>72.172099999999986</v>
      </c>
      <c r="F27" s="62">
        <v>563.91999999999996</v>
      </c>
      <c r="G27" s="62">
        <v>272.70999999999998</v>
      </c>
      <c r="H27" s="62">
        <v>2.29</v>
      </c>
      <c r="I27" s="93">
        <v>248.09</v>
      </c>
      <c r="J27" s="62"/>
      <c r="K27" s="92">
        <v>0</v>
      </c>
      <c r="L27" s="94">
        <v>19.22</v>
      </c>
      <c r="M27" s="62">
        <v>70.069999999999993</v>
      </c>
      <c r="N27" s="62">
        <v>563.91999999999996</v>
      </c>
      <c r="O27" s="62">
        <v>271.70999999999998</v>
      </c>
      <c r="P27" s="62">
        <v>2.29</v>
      </c>
      <c r="Q27" s="93">
        <v>216.09</v>
      </c>
      <c r="R27" s="62"/>
      <c r="S27" s="92">
        <v>0</v>
      </c>
      <c r="T27" s="85">
        <f t="shared" si="0"/>
        <v>0.38439999999999941</v>
      </c>
      <c r="U27" s="62">
        <f t="shared" si="0"/>
        <v>2.102099999999993</v>
      </c>
      <c r="V27" s="62">
        <f t="shared" si="0"/>
        <v>0</v>
      </c>
      <c r="W27" s="62">
        <f t="shared" si="0"/>
        <v>1</v>
      </c>
      <c r="X27" s="62">
        <f t="shared" si="0"/>
        <v>0</v>
      </c>
      <c r="Y27" s="62">
        <f t="shared" si="0"/>
        <v>32</v>
      </c>
      <c r="Z27" s="62">
        <f t="shared" si="0"/>
        <v>0</v>
      </c>
      <c r="AA27" s="59">
        <f t="shared" si="1"/>
        <v>0</v>
      </c>
      <c r="AB27" s="60" t="str">
        <f t="shared" si="2"/>
        <v>Cumple</v>
      </c>
      <c r="AL27" t="s">
        <v>60</v>
      </c>
      <c r="AM27" t="s">
        <v>60</v>
      </c>
    </row>
    <row r="28" spans="2:39" ht="15" customHeight="1">
      <c r="B28" s="80">
        <v>45797.666666666664</v>
      </c>
      <c r="C28" s="61">
        <v>45797.666666666664</v>
      </c>
      <c r="D28" s="85">
        <v>18.482800000000001</v>
      </c>
      <c r="E28" s="62">
        <v>71.8322</v>
      </c>
      <c r="F28" s="62">
        <v>564.75</v>
      </c>
      <c r="G28" s="62">
        <v>266.63</v>
      </c>
      <c r="H28" s="62">
        <v>2.8200000000000003</v>
      </c>
      <c r="I28" s="93">
        <v>260.57</v>
      </c>
      <c r="J28" s="62"/>
      <c r="K28" s="92">
        <v>0</v>
      </c>
      <c r="L28" s="94">
        <v>18.86</v>
      </c>
      <c r="M28" s="62">
        <v>69.739999999999995</v>
      </c>
      <c r="N28" s="62">
        <v>563.75</v>
      </c>
      <c r="O28" s="62">
        <v>259.63</v>
      </c>
      <c r="P28" s="62">
        <v>1.82</v>
      </c>
      <c r="Q28" s="93">
        <v>183.57</v>
      </c>
      <c r="R28" s="62"/>
      <c r="S28" s="92">
        <v>0</v>
      </c>
      <c r="T28" s="85">
        <f t="shared" si="0"/>
        <v>0.37719999999999843</v>
      </c>
      <c r="U28" s="62">
        <f t="shared" si="0"/>
        <v>2.0922000000000054</v>
      </c>
      <c r="V28" s="62">
        <f t="shared" si="0"/>
        <v>1</v>
      </c>
      <c r="W28" s="62">
        <f t="shared" si="0"/>
        <v>7</v>
      </c>
      <c r="X28" s="62">
        <f t="shared" si="0"/>
        <v>1.0000000000000002</v>
      </c>
      <c r="Y28" s="62">
        <f t="shared" si="0"/>
        <v>77</v>
      </c>
      <c r="Z28" s="62">
        <f t="shared" si="0"/>
        <v>0</v>
      </c>
      <c r="AA28" s="59">
        <f t="shared" si="1"/>
        <v>0</v>
      </c>
      <c r="AB28" s="60" t="str">
        <f t="shared" si="2"/>
        <v>Cumple</v>
      </c>
      <c r="AL28" t="s">
        <v>62</v>
      </c>
      <c r="AM28" t="s">
        <v>63</v>
      </c>
    </row>
    <row r="29" spans="2:39" ht="15" customHeight="1">
      <c r="B29" s="80">
        <v>45797.708333333336</v>
      </c>
      <c r="C29" s="61">
        <v>45797.708333333336</v>
      </c>
      <c r="D29" s="85">
        <v>17.983000000000001</v>
      </c>
      <c r="E29" s="62">
        <v>72.460499999999996</v>
      </c>
      <c r="F29" s="62">
        <v>565.37</v>
      </c>
      <c r="G29" s="62">
        <v>220.89</v>
      </c>
      <c r="H29" s="62">
        <v>2.4299999999999997</v>
      </c>
      <c r="I29" s="93">
        <v>106.33</v>
      </c>
      <c r="J29" s="62"/>
      <c r="K29" s="92">
        <v>0</v>
      </c>
      <c r="L29" s="94">
        <v>18.350000000000001</v>
      </c>
      <c r="M29" s="62">
        <v>70.349999999999994</v>
      </c>
      <c r="N29" s="62">
        <v>564.37</v>
      </c>
      <c r="O29" s="62">
        <v>215.89</v>
      </c>
      <c r="P29" s="62">
        <v>1.43</v>
      </c>
      <c r="Q29" s="93">
        <v>73.33</v>
      </c>
      <c r="R29" s="62"/>
      <c r="S29" s="92">
        <v>0</v>
      </c>
      <c r="T29" s="85">
        <f t="shared" si="0"/>
        <v>0.36700000000000088</v>
      </c>
      <c r="U29" s="62">
        <f t="shared" si="0"/>
        <v>2.1105000000000018</v>
      </c>
      <c r="V29" s="62">
        <f t="shared" si="0"/>
        <v>1</v>
      </c>
      <c r="W29" s="62">
        <f t="shared" si="0"/>
        <v>5</v>
      </c>
      <c r="X29" s="62">
        <f t="shared" si="0"/>
        <v>0.99999999999999978</v>
      </c>
      <c r="Y29" s="62">
        <f t="shared" si="0"/>
        <v>33</v>
      </c>
      <c r="Z29" s="62">
        <f t="shared" si="0"/>
        <v>0</v>
      </c>
      <c r="AA29" s="59">
        <f t="shared" si="1"/>
        <v>0</v>
      </c>
      <c r="AB29" s="60" t="str">
        <f t="shared" si="2"/>
        <v>Cumple</v>
      </c>
      <c r="AL29" t="s">
        <v>64</v>
      </c>
      <c r="AM29" t="s">
        <v>64</v>
      </c>
    </row>
    <row r="30" spans="2:39" ht="15" customHeight="1">
      <c r="B30" s="80">
        <v>45797.75</v>
      </c>
      <c r="C30" s="61">
        <v>45797.75</v>
      </c>
      <c r="D30" s="85">
        <v>15.944599999999999</v>
      </c>
      <c r="E30" s="62">
        <v>80.566599999999994</v>
      </c>
      <c r="F30" s="62">
        <v>566.38</v>
      </c>
      <c r="G30" s="62">
        <v>197.02</v>
      </c>
      <c r="H30" s="62">
        <v>1.99</v>
      </c>
      <c r="I30" s="93">
        <v>83.18</v>
      </c>
      <c r="J30" s="62"/>
      <c r="K30" s="92">
        <v>0.2</v>
      </c>
      <c r="L30" s="94">
        <v>16.27</v>
      </c>
      <c r="M30" s="62">
        <v>78.22</v>
      </c>
      <c r="N30" s="62">
        <v>565.38</v>
      </c>
      <c r="O30" s="62">
        <v>194.02</v>
      </c>
      <c r="P30" s="62">
        <v>0.99</v>
      </c>
      <c r="Q30" s="93">
        <v>2.1800000000000002</v>
      </c>
      <c r="R30" s="62"/>
      <c r="S30" s="92">
        <v>0.2</v>
      </c>
      <c r="T30" s="85">
        <f t="shared" si="0"/>
        <v>0.32540000000000013</v>
      </c>
      <c r="U30" s="62">
        <f t="shared" si="0"/>
        <v>2.3465999999999951</v>
      </c>
      <c r="V30" s="62">
        <f t="shared" si="0"/>
        <v>1</v>
      </c>
      <c r="W30" s="62">
        <f t="shared" si="0"/>
        <v>3</v>
      </c>
      <c r="X30" s="62">
        <f t="shared" si="0"/>
        <v>1</v>
      </c>
      <c r="Y30" s="62">
        <f t="shared" si="0"/>
        <v>81</v>
      </c>
      <c r="Z30" s="62">
        <f t="shared" si="0"/>
        <v>0</v>
      </c>
      <c r="AA30" s="59">
        <f t="shared" si="1"/>
        <v>0</v>
      </c>
      <c r="AB30" s="60" t="str">
        <f t="shared" si="2"/>
        <v>Cumple</v>
      </c>
      <c r="AL30" t="s">
        <v>54</v>
      </c>
      <c r="AM30" t="s">
        <v>54</v>
      </c>
    </row>
    <row r="31" spans="2:39" ht="15" customHeight="1">
      <c r="B31" s="80">
        <v>45797.791666666664</v>
      </c>
      <c r="C31" s="61">
        <v>45797.791666666664</v>
      </c>
      <c r="D31" s="85">
        <v>15.042999999999999</v>
      </c>
      <c r="E31" s="62">
        <v>85.294300000000007</v>
      </c>
      <c r="F31" s="62">
        <v>566.38</v>
      </c>
      <c r="G31" s="62">
        <v>235.2</v>
      </c>
      <c r="H31" s="62">
        <v>1.08</v>
      </c>
      <c r="I31" s="93">
        <v>0</v>
      </c>
      <c r="J31" s="62"/>
      <c r="K31" s="92">
        <v>0</v>
      </c>
      <c r="L31" s="94">
        <v>15.35</v>
      </c>
      <c r="M31" s="62">
        <v>82.81</v>
      </c>
      <c r="N31" s="62">
        <v>566.38</v>
      </c>
      <c r="O31" s="62">
        <v>230.2</v>
      </c>
      <c r="P31" s="62">
        <v>0.08</v>
      </c>
      <c r="Q31" s="93">
        <v>0</v>
      </c>
      <c r="R31" s="62"/>
      <c r="S31" s="92">
        <v>0</v>
      </c>
      <c r="T31" s="85">
        <f t="shared" si="0"/>
        <v>0.30700000000000038</v>
      </c>
      <c r="U31" s="62">
        <f t="shared" si="0"/>
        <v>2.4843000000000046</v>
      </c>
      <c r="V31" s="62">
        <f t="shared" si="0"/>
        <v>0</v>
      </c>
      <c r="W31" s="62">
        <f t="shared" si="0"/>
        <v>5</v>
      </c>
      <c r="X31" s="62">
        <f t="shared" si="0"/>
        <v>1</v>
      </c>
      <c r="Y31" s="62">
        <f t="shared" si="0"/>
        <v>0</v>
      </c>
      <c r="Z31" s="62">
        <f t="shared" si="0"/>
        <v>0</v>
      </c>
      <c r="AA31" s="59">
        <f t="shared" si="1"/>
        <v>0</v>
      </c>
      <c r="AB31" s="60" t="str">
        <f t="shared" si="2"/>
        <v>Cumple</v>
      </c>
      <c r="AL31" t="s">
        <v>65</v>
      </c>
      <c r="AM31" t="s">
        <v>65</v>
      </c>
    </row>
    <row r="32" spans="2:39" ht="15" customHeight="1">
      <c r="B32" s="80">
        <v>45797.833333333336</v>
      </c>
      <c r="C32" s="61">
        <v>45797.833333333336</v>
      </c>
      <c r="D32" s="85">
        <v>14.847</v>
      </c>
      <c r="E32" s="62">
        <v>86.530300000000011</v>
      </c>
      <c r="F32" s="62">
        <v>567.91</v>
      </c>
      <c r="G32" s="62">
        <v>220.73</v>
      </c>
      <c r="H32" s="62">
        <v>0.23</v>
      </c>
      <c r="I32" s="93">
        <v>0</v>
      </c>
      <c r="J32" s="62"/>
      <c r="K32" s="92">
        <v>0</v>
      </c>
      <c r="L32" s="94">
        <v>15.15</v>
      </c>
      <c r="M32" s="62">
        <v>84.01</v>
      </c>
      <c r="N32" s="62">
        <v>566.91</v>
      </c>
      <c r="O32" s="62">
        <v>215.73</v>
      </c>
      <c r="P32" s="62">
        <v>0.23</v>
      </c>
      <c r="Q32" s="93">
        <v>0</v>
      </c>
      <c r="R32" s="62"/>
      <c r="S32" s="92">
        <v>0</v>
      </c>
      <c r="T32" s="85">
        <f t="shared" si="0"/>
        <v>0.30300000000000082</v>
      </c>
      <c r="U32" s="62">
        <f t="shared" si="0"/>
        <v>2.520300000000006</v>
      </c>
      <c r="V32" s="62">
        <f t="shared" si="0"/>
        <v>1</v>
      </c>
      <c r="W32" s="62">
        <f t="shared" si="0"/>
        <v>5</v>
      </c>
      <c r="X32" s="62">
        <f t="shared" si="0"/>
        <v>0</v>
      </c>
      <c r="Y32" s="62">
        <f t="shared" si="0"/>
        <v>0</v>
      </c>
      <c r="Z32" s="62">
        <f t="shared" si="0"/>
        <v>0</v>
      </c>
      <c r="AA32" s="59">
        <f t="shared" si="1"/>
        <v>0</v>
      </c>
      <c r="AB32" s="60" t="str">
        <f t="shared" si="2"/>
        <v>Cumple</v>
      </c>
      <c r="AL32" t="s">
        <v>55</v>
      </c>
      <c r="AM32" t="s">
        <v>54</v>
      </c>
    </row>
    <row r="33" spans="2:39" ht="15" customHeight="1">
      <c r="B33" s="80">
        <v>45797.875</v>
      </c>
      <c r="C33" s="61">
        <v>45797.875</v>
      </c>
      <c r="D33" s="85">
        <v>14.5726</v>
      </c>
      <c r="E33" s="62">
        <v>86.767199999999988</v>
      </c>
      <c r="F33" s="62">
        <v>568.65</v>
      </c>
      <c r="G33" s="62">
        <v>212.41</v>
      </c>
      <c r="H33" s="62">
        <v>0.11</v>
      </c>
      <c r="I33" s="93">
        <v>0</v>
      </c>
      <c r="J33" s="62"/>
      <c r="K33" s="92">
        <v>0</v>
      </c>
      <c r="L33" s="94">
        <v>14.87</v>
      </c>
      <c r="M33" s="62">
        <v>84.24</v>
      </c>
      <c r="N33" s="62">
        <v>567.65</v>
      </c>
      <c r="O33" s="62">
        <v>205.41</v>
      </c>
      <c r="P33" s="62">
        <v>0.11</v>
      </c>
      <c r="Q33" s="93">
        <v>0</v>
      </c>
      <c r="R33" s="62"/>
      <c r="S33" s="92">
        <v>0</v>
      </c>
      <c r="T33" s="85">
        <f t="shared" si="0"/>
        <v>0.29739999999999966</v>
      </c>
      <c r="U33" s="62">
        <f t="shared" si="0"/>
        <v>2.5271999999999935</v>
      </c>
      <c r="V33" s="62">
        <f t="shared" si="0"/>
        <v>1</v>
      </c>
      <c r="W33" s="62">
        <f t="shared" si="0"/>
        <v>7</v>
      </c>
      <c r="X33" s="62">
        <f t="shared" si="0"/>
        <v>0</v>
      </c>
      <c r="Y33" s="62">
        <f t="shared" si="0"/>
        <v>0</v>
      </c>
      <c r="Z33" s="62">
        <f t="shared" si="0"/>
        <v>0</v>
      </c>
      <c r="AA33" s="59">
        <f t="shared" si="1"/>
        <v>0</v>
      </c>
      <c r="AB33" s="60" t="str">
        <f t="shared" si="2"/>
        <v>Cumple</v>
      </c>
      <c r="AL33" t="s">
        <v>55</v>
      </c>
      <c r="AM33" t="s">
        <v>55</v>
      </c>
    </row>
    <row r="34" spans="2:39" ht="15" customHeight="1">
      <c r="B34" s="80">
        <v>45797.916666666664</v>
      </c>
      <c r="C34" s="61">
        <v>45797.916666666664</v>
      </c>
      <c r="D34" s="85">
        <v>14.112</v>
      </c>
      <c r="E34" s="62">
        <v>85.76809999999999</v>
      </c>
      <c r="F34" s="62">
        <v>568.85</v>
      </c>
      <c r="G34" s="62">
        <v>254.53</v>
      </c>
      <c r="H34" s="62">
        <v>1.1599999999999999</v>
      </c>
      <c r="I34" s="93">
        <v>0</v>
      </c>
      <c r="J34" s="62"/>
      <c r="K34" s="92">
        <v>0</v>
      </c>
      <c r="L34" s="94">
        <v>14.4</v>
      </c>
      <c r="M34" s="62">
        <v>83.27</v>
      </c>
      <c r="N34" s="62">
        <v>567.85</v>
      </c>
      <c r="O34" s="62">
        <v>247.53</v>
      </c>
      <c r="P34" s="62">
        <v>0.16</v>
      </c>
      <c r="Q34" s="93">
        <v>0</v>
      </c>
      <c r="R34" s="62"/>
      <c r="S34" s="92">
        <v>0</v>
      </c>
      <c r="T34" s="85">
        <f t="shared" si="0"/>
        <v>0.28800000000000026</v>
      </c>
      <c r="U34" s="62">
        <f t="shared" si="0"/>
        <v>2.4980999999999938</v>
      </c>
      <c r="V34" s="62">
        <f t="shared" si="0"/>
        <v>1</v>
      </c>
      <c r="W34" s="62">
        <f t="shared" si="0"/>
        <v>7</v>
      </c>
      <c r="X34" s="62">
        <f t="shared" si="0"/>
        <v>0.99999999999999989</v>
      </c>
      <c r="Y34" s="62">
        <f t="shared" si="0"/>
        <v>0</v>
      </c>
      <c r="Z34" s="62">
        <f t="shared" si="0"/>
        <v>0</v>
      </c>
      <c r="AA34" s="59">
        <f t="shared" si="1"/>
        <v>0</v>
      </c>
      <c r="AB34" s="60" t="str">
        <f t="shared" si="2"/>
        <v>Cumple</v>
      </c>
      <c r="AL34" t="s">
        <v>55</v>
      </c>
      <c r="AM34" t="s">
        <v>54</v>
      </c>
    </row>
    <row r="35" spans="2:39" ht="15" customHeight="1" thickBot="1">
      <c r="B35" s="80">
        <v>45797.958333333336</v>
      </c>
      <c r="C35" s="61">
        <v>45797.958333333336</v>
      </c>
      <c r="D35" s="87">
        <v>13.592599999999999</v>
      </c>
      <c r="E35" s="88">
        <v>85.829899999999995</v>
      </c>
      <c r="F35" s="88">
        <v>568.74</v>
      </c>
      <c r="G35" s="88">
        <v>218.68</v>
      </c>
      <c r="H35" s="88">
        <v>1</v>
      </c>
      <c r="I35" s="95">
        <v>0</v>
      </c>
      <c r="J35" s="88"/>
      <c r="K35" s="96">
        <v>0</v>
      </c>
      <c r="L35" s="97">
        <v>13.87</v>
      </c>
      <c r="M35" s="88">
        <v>83.33</v>
      </c>
      <c r="N35" s="88">
        <v>567.74</v>
      </c>
      <c r="O35" s="88">
        <v>218.68</v>
      </c>
      <c r="P35" s="88">
        <v>0</v>
      </c>
      <c r="Q35" s="95">
        <v>0</v>
      </c>
      <c r="R35" s="88"/>
      <c r="S35" s="96">
        <v>0</v>
      </c>
      <c r="T35" s="87">
        <f t="shared" si="0"/>
        <v>0.27740000000000009</v>
      </c>
      <c r="U35" s="88">
        <f t="shared" si="0"/>
        <v>2.4998999999999967</v>
      </c>
      <c r="V35" s="88">
        <f t="shared" si="0"/>
        <v>1</v>
      </c>
      <c r="W35" s="88">
        <f t="shared" si="0"/>
        <v>0</v>
      </c>
      <c r="X35" s="88">
        <f t="shared" si="0"/>
        <v>1</v>
      </c>
      <c r="Y35" s="88">
        <f t="shared" si="0"/>
        <v>0</v>
      </c>
      <c r="Z35" s="88">
        <f t="shared" si="0"/>
        <v>0</v>
      </c>
      <c r="AA35" s="59">
        <f t="shared" si="1"/>
        <v>0</v>
      </c>
      <c r="AB35" s="63" t="str">
        <f t="shared" si="2"/>
        <v>Cumple</v>
      </c>
      <c r="AL35" t="s">
        <v>55</v>
      </c>
      <c r="AM35" t="s">
        <v>55</v>
      </c>
    </row>
    <row r="36" spans="2:39" ht="33" customHeight="1">
      <c r="B36" s="157" t="s">
        <v>42</v>
      </c>
      <c r="C36" s="158"/>
      <c r="D36" s="159">
        <v>45802.958333333336</v>
      </c>
      <c r="E36" s="160"/>
      <c r="F36" s="160"/>
      <c r="G36" s="160"/>
      <c r="H36" s="160"/>
      <c r="I36" s="161"/>
      <c r="J36" s="162" t="s">
        <v>43</v>
      </c>
      <c r="K36" s="162"/>
      <c r="L36" s="162"/>
      <c r="M36" s="162"/>
      <c r="N36" s="162"/>
      <c r="O36" s="162"/>
      <c r="P36" s="163"/>
      <c r="Q36" s="164" t="s">
        <v>73</v>
      </c>
      <c r="R36" s="165"/>
      <c r="S36" s="165"/>
      <c r="T36" s="166"/>
      <c r="U36" s="166"/>
      <c r="V36" s="166"/>
      <c r="W36" s="166"/>
      <c r="X36" s="166"/>
      <c r="Y36" s="166"/>
      <c r="Z36" s="166"/>
      <c r="AA36" s="166"/>
      <c r="AB36" s="167"/>
    </row>
    <row r="37" spans="2:39" ht="33" customHeight="1">
      <c r="B37" s="168" t="s">
        <v>45</v>
      </c>
      <c r="C37" s="169"/>
      <c r="D37" s="170" t="s">
        <v>46</v>
      </c>
      <c r="E37" s="171"/>
      <c r="F37" s="171"/>
      <c r="G37" s="171"/>
      <c r="H37" s="171"/>
      <c r="I37" s="172"/>
      <c r="J37" s="173" t="s">
        <v>47</v>
      </c>
      <c r="K37" s="174"/>
      <c r="L37" s="174"/>
      <c r="M37" s="174"/>
      <c r="N37" s="174"/>
      <c r="O37" s="174"/>
      <c r="P37" s="174"/>
      <c r="Q37" s="177" t="s">
        <v>48</v>
      </c>
      <c r="R37" s="178"/>
      <c r="S37" s="178"/>
      <c r="T37" s="178"/>
      <c r="U37" s="178"/>
      <c r="V37" s="178"/>
      <c r="W37" s="178"/>
      <c r="X37" s="178"/>
      <c r="Y37" s="178"/>
      <c r="Z37" s="178"/>
      <c r="AA37" s="178"/>
      <c r="AB37" s="179"/>
    </row>
    <row r="38" spans="2:39" ht="33" customHeight="1" thickBot="1">
      <c r="B38" s="183" t="s">
        <v>49</v>
      </c>
      <c r="C38" s="184"/>
      <c r="D38" s="185" t="s">
        <v>50</v>
      </c>
      <c r="E38" s="186"/>
      <c r="F38" s="186"/>
      <c r="G38" s="186"/>
      <c r="H38" s="186"/>
      <c r="I38" s="187"/>
      <c r="J38" s="175"/>
      <c r="K38" s="176"/>
      <c r="L38" s="176"/>
      <c r="M38" s="176"/>
      <c r="N38" s="176"/>
      <c r="O38" s="176"/>
      <c r="P38" s="176"/>
      <c r="Q38" s="180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2"/>
    </row>
    <row r="39" spans="2:39" ht="15" customHeight="1"/>
    <row r="40" spans="2:39" ht="15" customHeight="1"/>
    <row r="41" spans="2:39" ht="15" customHeight="1"/>
    <row r="42" spans="2:39" ht="15" customHeight="1"/>
    <row r="43" spans="2:39" ht="15" customHeight="1"/>
    <row r="44" spans="2:39" ht="15" customHeight="1"/>
    <row r="45" spans="2:39" ht="15" customHeight="1"/>
    <row r="46" spans="2:39" ht="15" customHeight="1"/>
    <row r="47" spans="2:39" ht="15" customHeight="1"/>
    <row r="48" spans="2:39" ht="15" customHeight="1"/>
    <row r="49" customFormat="1" ht="15" customHeight="1"/>
    <row r="50" customFormat="1" ht="15" customHeight="1"/>
    <row r="51" customFormat="1" ht="15" customHeight="1"/>
    <row r="52" customFormat="1" ht="15" customHeight="1"/>
    <row r="53" customFormat="1" ht="15" customHeight="1"/>
    <row r="54" customFormat="1" ht="15" customHeight="1"/>
    <row r="55" customFormat="1" ht="15" customHeight="1"/>
    <row r="56" customFormat="1" ht="15" customHeight="1"/>
    <row r="57" customFormat="1" ht="15" customHeight="1"/>
    <row r="58" customFormat="1" ht="15" customHeight="1"/>
    <row r="59" customFormat="1" ht="15" customHeight="1"/>
    <row r="60" customFormat="1" ht="15" customHeight="1"/>
    <row r="61" customFormat="1" ht="15" customHeight="1"/>
    <row r="62" customFormat="1" ht="15" customHeight="1"/>
    <row r="63" customFormat="1" ht="15" customHeight="1"/>
    <row r="64" customFormat="1" ht="15" customHeight="1"/>
    <row r="65" customFormat="1" ht="15" customHeight="1"/>
    <row r="66" customFormat="1" ht="33.75" customHeight="1"/>
    <row r="67" customFormat="1" ht="33.75" customHeight="1"/>
    <row r="68" customFormat="1" ht="33.75" customHeight="1"/>
  </sheetData>
  <protectedRanges>
    <protectedRange sqref="AL12:AM35" name="Rango1"/>
    <protectedRange sqref="D12:F24 H12:N24 P12:S24" name="Rango1_1"/>
  </protectedRanges>
  <mergeCells count="38">
    <mergeCell ref="B36:C36"/>
    <mergeCell ref="D36:I36"/>
    <mergeCell ref="J36:P36"/>
    <mergeCell ref="Q36:AB36"/>
    <mergeCell ref="B37:C37"/>
    <mergeCell ref="D37:I37"/>
    <mergeCell ref="J37:P38"/>
    <mergeCell ref="Q37:AB38"/>
    <mergeCell ref="B38:C38"/>
    <mergeCell ref="D38:I38"/>
    <mergeCell ref="AB10:AB11"/>
    <mergeCell ref="B8:C8"/>
    <mergeCell ref="D8:K8"/>
    <mergeCell ref="L8:S8"/>
    <mergeCell ref="T8:X8"/>
    <mergeCell ref="Y8:Z8"/>
    <mergeCell ref="AA8:AB8"/>
    <mergeCell ref="B10:B11"/>
    <mergeCell ref="C10:C11"/>
    <mergeCell ref="D10:K10"/>
    <mergeCell ref="L10:S10"/>
    <mergeCell ref="T10:AA10"/>
    <mergeCell ref="AA7:AB7"/>
    <mergeCell ref="B1:C4"/>
    <mergeCell ref="D1:Z2"/>
    <mergeCell ref="AA1:AB4"/>
    <mergeCell ref="D3:Z4"/>
    <mergeCell ref="B6:C6"/>
    <mergeCell ref="D6:K6"/>
    <mergeCell ref="L6:S6"/>
    <mergeCell ref="T6:X6"/>
    <mergeCell ref="Y6:Z6"/>
    <mergeCell ref="AA6:AB6"/>
    <mergeCell ref="B7:C7"/>
    <mergeCell ref="D7:K7"/>
    <mergeCell ref="L7:S7"/>
    <mergeCell ref="T7:X7"/>
    <mergeCell ref="Y7:Z7"/>
  </mergeCells>
  <conditionalFormatting sqref="G12:G24">
    <cfRule type="cellIs" dxfId="19" priority="2" operator="equal">
      <formula>FALSE</formula>
    </cfRule>
  </conditionalFormatting>
  <conditionalFormatting sqref="T12:T35">
    <cfRule type="cellIs" dxfId="18" priority="19" operator="greaterThan">
      <formula>0.5</formula>
    </cfRule>
    <cfRule type="cellIs" dxfId="17" priority="20" operator="lessThanOrEqual">
      <formula>0.5</formula>
    </cfRule>
  </conditionalFormatting>
  <conditionalFormatting sqref="U12:U35">
    <cfRule type="cellIs" dxfId="16" priority="17" operator="greaterThan">
      <formula>5</formula>
    </cfRule>
    <cfRule type="cellIs" dxfId="15" priority="18" operator="lessThanOrEqual">
      <formula>5</formula>
    </cfRule>
  </conditionalFormatting>
  <conditionalFormatting sqref="V12:V35">
    <cfRule type="cellIs" dxfId="14" priority="15" operator="greaterThan">
      <formula>1</formula>
    </cfRule>
    <cfRule type="cellIs" dxfId="13" priority="16" operator="lessThanOrEqual">
      <formula>1</formula>
    </cfRule>
  </conditionalFormatting>
  <conditionalFormatting sqref="W12:W35">
    <cfRule type="cellIs" dxfId="12" priority="13" operator="greaterThan">
      <formula>22.5</formula>
    </cfRule>
    <cfRule type="cellIs" dxfId="11" priority="14" operator="lessThanOrEqual">
      <formula>22.5</formula>
    </cfRule>
  </conditionalFormatting>
  <conditionalFormatting sqref="X12:X35">
    <cfRule type="cellIs" dxfId="10" priority="7" operator="lessThanOrEqual">
      <formula>1</formula>
    </cfRule>
    <cfRule type="cellIs" dxfId="9" priority="8" operator="greaterThan">
      <formula>1</formula>
    </cfRule>
  </conditionalFormatting>
  <conditionalFormatting sqref="Y12:Y35">
    <cfRule type="cellIs" dxfId="8" priority="5" operator="lessThanOrEqual">
      <formula>90</formula>
    </cfRule>
    <cfRule type="cellIs" dxfId="7" priority="6" operator="greaterThan">
      <formula>90</formula>
    </cfRule>
  </conditionalFormatting>
  <conditionalFormatting sqref="Z12:Z35">
    <cfRule type="cellIs" dxfId="6" priority="11" operator="greaterThan">
      <formula>0.8</formula>
    </cfRule>
    <cfRule type="cellIs" dxfId="5" priority="12" operator="lessThanOrEqual">
      <formula>0.8</formula>
    </cfRule>
  </conditionalFormatting>
  <conditionalFormatting sqref="AA12:AA35">
    <cfRule type="cellIs" dxfId="4" priority="1" operator="equal">
      <formula>0</formula>
    </cfRule>
    <cfRule type="expression" dxfId="3" priority="9">
      <formula>OR(AND(K12=0, S12=0), AND(K12&lt;&gt;0, ABS(S12-K12)/K12 &lt;= 0.05))</formula>
    </cfRule>
    <cfRule type="expression" dxfId="2" priority="10">
      <formula>AND(K12&lt;&gt;0, S, ABS(S12-K12)/K12 &gt; 0.05)</formula>
    </cfRule>
  </conditionalFormatting>
  <conditionalFormatting sqref="AK11">
    <cfRule type="cellIs" dxfId="1" priority="3" operator="lessThan">
      <formula>0.05</formula>
    </cfRule>
    <cfRule type="cellIs" dxfId="0" priority="4" operator="greaterThan">
      <formula>0.05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608AE-03E8-4F1D-99A4-C55B3F988C2F}">
  <dimension ref="A2:C9"/>
  <sheetViews>
    <sheetView workbookViewId="0">
      <selection activeCell="E4" sqref="E4"/>
    </sheetView>
  </sheetViews>
  <sheetFormatPr baseColWidth="10" defaultColWidth="11.42578125" defaultRowHeight="14.25"/>
  <cols>
    <col min="1" max="2" width="15" style="99" customWidth="1"/>
    <col min="3" max="3" width="78.28515625" style="99" customWidth="1"/>
    <col min="4" max="16384" width="11.42578125" style="99"/>
  </cols>
  <sheetData>
    <row r="2" spans="1:3" ht="15">
      <c r="A2" s="98" t="s">
        <v>66</v>
      </c>
    </row>
    <row r="4" spans="1:3" ht="15">
      <c r="A4" s="100" t="s">
        <v>67</v>
      </c>
      <c r="B4" s="100" t="s">
        <v>68</v>
      </c>
      <c r="C4" s="100" t="s">
        <v>69</v>
      </c>
    </row>
    <row r="5" spans="1:3">
      <c r="A5" s="101">
        <v>44269</v>
      </c>
      <c r="B5" s="102">
        <v>1</v>
      </c>
      <c r="C5" s="103" t="s">
        <v>70</v>
      </c>
    </row>
    <row r="6" spans="1:3">
      <c r="A6" s="101">
        <v>44791</v>
      </c>
      <c r="B6" s="102">
        <v>2</v>
      </c>
      <c r="C6" s="103" t="s">
        <v>71</v>
      </c>
    </row>
    <row r="7" spans="1:3">
      <c r="A7" s="101">
        <v>45447</v>
      </c>
      <c r="B7" s="102">
        <v>3</v>
      </c>
      <c r="C7" s="103" t="s">
        <v>72</v>
      </c>
    </row>
    <row r="8" spans="1:3">
      <c r="A8" s="101"/>
      <c r="B8" s="102"/>
      <c r="C8" s="103"/>
    </row>
    <row r="9" spans="1:3">
      <c r="A9" s="101"/>
      <c r="B9" s="102"/>
      <c r="C9" s="10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78B4E8897D55449C80A22DA0695850" ma:contentTypeVersion="3" ma:contentTypeDescription="Crear nuevo documento." ma:contentTypeScope="" ma:versionID="421ced67a557eaa3f2747eba89a54094">
  <xsd:schema xmlns:xsd="http://www.w3.org/2001/XMLSchema" xmlns:xs="http://www.w3.org/2001/XMLSchema" xmlns:p="http://schemas.microsoft.com/office/2006/metadata/properties" xmlns:ns2="cfad4e1c-eea5-4e91-ae8f-5369871007fb" targetNamespace="http://schemas.microsoft.com/office/2006/metadata/properties" ma:root="true" ma:fieldsID="29ca33375982a7711d712b1ebb334325" ns2:_="">
    <xsd:import namespace="cfad4e1c-eea5-4e91-ae8f-5369871007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ad4e1c-eea5-4e91-ae8f-5369871007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9EE75A-019E-4E91-94E2-0A01373CA36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68D37E5-7DC4-4D19-9D10-F7A66B2B9A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B1EA0A-A19F-4A7B-BC82-8FD78E0D2D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ad4e1c-eea5-4e91-ae8f-5369871007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Fechas </vt:lpstr>
      <vt:lpstr>230303</vt:lpstr>
      <vt:lpstr>230903</vt:lpstr>
      <vt:lpstr>23-11-24</vt:lpstr>
      <vt:lpstr>24-05-24</vt:lpstr>
      <vt:lpstr>24-11-25</vt:lpstr>
      <vt:lpstr>25-05-28</vt:lpstr>
      <vt:lpstr>Cambios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Jerson Fabian Bueno Guarin</dc:creator>
  <cp:keywords/>
  <dc:description/>
  <cp:lastModifiedBy>Holman Leonardo Perez Diaz</cp:lastModifiedBy>
  <cp:revision/>
  <dcterms:created xsi:type="dcterms:W3CDTF">2025-10-10T13:20:27Z</dcterms:created>
  <dcterms:modified xsi:type="dcterms:W3CDTF">2026-02-12T14:28:25Z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0x0101005078B4E8897D55449C80A22DA0695850</vt:lpwstr>
  </property>
</Properties>
</file>