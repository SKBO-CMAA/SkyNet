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7. Temperaturas Shelter\"/>
    </mc:Choice>
  </mc:AlternateContent>
  <xr:revisionPtr revIDLastSave="0" documentId="13_ncr:1_{4024AAA1-ECB0-462C-A306-21EFB5ECB3F9}" xr6:coauthVersionLast="47" xr6:coauthVersionMax="47" xr10:uidLastSave="{00000000-0000-0000-0000-000000000000}"/>
  <bookViews>
    <workbookView xWindow="-105" yWindow="0" windowWidth="10455" windowHeight="10905" firstSheet="18" activeTab="18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C46" i="9" l="1"/>
  <c r="C47" i="9"/>
  <c r="C48" i="9" s="1"/>
  <c r="C46" i="8"/>
  <c r="C47" i="8"/>
  <c r="C48" i="8" s="1"/>
  <c r="E41" i="1"/>
  <c r="B12" i="34" s="1"/>
  <c r="C46" i="14"/>
  <c r="C47" i="14"/>
  <c r="C48" i="14" s="1"/>
  <c r="E12" i="34" a="1"/>
  <c r="E12" i="34" s="1"/>
  <c r="E11" i="34" a="1"/>
  <c r="E11" i="34" s="1"/>
  <c r="E10" i="34" a="1"/>
  <c r="E10" i="34" s="1"/>
  <c r="B10" i="34" a="1"/>
  <c r="B10" i="34" s="1"/>
  <c r="B8" i="34" a="1"/>
  <c r="B8" i="34" s="1"/>
  <c r="B7" i="34" a="1"/>
  <c r="B7" i="34" s="1"/>
  <c r="G41" i="1"/>
  <c r="E12" i="33" l="1" a="1"/>
  <c r="E12" i="33" s="1"/>
  <c r="E11" i="33" a="1"/>
  <c r="E11" i="33" s="1"/>
  <c r="E10" i="33" a="1"/>
  <c r="E10" i="33" s="1"/>
  <c r="E7" i="33" a="1"/>
  <c r="E7" i="33" s="1"/>
  <c r="E12" i="32" a="1"/>
  <c r="E12" i="32" s="1"/>
  <c r="E11" i="32" a="1"/>
  <c r="E11" i="32" s="1"/>
  <c r="E10" i="32" a="1"/>
  <c r="E10" i="32" s="1"/>
  <c r="E8" i="32" a="1"/>
  <c r="E8" i="32" s="1"/>
  <c r="E12" i="31" a="1"/>
  <c r="E12" i="31" s="1"/>
  <c r="E11" i="31" a="1"/>
  <c r="E11" i="31" s="1"/>
  <c r="E10" i="31" a="1"/>
  <c r="E10" i="31" s="1"/>
  <c r="E12" i="30" a="1"/>
  <c r="E12" i="30" s="1"/>
  <c r="E11" i="30" a="1"/>
  <c r="E11" i="30" s="1"/>
  <c r="E10" i="30" a="1"/>
  <c r="E10" i="30" s="1"/>
  <c r="E9" i="30" a="1"/>
  <c r="E9" i="30" s="1"/>
  <c r="E12" i="29" a="1"/>
  <c r="E12" i="29" s="1"/>
  <c r="E11" i="29" a="1"/>
  <c r="E11" i="29" s="1"/>
  <c r="E10" i="29" a="1"/>
  <c r="E10" i="29" s="1"/>
  <c r="E7" i="29" a="1"/>
  <c r="E7" i="29" s="1"/>
  <c r="E12" i="28" a="1"/>
  <c r="E12" i="28" s="1"/>
  <c r="E11" i="28" a="1"/>
  <c r="E11" i="28" s="1"/>
  <c r="E10" i="28" a="1"/>
  <c r="E10" i="28" s="1"/>
  <c r="E8" i="28" a="1"/>
  <c r="E8" i="28" s="1"/>
  <c r="E12" i="27" a="1"/>
  <c r="E12" i="27" s="1"/>
  <c r="E11" i="27" a="1"/>
  <c r="E11" i="27" s="1"/>
  <c r="E10" i="27" a="1"/>
  <c r="E10" i="27" s="1"/>
  <c r="E12" i="26"/>
  <c r="E12" i="26" a="1"/>
  <c r="E11" i="26" a="1"/>
  <c r="E11" i="26" s="1"/>
  <c r="E10" i="26" a="1"/>
  <c r="E10" i="26" s="1"/>
  <c r="E12" i="25" a="1"/>
  <c r="E12" i="25" s="1"/>
  <c r="E11" i="25" a="1"/>
  <c r="E11" i="25" s="1"/>
  <c r="E10" i="25" a="1"/>
  <c r="E10" i="25" s="1"/>
  <c r="E9" i="25" a="1"/>
  <c r="E9" i="25" s="1"/>
  <c r="E12" i="24" a="1"/>
  <c r="E12" i="24" s="1"/>
  <c r="E11" i="24" a="1"/>
  <c r="E11" i="24" s="1"/>
  <c r="E10" i="24" a="1"/>
  <c r="E10" i="24" s="1"/>
  <c r="E8" i="24" a="1"/>
  <c r="E8" i="24" s="1"/>
  <c r="E12" i="23" a="1"/>
  <c r="E12" i="23" s="1"/>
  <c r="E11" i="23" a="1"/>
  <c r="E11" i="23" s="1"/>
  <c r="E10" i="23" a="1"/>
  <c r="E10" i="23" s="1"/>
  <c r="E9" i="23" a="1"/>
  <c r="E9" i="23" s="1"/>
  <c r="E7" i="23" a="1"/>
  <c r="E7" i="23" s="1"/>
  <c r="E12" i="22" a="1"/>
  <c r="E12" i="22" s="1"/>
  <c r="E11" i="22" a="1"/>
  <c r="E11" i="22" s="1"/>
  <c r="E10" i="22" a="1"/>
  <c r="E10" i="22" s="1"/>
  <c r="E7" i="22" a="1"/>
  <c r="E7" i="22" s="1"/>
  <c r="E12" i="21" a="1"/>
  <c r="E12" i="21" s="1"/>
  <c r="E11" i="21" a="1"/>
  <c r="E11" i="21" s="1"/>
  <c r="E10" i="21" a="1"/>
  <c r="E10" i="21" s="1"/>
  <c r="E12" i="20" a="1"/>
  <c r="E12" i="20" s="1"/>
  <c r="E11" i="20" a="1"/>
  <c r="E11" i="20" s="1"/>
  <c r="E10" i="20" a="1"/>
  <c r="E10" i="20" s="1"/>
  <c r="E9" i="20" a="1"/>
  <c r="E9" i="20" s="1"/>
  <c r="E8" i="20" a="1"/>
  <c r="E8" i="20" s="1"/>
  <c r="B10" i="33" a="1"/>
  <c r="B10" i="33" s="1"/>
  <c r="B8" i="33" a="1"/>
  <c r="B8" i="33" s="1"/>
  <c r="B7" i="33" a="1"/>
  <c r="B7" i="33" s="1"/>
  <c r="B10" i="32" a="1"/>
  <c r="B10" i="32" s="1"/>
  <c r="B8" i="32" a="1"/>
  <c r="B8" i="32" s="1"/>
  <c r="B7" i="32" a="1"/>
  <c r="B7" i="32" s="1"/>
  <c r="B10" i="31" a="1"/>
  <c r="B10" i="31" s="1"/>
  <c r="B8" i="31" a="1"/>
  <c r="B8" i="31" s="1"/>
  <c r="B7" i="31" a="1"/>
  <c r="B7" i="31" s="1"/>
  <c r="B10" i="30" a="1"/>
  <c r="B10" i="30" s="1"/>
  <c r="B8" i="30" a="1"/>
  <c r="B8" i="30" s="1"/>
  <c r="B7" i="30" a="1"/>
  <c r="B7" i="30" s="1"/>
  <c r="B10" i="29" a="1"/>
  <c r="B10" i="29" s="1"/>
  <c r="B8" i="29" a="1"/>
  <c r="B8" i="29" s="1"/>
  <c r="B7" i="29" a="1"/>
  <c r="B7" i="29" s="1"/>
  <c r="B10" i="28" a="1"/>
  <c r="B10" i="28" s="1"/>
  <c r="B8" i="28" a="1"/>
  <c r="B8" i="28" s="1"/>
  <c r="B7" i="28" a="1"/>
  <c r="B7" i="28" s="1"/>
  <c r="B10" i="27" a="1"/>
  <c r="B10" i="27" s="1"/>
  <c r="B8" i="27" a="1"/>
  <c r="B8" i="27" s="1"/>
  <c r="B7" i="27" a="1"/>
  <c r="B7" i="27" s="1"/>
  <c r="B10" i="26" a="1"/>
  <c r="B10" i="26" s="1"/>
  <c r="B8" i="26" a="1"/>
  <c r="B8" i="26" s="1"/>
  <c r="B7" i="26" a="1"/>
  <c r="B7" i="26" s="1"/>
  <c r="B10" i="25" a="1"/>
  <c r="B10" i="25" s="1"/>
  <c r="B8" i="25" a="1"/>
  <c r="B8" i="25" s="1"/>
  <c r="B7" i="25" a="1"/>
  <c r="B7" i="25" s="1"/>
  <c r="B10" i="24" a="1"/>
  <c r="B10" i="24" s="1"/>
  <c r="B8" i="24" a="1"/>
  <c r="B8" i="24" s="1"/>
  <c r="B7" i="24" a="1"/>
  <c r="B7" i="24" s="1"/>
  <c r="B10" i="23" a="1"/>
  <c r="B10" i="23" s="1"/>
  <c r="B8" i="23" a="1"/>
  <c r="B8" i="23" s="1"/>
  <c r="B7" i="23" a="1"/>
  <c r="B7" i="23" s="1"/>
  <c r="B10" i="22" a="1"/>
  <c r="B10" i="22" s="1"/>
  <c r="B8" i="22" a="1"/>
  <c r="B8" i="22" s="1"/>
  <c r="B7" i="22" a="1"/>
  <c r="B7" i="22" s="1"/>
  <c r="B10" i="21" a="1"/>
  <c r="B10" i="21" s="1"/>
  <c r="B8" i="21" a="1"/>
  <c r="B8" i="21" s="1"/>
  <c r="B7" i="21" a="1"/>
  <c r="B7" i="21" s="1"/>
  <c r="B10" i="20" a="1"/>
  <c r="B10" i="20" s="1"/>
  <c r="B8" i="20" a="1"/>
  <c r="B8" i="20" s="1"/>
  <c r="B7" i="20" a="1"/>
  <c r="B7" i="20" s="1"/>
  <c r="E10" i="19" a="1"/>
  <c r="E10" i="19" s="1"/>
  <c r="E11" i="19" a="1"/>
  <c r="E11" i="19" s="1"/>
  <c r="E12" i="19" a="1"/>
  <c r="E12" i="19" s="1"/>
  <c r="E7" i="19" a="1"/>
  <c r="E7" i="19" s="1"/>
  <c r="B8" i="19" a="1"/>
  <c r="B8" i="19" s="1"/>
  <c r="B10" i="19" a="1"/>
  <c r="B10" i="19" s="1"/>
  <c r="B7" i="19" a="1"/>
  <c r="B7" i="19" s="1"/>
  <c r="E9" i="18" a="1"/>
  <c r="E9" i="18"/>
  <c r="E10" i="18" a="1"/>
  <c r="E10" i="18" s="1"/>
  <c r="E11" i="18" a="1"/>
  <c r="E11" i="18" s="1"/>
  <c r="E12" i="18" a="1"/>
  <c r="E12" i="18" s="1"/>
  <c r="E7" i="18" a="1"/>
  <c r="E7" i="18" s="1"/>
  <c r="B8" i="18" a="1"/>
  <c r="B8" i="18" s="1"/>
  <c r="B10" i="18" a="1"/>
  <c r="B10" i="18" s="1"/>
  <c r="B7" i="18" a="1"/>
  <c r="B7" i="18" s="1"/>
  <c r="E10" i="17" a="1"/>
  <c r="E10" i="17" s="1"/>
  <c r="E11" i="17" a="1"/>
  <c r="E11" i="17" s="1"/>
  <c r="E12" i="17" a="1"/>
  <c r="E12" i="17" s="1"/>
  <c r="E7" i="17" a="1"/>
  <c r="E7" i="17" s="1"/>
  <c r="B8" i="17" a="1"/>
  <c r="B8" i="17" s="1"/>
  <c r="B10" i="17" a="1"/>
  <c r="B10" i="17"/>
  <c r="B7" i="17" a="1"/>
  <c r="B7" i="17" s="1"/>
  <c r="E8" i="16" a="1"/>
  <c r="E8" i="16" s="1"/>
  <c r="E9" i="16" a="1"/>
  <c r="E9" i="16" s="1"/>
  <c r="E10" i="16" a="1"/>
  <c r="E10" i="16" s="1"/>
  <c r="E11" i="16" a="1"/>
  <c r="E11" i="16"/>
  <c r="E12" i="16" a="1"/>
  <c r="E12" i="16" s="1"/>
  <c r="B8" i="16" a="1"/>
  <c r="B8" i="16"/>
  <c r="B10" i="16" a="1"/>
  <c r="B10" i="16" s="1"/>
  <c r="B7" i="16" a="1"/>
  <c r="B7" i="16" s="1"/>
  <c r="E9" i="15" a="1"/>
  <c r="E9" i="15" s="1"/>
  <c r="E10" i="15" a="1"/>
  <c r="E10" i="15" s="1"/>
  <c r="E11" i="15" a="1"/>
  <c r="E11" i="15" s="1"/>
  <c r="E12" i="15" a="1"/>
  <c r="E12" i="15" s="1"/>
  <c r="B8" i="15" a="1"/>
  <c r="B8" i="15"/>
  <c r="B10" i="15" a="1"/>
  <c r="B10" i="15" s="1"/>
  <c r="B7" i="15" a="1"/>
  <c r="B7" i="15" s="1"/>
  <c r="E10" i="14" a="1"/>
  <c r="E10" i="14"/>
  <c r="E11" i="14" a="1"/>
  <c r="E11" i="14"/>
  <c r="E12" i="14" a="1"/>
  <c r="E12" i="14" s="1"/>
  <c r="B8" i="14" a="1"/>
  <c r="B8" i="14"/>
  <c r="B10" i="14" a="1"/>
  <c r="B10" i="14"/>
  <c r="B7" i="14" a="1"/>
  <c r="B7" i="14" s="1"/>
  <c r="E10" i="13" a="1"/>
  <c r="E10" i="13" s="1"/>
  <c r="E11" i="13" a="1"/>
  <c r="E11" i="13"/>
  <c r="E12" i="13" a="1"/>
  <c r="E12" i="13" s="1"/>
  <c r="B8" i="13" a="1"/>
  <c r="B8" i="13"/>
  <c r="B10" i="13" a="1"/>
  <c r="B10" i="13" s="1"/>
  <c r="B7" i="13" a="1"/>
  <c r="B7" i="13" s="1"/>
  <c r="E10" i="12" a="1"/>
  <c r="E10" i="12" s="1"/>
  <c r="E11" i="12" a="1"/>
  <c r="E11" i="12" s="1"/>
  <c r="E12" i="12" a="1"/>
  <c r="E12" i="12" s="1"/>
  <c r="E7" i="12" a="1"/>
  <c r="E7" i="12" s="1"/>
  <c r="B8" i="12" a="1"/>
  <c r="B8" i="12" s="1"/>
  <c r="B10" i="12" a="1"/>
  <c r="B10" i="12"/>
  <c r="B7" i="12" a="1"/>
  <c r="B7" i="12" s="1"/>
  <c r="E9" i="11" a="1"/>
  <c r="E9" i="11" s="1"/>
  <c r="E10" i="11" a="1"/>
  <c r="E10" i="11" s="1"/>
  <c r="E11" i="11" a="1"/>
  <c r="E11" i="11" s="1"/>
  <c r="E12" i="11" a="1"/>
  <c r="E12" i="11" s="1"/>
  <c r="E7" i="11" a="1"/>
  <c r="E7" i="11" s="1"/>
  <c r="B10" i="11" a="1"/>
  <c r="B10" i="11" s="1"/>
  <c r="B8" i="11" a="1"/>
  <c r="B8" i="11" s="1"/>
  <c r="B7" i="11" a="1"/>
  <c r="B7" i="11" s="1"/>
  <c r="E10" i="10" a="1"/>
  <c r="E10" i="10"/>
  <c r="E11" i="10" a="1"/>
  <c r="E11" i="10"/>
  <c r="E12" i="10" a="1"/>
  <c r="E12" i="10" s="1"/>
  <c r="B8" i="10" a="1"/>
  <c r="B8" i="10" s="1"/>
  <c r="B10" i="10" a="1"/>
  <c r="B10" i="10" s="1"/>
  <c r="B7" i="10" a="1"/>
  <c r="B7" i="10" s="1"/>
  <c r="E8" i="9" a="1"/>
  <c r="E8" i="9" s="1"/>
  <c r="E10" i="9" a="1"/>
  <c r="E10" i="9" s="1"/>
  <c r="E11" i="9" a="1"/>
  <c r="E11" i="9" s="1"/>
  <c r="E12" i="9" a="1"/>
  <c r="E12" i="9" s="1"/>
  <c r="E7" i="9" a="1"/>
  <c r="E7" i="9" s="1"/>
  <c r="B8" i="9" a="1"/>
  <c r="B8" i="9" s="1"/>
  <c r="B10" i="9" a="1"/>
  <c r="B10" i="9" s="1"/>
  <c r="B7" i="9" a="1"/>
  <c r="B7" i="9" s="1"/>
  <c r="E10" i="8" a="1"/>
  <c r="E10" i="8"/>
  <c r="E11" i="8" a="1"/>
  <c r="E11" i="8"/>
  <c r="E12" i="8" a="1"/>
  <c r="E12" i="8" s="1"/>
  <c r="B8" i="8" a="1"/>
  <c r="B8" i="8" s="1"/>
  <c r="B10" i="8" a="1"/>
  <c r="B10" i="8" s="1"/>
  <c r="B7" i="8" a="1"/>
  <c r="B7" i="8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7" i="7" a="1"/>
  <c r="E7" i="7" s="1"/>
  <c r="B8" i="7" a="1"/>
  <c r="B8" i="7" s="1"/>
  <c r="B10" i="7" a="1"/>
  <c r="B10" i="7" s="1"/>
  <c r="B7" i="7" a="1"/>
  <c r="B7" i="7" s="1"/>
  <c r="E10" i="6" a="1"/>
  <c r="E10" i="6"/>
  <c r="E11" i="6" a="1"/>
  <c r="E11" i="6"/>
  <c r="E12" i="6" a="1"/>
  <c r="E12" i="6" s="1"/>
  <c r="B8" i="6" a="1"/>
  <c r="B8" i="6" s="1"/>
  <c r="B10" i="6" a="1"/>
  <c r="B10" i="6" s="1"/>
  <c r="B7" i="6" a="1"/>
  <c r="B7" i="6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10" i="3" a="1"/>
  <c r="B10" i="3" s="1"/>
  <c r="B7" i="3" a="1"/>
  <c r="B7" i="3" s="1"/>
  <c r="E9" i="5" a="1"/>
  <c r="E9" i="5" s="1"/>
  <c r="E9" i="34" s="1" a="1"/>
  <c r="E9" i="34" s="1"/>
  <c r="E8" i="5" a="1"/>
  <c r="E8" i="5" s="1"/>
  <c r="E8" i="34" s="1" a="1"/>
  <c r="E8" i="34" s="1"/>
  <c r="E7" i="5" a="1"/>
  <c r="E7" i="5" s="1"/>
  <c r="E7" i="34" s="1" a="1"/>
  <c r="E7" i="34" s="1"/>
  <c r="B9" i="5" a="1"/>
  <c r="B9" i="5" s="1"/>
  <c r="B9" i="34" s="1" a="1"/>
  <c r="B9" i="34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34" i="1"/>
  <c r="G38" i="1"/>
  <c r="G29" i="1"/>
  <c r="G12" i="1"/>
  <c r="G40" i="1"/>
  <c r="G28" i="1"/>
  <c r="G33" i="1"/>
  <c r="G27" i="1"/>
  <c r="G20" i="1"/>
  <c r="G26" i="1"/>
  <c r="G36" i="1"/>
  <c r="G39" i="1"/>
  <c r="G32" i="1"/>
  <c r="G24" i="1"/>
  <c r="G22" i="1"/>
  <c r="G16" i="1"/>
  <c r="G18" i="1"/>
  <c r="G21" i="1"/>
  <c r="G19" i="1"/>
  <c r="G30" i="1"/>
  <c r="G25" i="1"/>
  <c r="G17" i="1"/>
  <c r="G23" i="1"/>
  <c r="G14" i="1"/>
  <c r="H41" i="1" a="1"/>
  <c r="G35" i="1"/>
  <c r="G11" i="1"/>
  <c r="G31" i="1"/>
  <c r="G15" i="1"/>
  <c r="G37" i="1"/>
  <c r="G13" i="1"/>
  <c r="H41" i="1" l="1"/>
  <c r="B9" i="7" a="1"/>
  <c r="B9" i="7" s="1"/>
  <c r="B9" i="9" a="1"/>
  <c r="B9" i="9" s="1"/>
  <c r="B9" i="11" a="1"/>
  <c r="B9" i="11" s="1"/>
  <c r="B9" i="18" a="1"/>
  <c r="B9" i="18" s="1"/>
  <c r="B9" i="20" a="1"/>
  <c r="B9" i="20" s="1"/>
  <c r="B9" i="22" a="1"/>
  <c r="B9" i="22" s="1"/>
  <c r="B9" i="24" a="1"/>
  <c r="B9" i="24" s="1"/>
  <c r="B9" i="26" a="1"/>
  <c r="B9" i="26" s="1"/>
  <c r="B9" i="28" a="1"/>
  <c r="B9" i="28" s="1"/>
  <c r="B9" i="30" a="1"/>
  <c r="B9" i="30" s="1"/>
  <c r="B9" i="32" a="1"/>
  <c r="B9" i="32" s="1"/>
  <c r="E8" i="29" a="1"/>
  <c r="E8" i="29" s="1"/>
  <c r="E8" i="33" a="1"/>
  <c r="E8" i="33" s="1"/>
  <c r="B9" i="3" a="1"/>
  <c r="B9" i="3" s="1"/>
  <c r="E8" i="11" a="1"/>
  <c r="E8" i="11" s="1"/>
  <c r="B9" i="13" a="1"/>
  <c r="B9" i="13" s="1"/>
  <c r="B9" i="15" a="1"/>
  <c r="B9" i="15" s="1"/>
  <c r="E7" i="16" a="1"/>
  <c r="E7" i="16" s="1"/>
  <c r="E8" i="18" a="1"/>
  <c r="E8" i="18" s="1"/>
  <c r="E8" i="23" a="1"/>
  <c r="E8" i="23" s="1"/>
  <c r="E9" i="24" a="1"/>
  <c r="E9" i="24" s="1"/>
  <c r="E7" i="28" a="1"/>
  <c r="E7" i="28" s="1"/>
  <c r="E9" i="29" a="1"/>
  <c r="E9" i="29" s="1"/>
  <c r="E7" i="32" a="1"/>
  <c r="E7" i="32" s="1"/>
  <c r="E9" i="33" a="1"/>
  <c r="E9" i="33" s="1"/>
  <c r="B9" i="6" a="1"/>
  <c r="B9" i="6" s="1"/>
  <c r="B9" i="8" a="1"/>
  <c r="B9" i="8" s="1"/>
  <c r="E8" i="15" a="1"/>
  <c r="E8" i="15" s="1"/>
  <c r="E8" i="22" a="1"/>
  <c r="E8" i="22" s="1"/>
  <c r="E7" i="27" a="1"/>
  <c r="E7" i="27" s="1"/>
  <c r="E9" i="28" a="1"/>
  <c r="E9" i="28" s="1"/>
  <c r="E7" i="31" a="1"/>
  <c r="E7" i="31" s="1"/>
  <c r="E9" i="32" a="1"/>
  <c r="E9" i="32" s="1"/>
  <c r="E9" i="6" a="1"/>
  <c r="E9" i="6" s="1"/>
  <c r="E9" i="8" a="1"/>
  <c r="E9" i="8" s="1"/>
  <c r="B9" i="10" a="1"/>
  <c r="B9" i="10" s="1"/>
  <c r="E9" i="10" a="1"/>
  <c r="E9" i="10" s="1"/>
  <c r="E7" i="13" a="1"/>
  <c r="E7" i="13" s="1"/>
  <c r="E9" i="13" a="1"/>
  <c r="E9" i="13" s="1"/>
  <c r="E9" i="14" a="1"/>
  <c r="E9" i="14" s="1"/>
  <c r="E7" i="15" a="1"/>
  <c r="E7" i="15" s="1"/>
  <c r="E9" i="17" a="1"/>
  <c r="E9" i="17" s="1"/>
  <c r="E9" i="19" a="1"/>
  <c r="E9" i="19" s="1"/>
  <c r="B9" i="21" a="1"/>
  <c r="B9" i="21" s="1"/>
  <c r="B9" i="23" a="1"/>
  <c r="B9" i="23" s="1"/>
  <c r="B9" i="25" a="1"/>
  <c r="B9" i="25" s="1"/>
  <c r="B9" i="27" a="1"/>
  <c r="B9" i="27" s="1"/>
  <c r="B9" i="29" a="1"/>
  <c r="B9" i="29" s="1"/>
  <c r="B9" i="31" a="1"/>
  <c r="B9" i="31" s="1"/>
  <c r="B9" i="33" a="1"/>
  <c r="B9" i="33" s="1"/>
  <c r="E7" i="21" a="1"/>
  <c r="E7" i="21" s="1"/>
  <c r="E9" i="22" a="1"/>
  <c r="E9" i="22" s="1"/>
  <c r="E7" i="26" a="1"/>
  <c r="E7" i="26" s="1"/>
  <c r="E8" i="27" a="1"/>
  <c r="E8" i="27" s="1"/>
  <c r="E8" i="31" a="1"/>
  <c r="E8" i="31" s="1"/>
  <c r="B9" i="14" a="1"/>
  <c r="B9" i="14" s="1"/>
  <c r="E7" i="6" a="1"/>
  <c r="E7" i="6" s="1"/>
  <c r="E8" i="6" a="1"/>
  <c r="E8" i="6" s="1"/>
  <c r="E8" i="8" a="1"/>
  <c r="E8" i="8" s="1"/>
  <c r="E8" i="10" a="1"/>
  <c r="E8" i="10" s="1"/>
  <c r="B9" i="12" a="1"/>
  <c r="B9" i="12" s="1"/>
  <c r="E9" i="12" a="1"/>
  <c r="E9" i="12" s="1"/>
  <c r="E8" i="13" a="1"/>
  <c r="E8" i="13" s="1"/>
  <c r="E7" i="14" a="1"/>
  <c r="E7" i="14" s="1"/>
  <c r="B9" i="17" a="1"/>
  <c r="B9" i="17" s="1"/>
  <c r="E8" i="17" a="1"/>
  <c r="E8" i="17" s="1"/>
  <c r="B9" i="19" a="1"/>
  <c r="B9" i="19" s="1"/>
  <c r="E8" i="19" a="1"/>
  <c r="E8" i="19" s="1"/>
  <c r="E8" i="21" a="1"/>
  <c r="E8" i="21" s="1"/>
  <c r="E7" i="25" a="1"/>
  <c r="E7" i="25" s="1"/>
  <c r="E8" i="26" a="1"/>
  <c r="E8" i="26" s="1"/>
  <c r="E9" i="27" a="1"/>
  <c r="E9" i="27" s="1"/>
  <c r="E7" i="30" a="1"/>
  <c r="E7" i="30" s="1"/>
  <c r="E9" i="31" a="1"/>
  <c r="E9" i="31" s="1"/>
  <c r="E7" i="8" a="1"/>
  <c r="E7" i="8" s="1"/>
  <c r="E9" i="9" a="1"/>
  <c r="E9" i="9" s="1"/>
  <c r="E7" i="10" a="1"/>
  <c r="E7" i="10" s="1"/>
  <c r="E8" i="12" a="1"/>
  <c r="E8" i="12" s="1"/>
  <c r="E8" i="14" a="1"/>
  <c r="E8" i="14" s="1"/>
  <c r="B9" i="16" a="1"/>
  <c r="B9" i="16" s="1"/>
  <c r="E7" i="20" a="1"/>
  <c r="E7" i="20" s="1"/>
  <c r="E9" i="21" a="1"/>
  <c r="E9" i="21" s="1"/>
  <c r="E7" i="24" a="1"/>
  <c r="E7" i="24" s="1"/>
  <c r="E8" i="25" a="1"/>
  <c r="E8" i="25" s="1"/>
  <c r="E9" i="26" a="1"/>
  <c r="E9" i="26" s="1"/>
  <c r="E8" i="30" a="1"/>
  <c r="E8" i="30" s="1"/>
  <c r="H16" i="1" a="1"/>
  <c r="H11" i="1" a="1"/>
  <c r="H20" i="1" a="1"/>
  <c r="H12" i="1" a="1"/>
  <c r="H15" i="1" a="1"/>
  <c r="H39" i="1" a="1"/>
  <c r="H31" i="1" a="1"/>
  <c r="H34" i="1" a="1"/>
  <c r="H33" i="1" a="1"/>
  <c r="H36" i="1" a="1"/>
  <c r="H22" i="1" a="1"/>
  <c r="H37" i="1" a="1"/>
  <c r="H40" i="1" a="1"/>
  <c r="H17" i="1" a="1"/>
  <c r="H18" i="1" a="1"/>
  <c r="H27" i="1" a="1"/>
  <c r="H29" i="1" a="1"/>
  <c r="H13" i="1" a="1"/>
  <c r="H24" i="1" a="1"/>
  <c r="H26" i="1" a="1"/>
  <c r="H21" i="1" a="1"/>
  <c r="H23" i="1" a="1"/>
  <c r="H38" i="1" a="1"/>
  <c r="H30" i="1" a="1"/>
  <c r="H19" i="1" a="1"/>
  <c r="H25" i="1" a="1"/>
  <c r="H35" i="1" a="1"/>
  <c r="H14" i="1" a="1"/>
  <c r="H28" i="1" a="1"/>
  <c r="H32" i="1" a="1"/>
  <c r="H18" i="1" l="1"/>
  <c r="H20" i="1"/>
  <c r="H21" i="1"/>
  <c r="H15" i="1"/>
  <c r="H26" i="1"/>
  <c r="H17" i="1"/>
  <c r="H33" i="1"/>
  <c r="H34" i="1"/>
  <c r="H32" i="1"/>
  <c r="H14" i="1"/>
  <c r="H12" i="1"/>
  <c r="H25" i="1"/>
  <c r="H36" i="1"/>
  <c r="H16" i="1"/>
  <c r="H22" i="1"/>
  <c r="H27" i="1"/>
  <c r="H13" i="1"/>
  <c r="H35" i="1"/>
  <c r="H29" i="1"/>
  <c r="H19" i="1"/>
  <c r="H31" i="1"/>
  <c r="H30" i="1"/>
  <c r="H24" i="1"/>
  <c r="H28" i="1"/>
  <c r="H39" i="1"/>
  <c r="H11" i="1"/>
  <c r="H37" i="1"/>
  <c r="H38" i="1"/>
  <c r="H23" i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5C58DC1-361C-46F8-9098-06809D320F9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685E11-8192-4E14-9A50-6CA6E2373F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B2F5958-875F-489B-B6E2-95ECB159548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9095F86-06F9-48B5-9878-14D0BE04B1D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92B3D5E-070F-46FB-AF8D-2A951F681E4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848556C-8343-4250-ADC9-ECEBCB5BF10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76FED3F-645A-4649-AE4F-6E0C401A50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A577BA-87CB-4DCA-992F-751DCB9DB2F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EBBC308-FB05-460F-B9A3-A3809458E3E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C159AAE-1EF1-4B53-BB8F-191603F586F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1FC3DD1-53F2-48AD-A447-AA58C873E37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2E26E7C-A0F5-4723-B2C6-B019AD81240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5D9EC5D-DD51-4DDE-A249-9D3AF5BFEB5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F9685A0-6AD3-4590-8556-D737D0573A5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C1E86F7-2CC7-40E5-9DAC-BEAD8A675AB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96EDE7F-EFD3-4878-92B8-0498A0563E2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729E824-8FAA-4BBA-BE02-F671ACE060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62DE017-0117-432D-9857-05B72F5B364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9A816B3-F3AE-4F93-A083-A75683F4D9F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B2E2302-99D7-41D1-8552-84B114F811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0DDD01A-6EF0-4438-BEB3-9C31A866A40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2306CC-C973-4048-84EC-3EF6A101DB7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B2B94B5-792B-469B-B670-1B2C2FFD290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2E57ABF-13E9-4E71-87B3-0D34D43FDA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5BADD9-5244-4C13-9A64-D8BADFF05A2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FCEF20F-9FA4-46F6-A20E-7C0883E1928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CD3260-C6F4-4C62-A579-0DE96989F9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0A6570C-2B65-4742-8F96-373B5B688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DDA2F5C-7C5D-4814-AFD4-EF8C274EF7A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320B209-4147-40B9-9185-637FFCE9A95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E5B5C2-29F7-42F6-8156-BCF0D96A0BF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1554D73-1437-46DE-BEA0-09ED6168C95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E3DC56E-E28C-4F42-BECE-E3349F3130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4595108-7F7D-4FF2-B783-984F8891C8E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BD5FE90-29BB-4DE8-B00D-34C2BDB292B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129E012-CFC0-47E4-899C-2E3503EA35F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4CB0A9B-8FF0-4057-87D8-643BCC0871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14FAE10-3BE3-4D62-8E86-E280B1E3CE5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EE9D5BF-71E2-4AD0-9CBC-5E8136DB95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67D6C06-ED70-4797-BDE9-EF5ECD323F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44C3DFC-D98D-4501-8FC7-4AE03EA41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9D7177-FFEC-4CAC-8126-AB80E1AC511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EEEB1B6-4A36-44AF-A6DE-B6517124408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2914CDB-63D3-48D6-9D3C-4CBD2AA93E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9F2FBC-115E-46E8-B409-8C44E6EC122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11ECDC3-7429-4EBB-978C-1464844885E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<sst xmlns="http://schemas.openxmlformats.org/spreadsheetml/2006/main" count="757" uniqueCount="58">
  <si>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</si>
  <si>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</si>
  <si>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</si>
  <si>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</si>
  <si>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</si>
  <si>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</si>
  <si>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</si>
  <si>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</si>
  <si>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</si>
  <si>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</si>
  <si>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</si>
  <si>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</si>
  <si>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</si>
  <si>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</si>
  <si>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</si>
  <si>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</si>
  <si>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</si>
  <si>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</si>
  <si>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</si>
  <si>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</si>
  <si>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</si>
  <si>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</si>
  <si>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CA3 Fontibón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</si>
  <si>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</si>
  <si>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</si>
  <si>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</si>
  <si>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</si>
  <si>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</si>
  <si>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</si>
  <si>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</si>
  <si>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</si>
  <si>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</si>
  <si>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</si>
  <si>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</si>
  <si>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</si>
  <si>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</si>
  <si>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Fontibón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</si>
  <si>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</si>
  <si>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</si>
  <si>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</si>
  <si>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</si>
  <si>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</si>
  <si>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</si>
  <si>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</si>
  <si>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</si>
  <si>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</si>
  <si>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</si>
  <si>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</si>
  <si>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</si>
  <si>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</si>
  <si>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</si>
  <si>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</si>
  <si>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</si>
  <si>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</si>
  <si>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</si>
  <si>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</si>
  <si>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</si>
  <si>
    <t>se abre shellter revision anla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</si>
</sst>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2" xfId="0" applyFont="1" applyBorder="1" applyAlignment="1">
      <alignment vertical="center"/>
    </xf>
    <xf numFmtId="0" fontId="15" fillId="5" borderId="42" xfId="1" applyFont="1" applyFill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/>
    </xf>
    <xf numFmtId="164" fontId="13" fillId="0" borderId="42" xfId="1" applyNumberFormat="1" applyFont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 wrapText="1"/>
    </xf>
    <xf numFmtId="1" fontId="14" fillId="6" borderId="42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1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2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2" xfId="1" applyFont="1" applyFill="1" applyBorder="1" applyAlignment="1">
      <alignment horizontal="center" vertical="center" wrapText="1"/>
    </xf>
    <xf numFmtId="164" fontId="13" fillId="0" borderId="42" xfId="1" applyNumberFormat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topLeftCell="A14" zoomScale="82" zoomScaleNormal="100" zoomScaleSheetLayoutView="100" workbookViewId="0">
      <selection activeCell="I25" sqref="I25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81"/>
      <c r="B1" s="82"/>
      <c r="C1" s="100" t="s">
        <v>0</v>
      </c>
      <c r="D1" s="101"/>
      <c r="E1" s="101"/>
      <c r="F1" s="101"/>
      <c r="G1" s="101"/>
      <c r="H1" s="102"/>
      <c r="I1" s="78" t="s">
        <v>1</v>
      </c>
      <c r="K1" s="1"/>
      <c r="L1" s="1"/>
    </row>
    <row r="2" spans="1:12" ht="22.5" customHeight="1" x14ac:dyDescent="0.25">
      <c r="A2" s="83"/>
      <c r="B2" s="84"/>
      <c r="C2" s="103"/>
      <c r="D2" s="104"/>
      <c r="E2" s="104"/>
      <c r="F2" s="104"/>
      <c r="G2" s="104"/>
      <c r="H2" s="105"/>
      <c r="I2" s="79"/>
      <c r="K2" s="1"/>
      <c r="L2" s="1"/>
    </row>
    <row r="3" spans="1:12" ht="22.5" customHeight="1" thickBot="1" x14ac:dyDescent="0.3">
      <c r="A3" s="85"/>
      <c r="B3" s="86"/>
      <c r="C3" s="106" t="s">
        <v>2</v>
      </c>
      <c r="D3" s="107"/>
      <c r="E3" s="107"/>
      <c r="F3" s="107"/>
      <c r="G3" s="107"/>
      <c r="H3" s="108"/>
      <c r="I3" s="80"/>
      <c r="K3" s="2"/>
      <c r="L3" s="2"/>
    </row>
    <row r="4" spans="1:12" ht="6.75" customHeight="1" thickBot="1" x14ac:dyDescent="0.3">
      <c r="A4" s="36"/>
      <c r="B4" s="37"/>
      <c r="C4" s="37"/>
      <c r="D4" s="37"/>
      <c r="E4" s="37"/>
      <c r="F4" s="37"/>
      <c r="G4" s="37"/>
      <c r="H4" s="37"/>
      <c r="I4" s="38"/>
    </row>
    <row r="5" spans="1:12" x14ac:dyDescent="0.25">
      <c r="A5" s="113" t="s">
        <v>3</v>
      </c>
      <c r="B5" s="114"/>
      <c r="C5" s="121" t="s">
        <v>4</v>
      </c>
      <c r="D5" s="121"/>
      <c r="E5" s="121"/>
      <c r="F5" s="121"/>
      <c r="G5" s="121"/>
      <c r="H5" s="121"/>
      <c r="I5" s="122"/>
    </row>
    <row r="6" spans="1:12" x14ac:dyDescent="0.25">
      <c r="A6" s="115" t="s">
        <v>5</v>
      </c>
      <c r="B6" s="116"/>
      <c r="C6" s="90" t="s">
        <v>6</v>
      </c>
      <c r="D6" s="90"/>
      <c r="E6" s="13" t="s">
        <v>7</v>
      </c>
      <c r="F6" s="42" t="s">
        <v>8</v>
      </c>
      <c r="G6" s="13" t="s">
        <v>9</v>
      </c>
      <c r="H6" s="90">
        <v>2075936.9809999999</v>
      </c>
      <c r="I6" s="111"/>
    </row>
    <row r="7" spans="1:12" ht="15.75" thickBot="1" x14ac:dyDescent="0.3">
      <c r="A7" s="117" t="s">
        <v>10</v>
      </c>
      <c r="B7" s="118"/>
      <c r="C7" s="91" t="s">
        <v>11</v>
      </c>
      <c r="D7" s="91"/>
      <c r="E7" s="14" t="s">
        <v>12</v>
      </c>
      <c r="F7" s="43">
        <v>2003261503</v>
      </c>
      <c r="G7" s="14" t="s">
        <v>13</v>
      </c>
      <c r="H7" s="91">
        <v>4872999.3279999997</v>
      </c>
      <c r="I7" s="112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92" t="s">
        <v>14</v>
      </c>
      <c r="B9" s="93"/>
      <c r="C9" s="89" t="s">
        <v>15</v>
      </c>
      <c r="D9" s="89"/>
      <c r="E9" s="96" t="s">
        <v>16</v>
      </c>
      <c r="F9" s="97"/>
      <c r="G9" s="98" t="s">
        <v>17</v>
      </c>
      <c r="H9" s="109" t="s">
        <v>18</v>
      </c>
      <c r="I9" s="87" t="s">
        <v>19</v>
      </c>
    </row>
    <row r="10" spans="1:12" ht="15.75" thickBot="1" x14ac:dyDescent="0.3">
      <c r="A10" s="94"/>
      <c r="B10" s="95"/>
      <c r="C10" s="11" t="s">
        <v>20</v>
      </c>
      <c r="D10" s="11" t="s">
        <v>21</v>
      </c>
      <c r="E10" s="11" t="s">
        <v>20</v>
      </c>
      <c r="F10" s="11" t="s">
        <v>21</v>
      </c>
      <c r="G10" s="99"/>
      <c r="H10" s="110"/>
      <c r="I10" s="88"/>
    </row>
    <row r="11" spans="1:12" ht="18" customHeight="1" x14ac:dyDescent="0.25">
      <c r="A11" s="119" t="s">
        <v>22</v>
      </c>
      <c r="B11" s="120"/>
      <c r="C11" s="35">
        <v>46054</v>
      </c>
      <c r="D11" s="10">
        <v>0</v>
      </c>
      <c r="E11" s="35">
        <f>C11</f>
        <v>46054</v>
      </c>
      <c r="F11" s="10">
        <v>0.95833333333333337</v>
      </c>
      <c r="G11" s="15">
        <f ca="1">COUNT(INDIRECT("'Dia " &amp; ROW()-10 &amp; "'!C21:C45"))</f>
        <v>24</v>
      </c>
      <c r="H11" s="41" cm="1">
        <f t="array" aca="1" ref="H11" ca="1">IF(G11=24,INDIRECT("'" &amp; "Dia " &amp; ROW()-10 &amp; "'!C47"),"-")</f>
        <v>1.3930508375036301</v>
      </c>
      <c r="I11" s="44"/>
    </row>
    <row r="12" spans="1:12" ht="18" customHeight="1" x14ac:dyDescent="0.25">
      <c r="A12" s="119" t="s">
        <v>22</v>
      </c>
      <c r="B12" s="120"/>
      <c r="C12" s="35">
        <v>46055</v>
      </c>
      <c r="D12" s="10">
        <v>0</v>
      </c>
      <c r="E12" s="35">
        <f t="shared" ref="E12:E41" si="0">C12</f>
        <v>46055</v>
      </c>
      <c r="F12" s="10">
        <v>0.95833333333333337</v>
      </c>
      <c r="G12" s="15">
        <f t="shared" ref="G12:G41" ca="1" si="1">COUNT(INDIRECT("'Dia " &amp; ROW()-10 &amp; "'!C21:C45"))</f>
        <v>24</v>
      </c>
      <c r="H12" s="41" cm="1">
        <f t="array" aca="1" ref="H12" ca="1">IF(G12=24,INDIRECT("'" &amp; "Dia " &amp; ROW()-10 &amp; "'!C47"),"-")</f>
        <v>1.2069631912065653</v>
      </c>
      <c r="I12" s="44"/>
    </row>
    <row r="13" spans="1:12" ht="18" customHeight="1" x14ac:dyDescent="0.25">
      <c r="A13" s="119" t="s">
        <v>22</v>
      </c>
      <c r="B13" s="120"/>
      <c r="C13" s="35">
        <v>46056</v>
      </c>
      <c r="D13" s="10">
        <v>0</v>
      </c>
      <c r="E13" s="35">
        <f t="shared" si="0"/>
        <v>46056</v>
      </c>
      <c r="F13" s="10">
        <v>0.95833333333333304</v>
      </c>
      <c r="G13" s="15">
        <f t="shared" ca="1" si="1"/>
        <v>24</v>
      </c>
      <c r="H13" s="41" cm="1">
        <f t="array" aca="1" ref="H13" ca="1">IF(G13=24,INDIRECT("'" &amp; "Dia " &amp; ROW()-10 &amp; "'!C47"),"-")</f>
        <v>1.3241317308257929</v>
      </c>
      <c r="I13" s="44"/>
    </row>
    <row r="14" spans="1:12" ht="18" customHeight="1" x14ac:dyDescent="0.25">
      <c r="A14" s="119" t="s">
        <v>22</v>
      </c>
      <c r="B14" s="120"/>
      <c r="C14" s="35">
        <v>46057</v>
      </c>
      <c r="D14" s="10">
        <v>0</v>
      </c>
      <c r="E14" s="35">
        <f t="shared" si="0"/>
        <v>46057</v>
      </c>
      <c r="F14" s="10">
        <v>0.95833333333333304</v>
      </c>
      <c r="G14" s="15">
        <f t="shared" ca="1" si="1"/>
        <v>24</v>
      </c>
      <c r="H14" s="41" cm="1">
        <f t="array" aca="1" ref="H14" ca="1">IF(G14=24,INDIRECT("'" &amp; "Dia " &amp; ROW()-10 &amp; "'!C47"),"-")</f>
        <v>1.3205464935649434</v>
      </c>
      <c r="I14" s="44"/>
    </row>
    <row r="15" spans="1:12" ht="18" customHeight="1" x14ac:dyDescent="0.25">
      <c r="A15" s="119" t="s">
        <v>22</v>
      </c>
      <c r="B15" s="120"/>
      <c r="C15" s="35">
        <v>46058</v>
      </c>
      <c r="D15" s="10">
        <v>0</v>
      </c>
      <c r="E15" s="35">
        <f t="shared" si="0"/>
        <v>46058</v>
      </c>
      <c r="F15" s="10">
        <v>0.95833333333333304</v>
      </c>
      <c r="G15" s="15">
        <f t="shared" ca="1" si="1"/>
        <v>24</v>
      </c>
      <c r="H15" s="41" cm="1">
        <f t="array" aca="1" ref="H15" ca="1">IF(G15=24,INDIRECT("'" &amp; "Dia " &amp; ROW()-10 &amp; "'!C47"),"-")</f>
        <v>1.4291749463148007</v>
      </c>
      <c r="I15" s="44"/>
    </row>
    <row r="16" spans="1:12" ht="18" customHeight="1" x14ac:dyDescent="0.25">
      <c r="A16" s="119" t="s">
        <v>22</v>
      </c>
      <c r="B16" s="120"/>
      <c r="C16" s="35">
        <v>46059</v>
      </c>
      <c r="D16" s="10">
        <v>0</v>
      </c>
      <c r="E16" s="35">
        <f t="shared" si="0"/>
        <v>46059</v>
      </c>
      <c r="F16" s="10">
        <v>0.95833333333333304</v>
      </c>
      <c r="G16" s="15">
        <f t="shared" ca="1" si="1"/>
        <v>24</v>
      </c>
      <c r="H16" s="41" cm="1">
        <f t="array" aca="1" ref="H16" ca="1">IF(G16=24,INDIRECT("'" &amp; "Dia " &amp; ROW()-10 &amp; "'!C47"),"-")</f>
        <v>1.2111592243246412</v>
      </c>
      <c r="I16" s="44"/>
    </row>
    <row r="17" spans="1:9" ht="18" customHeight="1" x14ac:dyDescent="0.25">
      <c r="A17" s="119" t="s">
        <v>22</v>
      </c>
      <c r="B17" s="120"/>
      <c r="C17" s="35">
        <v>46060</v>
      </c>
      <c r="D17" s="10">
        <v>0</v>
      </c>
      <c r="E17" s="35">
        <f t="shared" si="0"/>
        <v>46060</v>
      </c>
      <c r="F17" s="10">
        <v>0.95833333333333304</v>
      </c>
      <c r="G17" s="15">
        <f t="shared" ca="1" si="1"/>
        <v>24</v>
      </c>
      <c r="H17" s="41" cm="1">
        <f t="array" aca="1" ref="H17" ca="1">IF(G17=24,INDIRECT("'" &amp; "Dia " &amp; ROW()-10 &amp; "'!C47"),"-")</f>
        <v>1.4624126426282154</v>
      </c>
      <c r="I17" s="44"/>
    </row>
    <row r="18" spans="1:9" ht="18" customHeight="1" x14ac:dyDescent="0.25">
      <c r="A18" s="119" t="s">
        <v>22</v>
      </c>
      <c r="B18" s="120"/>
      <c r="C18" s="35">
        <v>46061</v>
      </c>
      <c r="D18" s="10">
        <v>0</v>
      </c>
      <c r="E18" s="35">
        <f t="shared" si="0"/>
        <v>46061</v>
      </c>
      <c r="F18" s="10">
        <v>0.95833333333333304</v>
      </c>
      <c r="G18" s="15">
        <f t="shared" ca="1" si="1"/>
        <v>24</v>
      </c>
      <c r="H18" s="41" cm="1">
        <f t="array" aca="1" ref="H18" ca="1">IF(G18=24,INDIRECT("'" &amp; "Dia " &amp; ROW()-10 &amp; "'!C47"),"-")</f>
        <v>1.4851629369450889</v>
      </c>
      <c r="I18" s="44"/>
    </row>
    <row r="19" spans="1:9" ht="18" customHeight="1" x14ac:dyDescent="0.25">
      <c r="A19" s="119" t="s">
        <v>22</v>
      </c>
      <c r="B19" s="120"/>
      <c r="C19" s="35">
        <v>46062</v>
      </c>
      <c r="D19" s="10">
        <v>0</v>
      </c>
      <c r="E19" s="35">
        <f t="shared" si="0"/>
        <v>46062</v>
      </c>
      <c r="F19" s="10">
        <v>0.95833333333333304</v>
      </c>
      <c r="G19" s="15">
        <f t="shared" ca="1" si="1"/>
        <v>24</v>
      </c>
      <c r="H19" s="41" cm="1">
        <f t="array" aca="1" ref="H19" ca="1">IF(G19=24,INDIRECT("'" &amp; "Dia " &amp; ROW()-10 &amp; "'!C47"),"-")</f>
        <v>1.2870320079519209</v>
      </c>
      <c r="I19" s="44"/>
    </row>
    <row r="20" spans="1:9" ht="18" customHeight="1" x14ac:dyDescent="0.25">
      <c r="A20" s="119" t="s">
        <v>22</v>
      </c>
      <c r="B20" s="120"/>
      <c r="C20" s="35">
        <v>46063</v>
      </c>
      <c r="D20" s="10">
        <v>0</v>
      </c>
      <c r="E20" s="35">
        <f t="shared" si="0"/>
        <v>46063</v>
      </c>
      <c r="F20" s="10">
        <v>0.95833333333333304</v>
      </c>
      <c r="G20" s="15">
        <f t="shared" ca="1" si="1"/>
        <v>24</v>
      </c>
      <c r="H20" s="41" cm="1">
        <f t="array" aca="1" ref="H20" ca="1">IF(G20=24,INDIRECT("'" &amp; "Dia " &amp; ROW()-10 &amp; "'!C47"),"-")</f>
        <v>1.0383143521306926</v>
      </c>
      <c r="I20" s="44"/>
    </row>
    <row r="21" spans="1:9" ht="18" customHeight="1" x14ac:dyDescent="0.25">
      <c r="A21" s="119" t="s">
        <v>22</v>
      </c>
      <c r="B21" s="120"/>
      <c r="C21" s="35">
        <v>46064</v>
      </c>
      <c r="D21" s="10">
        <v>0</v>
      </c>
      <c r="E21" s="35">
        <f t="shared" si="0"/>
        <v>46064</v>
      </c>
      <c r="F21" s="10">
        <v>0.95833333333333304</v>
      </c>
      <c r="G21" s="15">
        <f t="shared" ca="1" si="1"/>
        <v>24</v>
      </c>
      <c r="H21" s="41" cm="1">
        <f t="array" aca="1" ref="H21" ca="1">IF(G21=24,INDIRECT("'" &amp; "Dia " &amp; ROW()-10 &amp; "'!C47"),"-")</f>
        <v>0.90677998446006225</v>
      </c>
      <c r="I21" s="44"/>
    </row>
    <row r="22" spans="1:9" ht="18" customHeight="1" x14ac:dyDescent="0.25">
      <c r="A22" s="119" t="s">
        <v>22</v>
      </c>
      <c r="B22" s="120"/>
      <c r="C22" s="35">
        <v>46065</v>
      </c>
      <c r="D22" s="10">
        <v>0</v>
      </c>
      <c r="E22" s="35">
        <f t="shared" si="0"/>
        <v>46065</v>
      </c>
      <c r="F22" s="10">
        <v>0.95833333333333304</v>
      </c>
      <c r="G22" s="15">
        <f t="shared" ca="1" si="1"/>
        <v>24</v>
      </c>
      <c r="H22" s="41" cm="1">
        <f t="array" aca="1" ref="H22" ca="1">IF(G22=24,INDIRECT("'" &amp; "Dia " &amp; ROW()-10 &amp; "'!C47"),"-")</f>
        <v>1.161147557531909</v>
      </c>
      <c r="I22" s="44"/>
    </row>
    <row r="23" spans="1:9" ht="18" customHeight="1" x14ac:dyDescent="0.25">
      <c r="A23" s="119" t="s">
        <v>22</v>
      </c>
      <c r="B23" s="120"/>
      <c r="C23" s="35">
        <v>46066</v>
      </c>
      <c r="D23" s="10">
        <v>0</v>
      </c>
      <c r="E23" s="35">
        <f t="shared" si="0"/>
        <v>46066</v>
      </c>
      <c r="F23" s="10">
        <v>0.95833333333333304</v>
      </c>
      <c r="G23" s="15">
        <f t="shared" ca="1" si="1"/>
        <v>24</v>
      </c>
      <c r="H23" s="41" cm="1">
        <f t="array" aca="1" ref="H23" ca="1">IF(G23=24,INDIRECT("'" &amp; "Dia " &amp; ROW()-10 &amp; "'!C47"),"-")</f>
        <v>0.89159845770537816</v>
      </c>
      <c r="I23" s="44"/>
    </row>
    <row r="24" spans="1:9" ht="18" customHeight="1" x14ac:dyDescent="0.25">
      <c r="A24" s="119" t="s">
        <v>22</v>
      </c>
      <c r="B24" s="120"/>
      <c r="C24" s="35">
        <v>46067</v>
      </c>
      <c r="D24" s="10">
        <v>0</v>
      </c>
      <c r="E24" s="35">
        <f t="shared" si="0"/>
        <v>46067</v>
      </c>
      <c r="F24" s="10">
        <v>0.95833333333333304</v>
      </c>
      <c r="G24" s="15">
        <f t="shared" ca="1" si="1"/>
        <v>24</v>
      </c>
      <c r="H24" s="41" cm="1">
        <f t="array" aca="1" ref="H24" ca="1">IF(G24=24,INDIRECT("'" &amp; "Dia " &amp; ROW()-10 &amp; "'!C47"),"-")</f>
        <v>0.75872664947475543</v>
      </c>
      <c r="I24" s="44"/>
    </row>
    <row r="25" spans="1:9" ht="18" customHeight="1" x14ac:dyDescent="0.25">
      <c r="A25" s="119" t="s">
        <v>22</v>
      </c>
      <c r="B25" s="120"/>
      <c r="C25" s="35">
        <v>46068</v>
      </c>
      <c r="D25" s="10">
        <v>0</v>
      </c>
      <c r="E25" s="35">
        <f t="shared" si="0"/>
        <v>46068</v>
      </c>
      <c r="F25" s="10">
        <v>0.95833333333333304</v>
      </c>
      <c r="G25" s="15">
        <f t="shared" ca="1" si="1"/>
        <v>24</v>
      </c>
      <c r="H25" s="41" cm="1">
        <f t="array" aca="1" ref="H25" ca="1">IF(G25=24,INDIRECT("'" &amp; "Dia " &amp; ROW()-10 &amp; "'!C47"),"-")</f>
        <v>0.4637113806725226</v>
      </c>
      <c r="I25" s="44"/>
    </row>
    <row r="26" spans="1:9" ht="18" customHeight="1" x14ac:dyDescent="0.25">
      <c r="A26" s="119" t="s">
        <v>22</v>
      </c>
      <c r="B26" s="120"/>
      <c r="C26" s="35">
        <v>46069</v>
      </c>
      <c r="D26" s="10">
        <v>0</v>
      </c>
      <c r="E26" s="35">
        <f t="shared" si="0"/>
        <v>46069</v>
      </c>
      <c r="F26" s="10">
        <v>0.95833333333333304</v>
      </c>
      <c r="G26" s="15">
        <f t="shared" ca="1" si="1"/>
        <v>24</v>
      </c>
      <c r="H26" s="41" cm="1">
        <f t="array" aca="1" ref="H26" ca="1">IF(G26=24,INDIRECT("'" &amp; "Dia " &amp; ROW()-10 &amp; "'!C47"),"-")</f>
        <v>0.24125535212205387</v>
      </c>
      <c r="I26" s="6"/>
    </row>
    <row r="27" spans="1:9" ht="18" customHeight="1" x14ac:dyDescent="0.25">
      <c r="A27" s="119" t="s">
        <v>22</v>
      </c>
      <c r="B27" s="120"/>
      <c r="C27" s="35">
        <v>46070</v>
      </c>
      <c r="D27" s="10">
        <v>0</v>
      </c>
      <c r="E27" s="35">
        <f t="shared" si="0"/>
        <v>46070</v>
      </c>
      <c r="F27" s="10">
        <v>0.95833333333333304</v>
      </c>
      <c r="G27" s="15">
        <f t="shared" ca="1" si="1"/>
        <v>24</v>
      </c>
      <c r="H27" s="41" cm="1">
        <f t="array" aca="1" ref="H27" ca="1">IF(G27=24,INDIRECT("'" &amp; "Dia " &amp; ROW()-10 &amp; "'!C47"),"-")</f>
        <v>0.51288787372533262</v>
      </c>
      <c r="I27" s="6" t="s">
        <v>57</v>
      </c>
    </row>
    <row r="28" spans="1:9" ht="18" customHeight="1" x14ac:dyDescent="0.25">
      <c r="A28" s="119" t="s">
        <v>22</v>
      </c>
      <c r="B28" s="120"/>
      <c r="C28" s="35">
        <v>46071</v>
      </c>
      <c r="D28" s="10">
        <v>0</v>
      </c>
      <c r="E28" s="35">
        <f t="shared" si="0"/>
        <v>46071</v>
      </c>
      <c r="F28" s="10">
        <v>0.95833333333333304</v>
      </c>
      <c r="G28" s="15">
        <f t="shared" ca="1" si="1"/>
        <v>24</v>
      </c>
      <c r="H28" s="41" cm="1">
        <f t="array" aca="1" ref="H28" ca="1">IF(G28=24,INDIRECT("'" &amp; "Dia " &amp; ROW()-10 &amp; "'!C47"),"-")</f>
        <v>0.87567442228295078</v>
      </c>
      <c r="I28" s="6"/>
    </row>
    <row r="29" spans="1:9" ht="18" customHeight="1" x14ac:dyDescent="0.25">
      <c r="A29" s="119" t="s">
        <v>22</v>
      </c>
      <c r="B29" s="120"/>
      <c r="C29" s="35">
        <v>46072</v>
      </c>
      <c r="D29" s="10">
        <v>0</v>
      </c>
      <c r="E29" s="35">
        <f t="shared" si="0"/>
        <v>46072</v>
      </c>
      <c r="F29" s="10">
        <v>0.95833333333333304</v>
      </c>
      <c r="G29" s="15">
        <f t="shared" ca="1" si="1"/>
        <v>24</v>
      </c>
      <c r="H29" s="41" cm="1">
        <f t="array" aca="1" ref="H29" ca="1">IF(G29=24,INDIRECT("'" &amp; "Dia " &amp; ROW()-10 &amp; "'!C47"),"-")</f>
        <v>0.75905687930121057</v>
      </c>
      <c r="I29" s="6"/>
    </row>
    <row r="30" spans="1:9" ht="18" customHeight="1" x14ac:dyDescent="0.25">
      <c r="A30" s="119" t="s">
        <v>22</v>
      </c>
      <c r="B30" s="120"/>
      <c r="C30" s="35">
        <v>46073</v>
      </c>
      <c r="D30" s="10">
        <v>0</v>
      </c>
      <c r="E30" s="35">
        <f t="shared" si="0"/>
        <v>46073</v>
      </c>
      <c r="F30" s="10">
        <v>0.95833333333333304</v>
      </c>
      <c r="G30" s="15">
        <f t="shared" ca="1" si="1"/>
        <v>24</v>
      </c>
      <c r="H30" s="41" cm="1">
        <f t="array" aca="1" ref="H30" ca="1">IF(G30=24,INDIRECT("'" &amp; "Dia " &amp; ROW()-10 &amp; "'!C47"),"-")</f>
        <v>0.61208865365038112</v>
      </c>
      <c r="I30" s="6"/>
    </row>
    <row r="31" spans="1:9" ht="18" customHeight="1" x14ac:dyDescent="0.25">
      <c r="A31" s="119" t="s">
        <v>22</v>
      </c>
      <c r="B31" s="120"/>
      <c r="C31" s="35">
        <v>46074</v>
      </c>
      <c r="D31" s="10">
        <v>0</v>
      </c>
      <c r="E31" s="35">
        <f t="shared" si="0"/>
        <v>46074</v>
      </c>
      <c r="F31" s="10">
        <v>0.95833333333333304</v>
      </c>
      <c r="G31" s="15">
        <f t="shared" ca="1" si="1"/>
        <v>24</v>
      </c>
      <c r="H31" s="41" cm="1">
        <f t="array" aca="1" ref="H31" ca="1">IF(G31=24,INDIRECT("'" &amp; "Dia " &amp; ROW()-10 &amp; "'!C47"),"-")</f>
        <v>0.61717307692741907</v>
      </c>
      <c r="I31" s="6"/>
    </row>
    <row r="32" spans="1:9" ht="18" customHeight="1" x14ac:dyDescent="0.25">
      <c r="A32" s="119" t="s">
        <v>22</v>
      </c>
      <c r="B32" s="120"/>
      <c r="C32" s="35">
        <v>46075</v>
      </c>
      <c r="D32" s="10">
        <v>0</v>
      </c>
      <c r="E32" s="35">
        <f t="shared" si="0"/>
        <v>46075</v>
      </c>
      <c r="F32" s="10">
        <v>0.95833333333333304</v>
      </c>
      <c r="G32" s="15">
        <f t="shared" ca="1" si="1"/>
        <v>24</v>
      </c>
      <c r="H32" s="41" cm="1">
        <f t="array" aca="1" ref="H32" ca="1">IF(G32=24,INDIRECT("'" &amp; "Dia " &amp; ROW()-10 &amp; "'!C47"),"-")</f>
        <v>0.70352481981906623</v>
      </c>
      <c r="I32" s="6"/>
    </row>
    <row r="33" spans="1:9" ht="18" customHeight="1" x14ac:dyDescent="0.25">
      <c r="A33" s="119" t="s">
        <v>22</v>
      </c>
      <c r="B33" s="120"/>
      <c r="C33" s="35">
        <v>46076</v>
      </c>
      <c r="D33" s="10">
        <v>0</v>
      </c>
      <c r="E33" s="35">
        <f t="shared" si="0"/>
        <v>46076</v>
      </c>
      <c r="F33" s="10">
        <v>0.95833333333333304</v>
      </c>
      <c r="G33" s="15">
        <f t="shared" ca="1" si="1"/>
        <v>24</v>
      </c>
      <c r="H33" s="41" cm="1">
        <f t="array" aca="1" ref="H33" ca="1">IF(G33=24,INDIRECT("'" &amp; "Dia " &amp; ROW()-10 &amp; "'!C47"),"-")</f>
        <v>0.80567751217418782</v>
      </c>
      <c r="I33" s="6"/>
    </row>
    <row r="34" spans="1:9" ht="18" customHeight="1" x14ac:dyDescent="0.25">
      <c r="A34" s="119" t="s">
        <v>22</v>
      </c>
      <c r="B34" s="120"/>
      <c r="C34" s="35">
        <v>46077</v>
      </c>
      <c r="D34" s="10">
        <v>0</v>
      </c>
      <c r="E34" s="35">
        <f t="shared" si="0"/>
        <v>46077</v>
      </c>
      <c r="F34" s="10">
        <v>0.95833333333333304</v>
      </c>
      <c r="G34" s="15">
        <f t="shared" ca="1" si="1"/>
        <v>24</v>
      </c>
      <c r="H34" s="41" cm="1">
        <f t="array" aca="1" ref="H34" ca="1">IF(G34=24,INDIRECT("'" &amp; "Dia " &amp; ROW()-10 &amp; "'!C47"),"-")</f>
        <v>0.96744495031193278</v>
      </c>
      <c r="I34" s="6"/>
    </row>
    <row r="35" spans="1:9" ht="18" customHeight="1" x14ac:dyDescent="0.25">
      <c r="A35" s="119" t="s">
        <v>22</v>
      </c>
      <c r="B35" s="120"/>
      <c r="C35" s="35">
        <v>46078</v>
      </c>
      <c r="D35" s="10">
        <v>0</v>
      </c>
      <c r="E35" s="35">
        <f t="shared" si="0"/>
        <v>46078</v>
      </c>
      <c r="F35" s="10">
        <v>0.95833333333333304</v>
      </c>
      <c r="G35" s="15">
        <f t="shared" ca="1" si="1"/>
        <v>24</v>
      </c>
      <c r="H35" s="41" cm="1">
        <f t="array" aca="1" ref="H35" ca="1">IF(G35=24,INDIRECT("'" &amp; "Dia " &amp; ROW()-10 &amp; "'!C47"),"-")</f>
        <v>0.92121938330340847</v>
      </c>
      <c r="I35" s="6"/>
    </row>
    <row r="36" spans="1:9" ht="18" customHeight="1" x14ac:dyDescent="0.25">
      <c r="A36" s="119" t="s">
        <v>22</v>
      </c>
      <c r="B36" s="120"/>
      <c r="C36" s="35">
        <v>46079</v>
      </c>
      <c r="D36" s="10">
        <v>0</v>
      </c>
      <c r="E36" s="35">
        <f t="shared" si="0"/>
        <v>46079</v>
      </c>
      <c r="F36" s="10">
        <v>0.95833333333333304</v>
      </c>
      <c r="G36" s="15">
        <f t="shared" ca="1" si="1"/>
        <v>24</v>
      </c>
      <c r="H36" s="41" cm="1">
        <f t="array" aca="1" ref="H36" ca="1">IF(G36=24,INDIRECT("'" &amp; "Dia " &amp; ROW()-10 &amp; "'!C47"),"-")</f>
        <v>0.78302712485639325</v>
      </c>
      <c r="I36" s="6"/>
    </row>
    <row r="37" spans="1:9" ht="18" customHeight="1" x14ac:dyDescent="0.25">
      <c r="A37" s="119" t="s">
        <v>22</v>
      </c>
      <c r="B37" s="120"/>
      <c r="C37" s="35">
        <v>46080</v>
      </c>
      <c r="D37" s="10">
        <v>0</v>
      </c>
      <c r="E37" s="35">
        <f t="shared" si="0"/>
        <v>46080</v>
      </c>
      <c r="F37" s="10">
        <v>0.95833333333333304</v>
      </c>
      <c r="G37" s="15">
        <f t="shared" ca="1" si="1"/>
        <v>24</v>
      </c>
      <c r="H37" s="41" cm="1">
        <f t="array" aca="1" ref="H37" ca="1">IF(G37=24,INDIRECT("'" &amp; "Dia " &amp; ROW()-10 &amp; "'!C47"),"-")</f>
        <v>0.74784059663207292</v>
      </c>
      <c r="I37" s="6"/>
    </row>
    <row r="38" spans="1:9" ht="18" customHeight="1" x14ac:dyDescent="0.25">
      <c r="A38" s="119" t="s">
        <v>22</v>
      </c>
      <c r="B38" s="120"/>
      <c r="C38" s="35">
        <v>46081</v>
      </c>
      <c r="D38" s="10">
        <v>0</v>
      </c>
      <c r="E38" s="35">
        <f t="shared" si="0"/>
        <v>46081</v>
      </c>
      <c r="F38" s="10">
        <v>0.95833333333333304</v>
      </c>
      <c r="G38" s="15">
        <f t="shared" ca="1" si="1"/>
        <v>24</v>
      </c>
      <c r="H38" s="41" cm="1">
        <f t="array" aca="1" ref="H38" ca="1">IF(G38=24,INDIRECT("'" &amp; "Dia " &amp; ROW()-10 &amp; "'!C47"),"-")</f>
        <v>0.69315041657637344</v>
      </c>
      <c r="I38" s="6"/>
    </row>
    <row r="39" spans="1:9" x14ac:dyDescent="0.25">
      <c r="A39" s="119" t="s">
        <v>22</v>
      </c>
      <c r="B39" s="120"/>
      <c r="C39" s="35">
        <v>46082</v>
      </c>
      <c r="D39" s="10">
        <v>0</v>
      </c>
      <c r="E39" s="35">
        <f t="shared" si="0"/>
        <v>46082</v>
      </c>
      <c r="F39" s="10">
        <v>0.95833333333333304</v>
      </c>
      <c r="G39" s="15">
        <f t="shared" ca="1" si="1"/>
        <v>24</v>
      </c>
      <c r="H39" s="41" cm="1">
        <f t="array" aca="1" ref="H39" ca="1">IF(G39=24,INDIRECT("'" &amp; "Dia " &amp; ROW()-10 &amp; "'!C47"),"-")</f>
        <v>0.96006919663055568</v>
      </c>
      <c r="I39" s="6"/>
    </row>
    <row r="40" spans="1:9" x14ac:dyDescent="0.25">
      <c r="A40" s="119" t="s">
        <v>22</v>
      </c>
      <c r="B40" s="120"/>
      <c r="C40" s="35">
        <v>46083</v>
      </c>
      <c r="D40" s="10">
        <v>0</v>
      </c>
      <c r="E40" s="35">
        <f t="shared" si="0"/>
        <v>46083</v>
      </c>
      <c r="F40" s="10">
        <v>0.95833333333333304</v>
      </c>
      <c r="G40" s="15">
        <f t="shared" ca="1" si="1"/>
        <v>24</v>
      </c>
      <c r="H40" s="41" cm="1">
        <f t="array" aca="1" ref="H40" ca="1">IF(G40=24,INDIRECT("'" &amp; "Dia " &amp; ROW()-10 &amp; "'!C47"),"-")</f>
        <v>1.6614278383235672</v>
      </c>
      <c r="I40" s="6"/>
    </row>
    <row r="41" spans="1:9" ht="15.75" thickBot="1" x14ac:dyDescent="0.3">
      <c r="A41" s="119" t="s">
        <v>22</v>
      </c>
      <c r="B41" s="120"/>
      <c r="C41" s="35">
        <v>46084</v>
      </c>
      <c r="D41" s="10">
        <v>0</v>
      </c>
      <c r="E41" s="35">
        <f t="shared" si="0"/>
        <v>46084</v>
      </c>
      <c r="F41" s="10">
        <v>0.95833333333333304</v>
      </c>
      <c r="G41" s="15">
        <f t="shared" ca="1" si="1"/>
        <v>24</v>
      </c>
      <c r="H41" s="41" cm="1">
        <f t="array" aca="1" ref="H41" ca="1">IF(G41=24,INDIRECT("'" &amp; "Dia " &amp; ROW()-10 &amp; "'!C47"),"-")</f>
        <v>1.1685134919191564</v>
      </c>
      <c r="I41" s="44"/>
    </row>
    <row r="42" spans="1:9" ht="25.5" customHeight="1" x14ac:dyDescent="0.25">
      <c r="A42" s="131" t="s">
        <v>23</v>
      </c>
      <c r="B42" s="136" t="s">
        <v>24</v>
      </c>
      <c r="C42" s="137"/>
      <c r="D42" s="133" t="s">
        <v>25</v>
      </c>
      <c r="E42" s="140"/>
      <c r="F42" s="141"/>
      <c r="G42" s="135" t="s">
        <v>26</v>
      </c>
      <c r="H42" s="40"/>
      <c r="I42" s="50" t="s">
        <v>27</v>
      </c>
    </row>
    <row r="43" spans="1:9" ht="15.75" thickBot="1" x14ac:dyDescent="0.3">
      <c r="A43" s="132"/>
      <c r="B43" s="138" t="s">
        <v>28</v>
      </c>
      <c r="C43" s="139"/>
      <c r="D43" s="134"/>
      <c r="E43" s="142" t="s">
        <v>29</v>
      </c>
      <c r="F43" s="143"/>
      <c r="G43" s="134"/>
      <c r="H43" s="16"/>
      <c r="I43" s="12" t="s">
        <v>30</v>
      </c>
    </row>
    <row r="44" spans="1:9" x14ac:dyDescent="0.25">
      <c r="A44" s="129" t="s">
        <v>31</v>
      </c>
      <c r="B44" s="123" t="s">
        <v>32</v>
      </c>
      <c r="C44" s="123"/>
      <c r="D44" s="123"/>
      <c r="E44" s="123"/>
      <c r="F44" s="123"/>
      <c r="G44" s="123"/>
      <c r="H44" s="124"/>
      <c r="I44" s="125"/>
    </row>
    <row r="45" spans="1:9" ht="9.75" customHeight="1" thickBot="1" x14ac:dyDescent="0.3">
      <c r="A45" s="130"/>
      <c r="B45" s="126"/>
      <c r="C45" s="126"/>
      <c r="D45" s="126"/>
      <c r="E45" s="126"/>
      <c r="F45" s="126"/>
      <c r="G45" s="126"/>
      <c r="H45" s="127"/>
      <c r="I45" s="128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1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">
        <v>34</v>
      </c>
      <c r="C7" s="52"/>
      <c r="D7" s="23" t="s">
        <v>5</v>
      </c>
      <c r="E7" s="53" t="str" cm="1">
        <f t="array" ref="E7">'FOM303-32-Imprimir'!C6:C6</f>
        <v>Bogotá DC</v>
      </c>
      <c r="F7" s="53"/>
      <c r="G7" s="53"/>
    </row>
    <row r="8" spans="1:12" ht="15.75" x14ac:dyDescent="0.25">
      <c r="A8" s="23" t="s">
        <v>35</v>
      </c>
      <c r="B8" s="51" t="s">
        <v>36</v>
      </c>
      <c r="C8" s="52"/>
      <c r="D8" s="24" t="s">
        <v>10</v>
      </c>
      <c r="E8" s="53" t="str" cm="1">
        <f t="array" ref="E8">'FOM303-32-Imprimir'!C7:C7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'FOM303-32-Imprimir'!H6:H6</f>
        <v>2075936.9809999999</v>
      </c>
      <c r="C9" s="52"/>
      <c r="D9" s="24" t="s">
        <v>13</v>
      </c>
      <c r="E9" s="53" cm="1">
        <f t="array" ref="E9">'FOM303-32-Imprimir'!H7:H7</f>
        <v>4872999.3279999997</v>
      </c>
      <c r="F9" s="53"/>
      <c r="G9" s="53"/>
    </row>
    <row r="10" spans="1:12" ht="15.75" x14ac:dyDescent="0.25">
      <c r="A10" s="23" t="s">
        <v>37</v>
      </c>
      <c r="B10" s="51" t="s">
        <v>38</v>
      </c>
      <c r="C10" s="52"/>
      <c r="D10" s="23" t="s">
        <v>39</v>
      </c>
      <c r="E10" s="53">
        <v>2550</v>
      </c>
      <c r="F10" s="53"/>
      <c r="G10" s="53"/>
    </row>
    <row r="11" spans="1:12" ht="15.75" x14ac:dyDescent="0.25">
      <c r="A11" s="25" t="s">
        <v>40</v>
      </c>
      <c r="B11" s="69">
        <f>'FOM303-32-Imprimir'!C11</f>
        <v>46054</v>
      </c>
      <c r="C11" s="70"/>
      <c r="D11" s="26" t="s">
        <v>41</v>
      </c>
      <c r="E11" s="71">
        <v>0</v>
      </c>
      <c r="F11" s="71"/>
      <c r="G11" s="71"/>
    </row>
    <row r="12" spans="1:12" ht="15.75" x14ac:dyDescent="0.25">
      <c r="A12" s="25" t="s">
        <v>42</v>
      </c>
      <c r="B12" s="69">
        <f>'FOM303-32-Imprimir'!E11</f>
        <v>46054</v>
      </c>
      <c r="C12" s="70"/>
      <c r="D12" s="25" t="s">
        <v>43</v>
      </c>
      <c r="E12" s="71"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20.936</v>
      </c>
      <c r="D21" s="72">
        <v>20.936</v>
      </c>
    </row>
    <row r="22" spans="2:7" ht="18.75" x14ac:dyDescent="0.25">
      <c r="B22" s="45">
        <v>1</v>
      </c>
      <c r="C22" s="72">
        <v>21.873999999999999</v>
      </c>
      <c r="D22" s="72">
        <v>21.873999999999999</v>
      </c>
    </row>
    <row r="23" spans="2:7" ht="18.75" x14ac:dyDescent="0.25">
      <c r="B23" s="45">
        <v>2</v>
      </c>
      <c r="C23" s="72">
        <v>23.291</v>
      </c>
      <c r="D23" s="72">
        <v>23.291</v>
      </c>
    </row>
    <row r="24" spans="2:7" ht="18.75" x14ac:dyDescent="0.25">
      <c r="B24" s="45">
        <v>3</v>
      </c>
      <c r="C24" s="72">
        <v>22.67</v>
      </c>
      <c r="D24" s="72">
        <v>22.67</v>
      </c>
    </row>
    <row r="25" spans="2:7" ht="18.75" x14ac:dyDescent="0.25">
      <c r="B25" s="45">
        <v>4</v>
      </c>
      <c r="C25" s="72">
        <v>21.289000000000001</v>
      </c>
      <c r="D25" s="72">
        <v>21.289000000000001</v>
      </c>
    </row>
    <row r="26" spans="2:7" ht="18.75" x14ac:dyDescent="0.25">
      <c r="B26" s="45">
        <v>5</v>
      </c>
      <c r="C26" s="72">
        <v>21.446000000000002</v>
      </c>
      <c r="D26" s="72">
        <v>21.446000000000002</v>
      </c>
    </row>
    <row r="27" spans="2:7" ht="18.75" x14ac:dyDescent="0.25">
      <c r="B27" s="45">
        <v>6</v>
      </c>
      <c r="C27" s="72">
        <v>21.381</v>
      </c>
      <c r="D27" s="72">
        <v>21.381</v>
      </c>
    </row>
    <row r="28" spans="2:7" ht="18.75" x14ac:dyDescent="0.25">
      <c r="B28" s="45">
        <v>7</v>
      </c>
      <c r="C28" s="72">
        <v>20.571999999999999</v>
      </c>
      <c r="D28" s="72">
        <v>20.571999999999999</v>
      </c>
    </row>
    <row r="29" spans="2:7" ht="18.75" x14ac:dyDescent="0.25">
      <c r="B29" s="45">
        <v>8</v>
      </c>
      <c r="C29" s="72">
        <v>23.97</v>
      </c>
      <c r="D29" s="72">
        <v>23.97</v>
      </c>
    </row>
    <row r="30" spans="2:7" ht="18.75" x14ac:dyDescent="0.25">
      <c r="B30" s="45">
        <v>9</v>
      </c>
      <c r="C30" s="72">
        <v>23.876000000000001</v>
      </c>
      <c r="D30" s="72">
        <v>23.876000000000001</v>
      </c>
    </row>
    <row r="31" spans="2:7" ht="18.75" x14ac:dyDescent="0.25">
      <c r="B31" s="45">
        <v>10</v>
      </c>
      <c r="C31" s="72">
        <v>23.87</v>
      </c>
      <c r="D31" s="72">
        <v>23.87</v>
      </c>
    </row>
    <row r="32" spans="2:7" ht="18.75" x14ac:dyDescent="0.25">
      <c r="B32" s="45">
        <v>11</v>
      </c>
      <c r="C32" s="72">
        <v>21.154</v>
      </c>
      <c r="D32" s="72">
        <v>21.154</v>
      </c>
    </row>
    <row r="33" spans="2:4" ht="18.75" x14ac:dyDescent="0.25">
      <c r="B33" s="45">
        <v>12</v>
      </c>
      <c r="C33" s="72">
        <v>20.664000000000001</v>
      </c>
      <c r="D33" s="72">
        <v>20.664000000000001</v>
      </c>
    </row>
    <row r="34" spans="2:4" ht="18.75" x14ac:dyDescent="0.25">
      <c r="B34" s="45">
        <v>13</v>
      </c>
      <c r="C34" s="72">
        <v>21.01</v>
      </c>
      <c r="D34" s="72">
        <v>21.01</v>
      </c>
    </row>
    <row r="35" spans="2:4" ht="18.75" x14ac:dyDescent="0.25">
      <c r="B35" s="45">
        <v>14</v>
      </c>
      <c r="C35" s="72">
        <v>20.734999999999999</v>
      </c>
      <c r="D35" s="72">
        <v>20.734999999999999</v>
      </c>
    </row>
    <row r="36" spans="2:4" ht="18.75" x14ac:dyDescent="0.25">
      <c r="B36" s="45">
        <v>15</v>
      </c>
      <c r="C36" s="72">
        <v>21.463000000000001</v>
      </c>
      <c r="D36" s="72">
        <v>21.463000000000001</v>
      </c>
    </row>
    <row r="37" spans="2:4" ht="18.75" x14ac:dyDescent="0.25">
      <c r="B37" s="45">
        <v>16</v>
      </c>
      <c r="C37" s="72">
        <v>23.952000000000002</v>
      </c>
      <c r="D37" s="72">
        <v>23.952000000000002</v>
      </c>
    </row>
    <row r="38" spans="2:4" ht="18.75" x14ac:dyDescent="0.25">
      <c r="B38" s="45">
        <v>17</v>
      </c>
      <c r="C38" s="72">
        <v>23.869</v>
      </c>
      <c r="D38" s="72">
        <v>23.869</v>
      </c>
    </row>
    <row r="39" spans="2:4" ht="18.75" x14ac:dyDescent="0.25">
      <c r="B39" s="45">
        <v>18</v>
      </c>
      <c r="C39" s="72">
        <v>23.794</v>
      </c>
      <c r="D39" s="72">
        <v>23.794</v>
      </c>
    </row>
    <row r="40" spans="2:4" ht="18.75" x14ac:dyDescent="0.25">
      <c r="B40" s="45">
        <v>19</v>
      </c>
      <c r="C40" s="72">
        <v>23.802</v>
      </c>
      <c r="D40" s="72">
        <v>23.802</v>
      </c>
    </row>
    <row r="41" spans="2:4" ht="18.75" x14ac:dyDescent="0.25">
      <c r="B41" s="45">
        <v>20</v>
      </c>
      <c r="C41" s="72">
        <v>23.821000000000002</v>
      </c>
      <c r="D41" s="72">
        <v>23.821000000000002</v>
      </c>
    </row>
    <row r="42" spans="2:4" ht="18.75" x14ac:dyDescent="0.25">
      <c r="B42" s="45">
        <v>21</v>
      </c>
      <c r="C42" s="72">
        <v>23.844000000000001</v>
      </c>
      <c r="D42" s="72">
        <v>23.844000000000001</v>
      </c>
    </row>
    <row r="43" spans="2:4" ht="18.75" x14ac:dyDescent="0.25">
      <c r="B43" s="45">
        <v>22</v>
      </c>
      <c r="C43" s="72">
        <v>23.899000000000001</v>
      </c>
      <c r="D43" s="72">
        <v>23.899000000000001</v>
      </c>
    </row>
    <row r="44" spans="2:4" ht="18.75" x14ac:dyDescent="0.25">
      <c r="B44" s="45">
        <v>23</v>
      </c>
      <c r="C44" s="72">
        <v>20.655000000000001</v>
      </c>
      <c r="D44" s="72">
        <v>20.655000000000001</v>
      </c>
    </row>
    <row r="45" spans="2:4" ht="18.75" x14ac:dyDescent="0.25">
      <c r="B45" s="45"/>
      <c r="C45" s="72"/>
      <c r="D45" s="72"/>
    </row>
    <row r="46" spans="2:4" ht="33.75" customHeight="1" x14ac:dyDescent="0.25">
      <c r="B46" s="46" t="s">
        <v>47</v>
      </c>
      <c r="C46" s="75">
        <f>AVERAGE(C22:C45)</f>
        <v>22.473956521739133</v>
      </c>
      <c r="D46" s="75"/>
    </row>
    <row r="47" spans="2:4" ht="31.5" x14ac:dyDescent="0.25">
      <c r="B47" s="48" t="s">
        <v>48</v>
      </c>
      <c r="C47" s="47">
        <f>_xlfn.STDEV.S(C21:C45)</f>
        <v>1.3930508375036301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'FOM303-32-Imprimir'!C12</f>
        <v>46055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'FOM303-32-Imprimir'!E12</f>
        <v>46055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21.030999999999999</v>
      </c>
      <c r="D21" s="72">
        <v>21.030999999999999</v>
      </c>
    </row>
    <row r="22" spans="2:7" ht="18.75" x14ac:dyDescent="0.25">
      <c r="B22" s="45">
        <v>1</v>
      </c>
      <c r="C22" s="72">
        <v>22.704999999999998</v>
      </c>
      <c r="D22" s="72">
        <v>22.704999999999998</v>
      </c>
    </row>
    <row r="23" spans="2:7" ht="18.75" x14ac:dyDescent="0.25">
      <c r="B23" s="45">
        <v>2</v>
      </c>
      <c r="C23" s="72">
        <v>20.574999999999999</v>
      </c>
      <c r="D23" s="72">
        <v>20.574999999999999</v>
      </c>
    </row>
    <row r="24" spans="2:7" ht="18.75" x14ac:dyDescent="0.25">
      <c r="B24" s="45">
        <v>3</v>
      </c>
      <c r="C24" s="72">
        <v>20.768999999999998</v>
      </c>
      <c r="D24" s="72">
        <v>20.768999999999998</v>
      </c>
    </row>
    <row r="25" spans="2:7" ht="18.75" x14ac:dyDescent="0.25">
      <c r="B25" s="45">
        <v>4</v>
      </c>
      <c r="C25" s="72">
        <v>21.085000000000001</v>
      </c>
      <c r="D25" s="72">
        <v>21.085000000000001</v>
      </c>
    </row>
    <row r="26" spans="2:7" ht="18.75" x14ac:dyDescent="0.25">
      <c r="B26" s="45">
        <v>5</v>
      </c>
      <c r="C26" s="72">
        <v>20.846</v>
      </c>
      <c r="D26" s="72">
        <v>20.846</v>
      </c>
    </row>
    <row r="27" spans="2:7" ht="18.75" x14ac:dyDescent="0.25">
      <c r="B27" s="45">
        <v>6</v>
      </c>
      <c r="C27" s="72">
        <v>21.616</v>
      </c>
      <c r="D27" s="72">
        <v>21.616</v>
      </c>
    </row>
    <row r="28" spans="2:7" ht="18.75" x14ac:dyDescent="0.25">
      <c r="B28" s="45">
        <v>7</v>
      </c>
      <c r="C28" s="72">
        <v>23.873999999999999</v>
      </c>
      <c r="D28" s="72">
        <v>23.873999999999999</v>
      </c>
    </row>
    <row r="29" spans="2:7" ht="18.75" x14ac:dyDescent="0.25">
      <c r="B29" s="45">
        <v>8</v>
      </c>
      <c r="C29" s="72">
        <v>23.283999999999999</v>
      </c>
      <c r="D29" s="72">
        <v>23.283999999999999</v>
      </c>
    </row>
    <row r="30" spans="2:7" ht="18.75" x14ac:dyDescent="0.25">
      <c r="B30" s="45">
        <v>9</v>
      </c>
      <c r="C30" s="72">
        <v>21.044</v>
      </c>
      <c r="D30" s="72">
        <v>21.044</v>
      </c>
    </row>
    <row r="31" spans="2:7" ht="18.75" x14ac:dyDescent="0.25">
      <c r="B31" s="45">
        <v>10</v>
      </c>
      <c r="C31" s="72">
        <v>21.433</v>
      </c>
      <c r="D31" s="72">
        <v>21.433</v>
      </c>
    </row>
    <row r="32" spans="2:7" ht="18.75" x14ac:dyDescent="0.25">
      <c r="B32" s="45">
        <v>11</v>
      </c>
      <c r="C32" s="72">
        <v>21.503</v>
      </c>
      <c r="D32" s="72">
        <v>21.503</v>
      </c>
    </row>
    <row r="33" spans="2:4" ht="18.75" x14ac:dyDescent="0.25">
      <c r="B33" s="45">
        <v>12</v>
      </c>
      <c r="C33" s="72">
        <v>21.227</v>
      </c>
      <c r="D33" s="72">
        <v>21.227</v>
      </c>
    </row>
    <row r="34" spans="2:4" ht="18.75" x14ac:dyDescent="0.25">
      <c r="B34" s="45">
        <v>13</v>
      </c>
      <c r="C34" s="72">
        <v>21.056999999999999</v>
      </c>
      <c r="D34" s="72">
        <v>21.056999999999999</v>
      </c>
    </row>
    <row r="35" spans="2:4" ht="18.75" x14ac:dyDescent="0.25">
      <c r="B35" s="45">
        <v>14</v>
      </c>
      <c r="C35" s="72">
        <v>20.52</v>
      </c>
      <c r="D35" s="72">
        <v>20.52</v>
      </c>
    </row>
    <row r="36" spans="2:4" ht="18.75" x14ac:dyDescent="0.25">
      <c r="B36" s="45">
        <v>15</v>
      </c>
      <c r="C36" s="72">
        <v>20.657</v>
      </c>
      <c r="D36" s="72">
        <v>20.657</v>
      </c>
    </row>
    <row r="37" spans="2:4" ht="18.75" x14ac:dyDescent="0.25">
      <c r="B37" s="45">
        <v>16</v>
      </c>
      <c r="C37" s="72">
        <v>21.033999999999999</v>
      </c>
      <c r="D37" s="72">
        <v>21.033999999999999</v>
      </c>
    </row>
    <row r="38" spans="2:4" ht="18.75" x14ac:dyDescent="0.25">
      <c r="B38" s="45">
        <v>17</v>
      </c>
      <c r="C38" s="72">
        <v>20.867999999999999</v>
      </c>
      <c r="D38" s="72">
        <v>20.867999999999999</v>
      </c>
    </row>
    <row r="39" spans="2:4" ht="18.75" x14ac:dyDescent="0.25">
      <c r="B39" s="45">
        <v>18</v>
      </c>
      <c r="C39" s="72">
        <v>20.74</v>
      </c>
      <c r="D39" s="72">
        <v>20.74</v>
      </c>
    </row>
    <row r="40" spans="2:4" ht="18.75" x14ac:dyDescent="0.25">
      <c r="B40" s="45">
        <v>19</v>
      </c>
      <c r="C40" s="72">
        <v>20.286999999999999</v>
      </c>
      <c r="D40" s="72">
        <v>20.286999999999999</v>
      </c>
    </row>
    <row r="41" spans="2:4" ht="18.75" x14ac:dyDescent="0.25">
      <c r="B41" s="45">
        <v>20</v>
      </c>
      <c r="C41" s="72">
        <v>23.928000000000001</v>
      </c>
      <c r="D41" s="72">
        <v>23.928000000000001</v>
      </c>
    </row>
    <row r="42" spans="2:4" ht="18.75" x14ac:dyDescent="0.25">
      <c r="B42" s="45">
        <v>21</v>
      </c>
      <c r="C42" s="72">
        <v>23.81</v>
      </c>
      <c r="D42" s="72">
        <v>23.81</v>
      </c>
    </row>
    <row r="43" spans="2:4" ht="18.75" x14ac:dyDescent="0.25">
      <c r="B43" s="45">
        <v>22</v>
      </c>
      <c r="C43" s="72">
        <v>23.823</v>
      </c>
      <c r="D43" s="72">
        <v>23.823</v>
      </c>
    </row>
    <row r="44" spans="2:4" ht="18.75" x14ac:dyDescent="0.25">
      <c r="B44" s="45">
        <v>23</v>
      </c>
      <c r="C44" s="72">
        <v>21.76</v>
      </c>
      <c r="D44" s="72">
        <v>21.76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21.671521739130434</v>
      </c>
      <c r="D46" s="75"/>
    </row>
    <row r="47" spans="2:4" ht="31.5" x14ac:dyDescent="0.25">
      <c r="B47" s="48" t="s">
        <v>48</v>
      </c>
      <c r="C47" s="47">
        <f>_xlfn.STDEV.S(C21:C45)</f>
        <v>1.2069631912065653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'FOM303-32-Imprimir'!C13</f>
        <v>46056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'FOM303-32-Imprimir'!E13</f>
        <v>46056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144">
        <v>22.036000000000001</v>
      </c>
      <c r="D21" s="145">
        <v>22.036000000000001</v>
      </c>
    </row>
    <row r="22" spans="2:7" ht="18.75" x14ac:dyDescent="0.25">
      <c r="B22" s="45">
        <v>1</v>
      </c>
      <c r="C22" s="144">
        <v>23.881</v>
      </c>
      <c r="D22" s="145">
        <v>23.881</v>
      </c>
    </row>
    <row r="23" spans="2:7" ht="18.75" x14ac:dyDescent="0.25">
      <c r="B23" s="45">
        <v>2</v>
      </c>
      <c r="C23" s="144">
        <v>23.863</v>
      </c>
      <c r="D23" s="145">
        <v>23.863</v>
      </c>
    </row>
    <row r="24" spans="2:7" ht="18.75" x14ac:dyDescent="0.25">
      <c r="B24" s="45">
        <v>3</v>
      </c>
      <c r="C24" s="144">
        <v>22.606999999999999</v>
      </c>
      <c r="D24" s="145">
        <v>22.606999999999999</v>
      </c>
    </row>
    <row r="25" spans="2:7" ht="18.75" x14ac:dyDescent="0.25">
      <c r="B25" s="45">
        <v>4</v>
      </c>
      <c r="C25" s="144">
        <v>21.45</v>
      </c>
      <c r="D25" s="145">
        <v>21.45</v>
      </c>
    </row>
    <row r="26" spans="2:7" ht="18.75" x14ac:dyDescent="0.25">
      <c r="B26" s="45">
        <v>5</v>
      </c>
      <c r="C26" s="144">
        <v>21.311</v>
      </c>
      <c r="D26" s="145">
        <v>21.311</v>
      </c>
    </row>
    <row r="27" spans="2:7" ht="18.75" x14ac:dyDescent="0.25">
      <c r="B27" s="45">
        <v>6</v>
      </c>
      <c r="C27" s="144">
        <v>22.699000000000002</v>
      </c>
      <c r="D27" s="145">
        <v>22.699000000000002</v>
      </c>
    </row>
    <row r="28" spans="2:7" ht="18.75" x14ac:dyDescent="0.25">
      <c r="B28" s="45">
        <v>7</v>
      </c>
      <c r="C28" s="144">
        <v>23.916</v>
      </c>
      <c r="D28" s="145">
        <v>23.916</v>
      </c>
    </row>
    <row r="29" spans="2:7" ht="18.75" x14ac:dyDescent="0.25">
      <c r="B29" s="45">
        <v>8</v>
      </c>
      <c r="C29" s="144">
        <v>21.370999999999999</v>
      </c>
      <c r="D29" s="145">
        <v>21.370999999999999</v>
      </c>
    </row>
    <row r="30" spans="2:7" ht="18.75" x14ac:dyDescent="0.25">
      <c r="B30" s="45">
        <v>9</v>
      </c>
      <c r="C30" s="144">
        <v>23.853999999999999</v>
      </c>
      <c r="D30" s="145">
        <v>23.853999999999999</v>
      </c>
    </row>
    <row r="31" spans="2:7" ht="18.75" x14ac:dyDescent="0.25">
      <c r="B31" s="45">
        <v>10</v>
      </c>
      <c r="C31" s="144">
        <v>23.279</v>
      </c>
      <c r="D31" s="145">
        <v>23.279</v>
      </c>
    </row>
    <row r="32" spans="2:7" ht="18.75" x14ac:dyDescent="0.25">
      <c r="B32" s="45">
        <v>11</v>
      </c>
      <c r="C32" s="144">
        <v>20.943999999999999</v>
      </c>
      <c r="D32" s="145">
        <v>20.943999999999999</v>
      </c>
    </row>
    <row r="33" spans="2:4" ht="18.75" x14ac:dyDescent="0.25">
      <c r="B33" s="45">
        <v>12</v>
      </c>
      <c r="C33" s="144">
        <v>20.972000000000001</v>
      </c>
      <c r="D33" s="145">
        <v>20.972000000000001</v>
      </c>
    </row>
    <row r="34" spans="2:4" ht="18.75" x14ac:dyDescent="0.25">
      <c r="B34" s="45">
        <v>13</v>
      </c>
      <c r="C34" s="144">
        <v>20.745999999999999</v>
      </c>
      <c r="D34" s="145">
        <v>20.745999999999999</v>
      </c>
    </row>
    <row r="35" spans="2:4" ht="18.75" x14ac:dyDescent="0.25">
      <c r="B35" s="45">
        <v>14</v>
      </c>
      <c r="C35" s="144">
        <v>20.907</v>
      </c>
      <c r="D35" s="145">
        <v>20.907</v>
      </c>
    </row>
    <row r="36" spans="2:4" ht="18.75" x14ac:dyDescent="0.25">
      <c r="B36" s="45">
        <v>15</v>
      </c>
      <c r="C36" s="144">
        <v>21.024999999999999</v>
      </c>
      <c r="D36" s="145">
        <v>21.024999999999999</v>
      </c>
    </row>
    <row r="37" spans="2:4" ht="18.75" x14ac:dyDescent="0.25">
      <c r="B37" s="45">
        <v>16</v>
      </c>
      <c r="C37" s="144">
        <v>20.599</v>
      </c>
      <c r="D37" s="145">
        <v>20.599</v>
      </c>
    </row>
    <row r="38" spans="2:4" ht="18.75" x14ac:dyDescent="0.25">
      <c r="B38" s="45">
        <v>17</v>
      </c>
      <c r="C38" s="144">
        <v>20.329000000000001</v>
      </c>
      <c r="D38" s="145">
        <v>20.329000000000001</v>
      </c>
    </row>
    <row r="39" spans="2:4" ht="18.75" x14ac:dyDescent="0.25">
      <c r="B39" s="45">
        <v>18</v>
      </c>
      <c r="C39" s="144">
        <v>20.158999999999999</v>
      </c>
      <c r="D39" s="145">
        <v>20.158999999999999</v>
      </c>
    </row>
    <row r="40" spans="2:4" ht="18.75" x14ac:dyDescent="0.25">
      <c r="B40" s="45">
        <v>19</v>
      </c>
      <c r="C40" s="144">
        <v>20.225999999999999</v>
      </c>
      <c r="D40" s="145">
        <v>20.225999999999999</v>
      </c>
    </row>
    <row r="41" spans="2:4" ht="18.75" x14ac:dyDescent="0.25">
      <c r="B41" s="45">
        <v>20</v>
      </c>
      <c r="C41" s="144">
        <v>20.280999999999999</v>
      </c>
      <c r="D41" s="145">
        <v>20.280999999999999</v>
      </c>
    </row>
    <row r="42" spans="2:4" ht="18.75" x14ac:dyDescent="0.25">
      <c r="B42" s="45">
        <v>21</v>
      </c>
      <c r="C42" s="144">
        <v>20.739000000000001</v>
      </c>
      <c r="D42" s="145">
        <v>20.739000000000001</v>
      </c>
    </row>
    <row r="43" spans="2:4" ht="18.75" x14ac:dyDescent="0.25">
      <c r="B43" s="45">
        <v>22</v>
      </c>
      <c r="C43" s="144">
        <v>20.111000000000001</v>
      </c>
      <c r="D43" s="145">
        <v>20.111000000000001</v>
      </c>
    </row>
    <row r="44" spans="2:4" ht="18.75" x14ac:dyDescent="0.25">
      <c r="B44" s="45">
        <v>23</v>
      </c>
      <c r="C44" s="144">
        <v>20.875</v>
      </c>
      <c r="D44" s="145">
        <v>20.875</v>
      </c>
    </row>
    <row r="45" spans="2:4" ht="18.75" x14ac:dyDescent="0.25">
      <c r="B45" s="45">
        <v>24</v>
      </c>
      <c r="C45" s="144"/>
      <c r="D45" s="145"/>
    </row>
    <row r="46" spans="2:4" ht="33.75" customHeight="1" x14ac:dyDescent="0.25">
      <c r="B46" s="46" t="s">
        <v>47</v>
      </c>
      <c r="C46" s="75">
        <f>AVERAGE(C22:C45)</f>
        <v>21.571478260869561</v>
      </c>
      <c r="D46" s="75"/>
    </row>
    <row r="47" spans="2:4" ht="31.5" x14ac:dyDescent="0.25">
      <c r="B47" s="48" t="s">
        <v>48</v>
      </c>
      <c r="C47" s="47">
        <f>_xlfn.STDEV.S(C21:C45)</f>
        <v>1.3241317308257929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'FOM303-32-Imprimir'!C14</f>
        <v>46057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'FOM303-32-Imprimir'!E14</f>
        <v>46057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20.466000000000001</v>
      </c>
      <c r="D21" s="72">
        <v>20.466000000000001</v>
      </c>
    </row>
    <row r="22" spans="2:7" ht="18.75" x14ac:dyDescent="0.25">
      <c r="B22" s="45">
        <v>1</v>
      </c>
      <c r="C22" s="72">
        <v>23.864000000000001</v>
      </c>
      <c r="D22" s="72">
        <v>23.864000000000001</v>
      </c>
    </row>
    <row r="23" spans="2:7" ht="18.75" x14ac:dyDescent="0.25">
      <c r="B23" s="45">
        <v>2</v>
      </c>
      <c r="C23" s="72">
        <v>23.876000000000001</v>
      </c>
      <c r="D23" s="72">
        <v>23.876000000000001</v>
      </c>
    </row>
    <row r="24" spans="2:7" ht="18.75" x14ac:dyDescent="0.25">
      <c r="B24" s="45">
        <v>3</v>
      </c>
      <c r="C24" s="72">
        <v>20.398</v>
      </c>
      <c r="D24" s="72">
        <v>20.398</v>
      </c>
    </row>
    <row r="25" spans="2:7" ht="18.75" x14ac:dyDescent="0.25">
      <c r="B25" s="45">
        <v>4</v>
      </c>
      <c r="C25" s="72">
        <v>20.375</v>
      </c>
      <c r="D25" s="72">
        <v>20.375</v>
      </c>
    </row>
    <row r="26" spans="2:7" ht="18.75" x14ac:dyDescent="0.25">
      <c r="B26" s="45">
        <v>5</v>
      </c>
      <c r="C26" s="72">
        <v>21.530999999999999</v>
      </c>
      <c r="D26" s="72">
        <v>21.530999999999999</v>
      </c>
    </row>
    <row r="27" spans="2:7" ht="18.75" x14ac:dyDescent="0.25">
      <c r="B27" s="45">
        <v>6</v>
      </c>
      <c r="C27" s="72">
        <v>23.24</v>
      </c>
      <c r="D27" s="72">
        <v>23.24</v>
      </c>
    </row>
    <row r="28" spans="2:7" ht="18.75" x14ac:dyDescent="0.25">
      <c r="B28" s="45">
        <v>7</v>
      </c>
      <c r="C28" s="72">
        <v>21.209</v>
      </c>
      <c r="D28" s="72">
        <v>21.209</v>
      </c>
    </row>
    <row r="29" spans="2:7" ht="18.75" x14ac:dyDescent="0.25">
      <c r="B29" s="45">
        <v>8</v>
      </c>
      <c r="C29" s="72">
        <v>20.89</v>
      </c>
      <c r="D29" s="72">
        <v>20.89</v>
      </c>
    </row>
    <row r="30" spans="2:7" ht="18.75" x14ac:dyDescent="0.25">
      <c r="B30" s="45">
        <v>9</v>
      </c>
      <c r="C30" s="72">
        <v>23.861999999999998</v>
      </c>
      <c r="D30" s="72">
        <v>23.861999999999998</v>
      </c>
    </row>
    <row r="31" spans="2:7" ht="18.75" x14ac:dyDescent="0.25">
      <c r="B31" s="45">
        <v>10</v>
      </c>
      <c r="C31" s="72">
        <v>23.856000000000002</v>
      </c>
      <c r="D31" s="72">
        <v>23.856000000000002</v>
      </c>
    </row>
    <row r="32" spans="2:7" ht="18.75" x14ac:dyDescent="0.25">
      <c r="B32" s="45">
        <v>11</v>
      </c>
      <c r="C32" s="72">
        <v>21.012</v>
      </c>
      <c r="D32" s="72">
        <v>21.012</v>
      </c>
    </row>
    <row r="33" spans="2:4" ht="18.75" x14ac:dyDescent="0.25">
      <c r="B33" s="45">
        <v>12</v>
      </c>
      <c r="C33" s="72">
        <v>21.109000000000002</v>
      </c>
      <c r="D33" s="72">
        <v>21.109000000000002</v>
      </c>
    </row>
    <row r="34" spans="2:4" ht="18.75" x14ac:dyDescent="0.25">
      <c r="B34" s="45">
        <v>13</v>
      </c>
      <c r="C34" s="72">
        <v>21.141999999999999</v>
      </c>
      <c r="D34" s="72">
        <v>21.141999999999999</v>
      </c>
    </row>
    <row r="35" spans="2:4" ht="18.75" x14ac:dyDescent="0.25">
      <c r="B35" s="45">
        <v>14</v>
      </c>
      <c r="C35" s="72">
        <v>21.085000000000001</v>
      </c>
      <c r="D35" s="72">
        <v>21.085000000000001</v>
      </c>
    </row>
    <row r="36" spans="2:4" ht="18.75" x14ac:dyDescent="0.25">
      <c r="B36" s="45">
        <v>15</v>
      </c>
      <c r="C36" s="72">
        <v>20.460999999999999</v>
      </c>
      <c r="D36" s="72">
        <v>20.460999999999999</v>
      </c>
    </row>
    <row r="37" spans="2:4" ht="18.75" x14ac:dyDescent="0.25">
      <c r="B37" s="45">
        <v>16</v>
      </c>
      <c r="C37" s="72">
        <v>20.387</v>
      </c>
      <c r="D37" s="72">
        <v>20.387</v>
      </c>
    </row>
    <row r="38" spans="2:4" ht="18.75" x14ac:dyDescent="0.25">
      <c r="B38" s="45">
        <v>17</v>
      </c>
      <c r="C38" s="72">
        <v>20.643999999999998</v>
      </c>
      <c r="D38" s="72">
        <v>20.643999999999998</v>
      </c>
    </row>
    <row r="39" spans="2:4" ht="18.75" x14ac:dyDescent="0.25">
      <c r="B39" s="45">
        <v>18</v>
      </c>
      <c r="C39" s="72">
        <v>20.651</v>
      </c>
      <c r="D39" s="72">
        <v>20.651</v>
      </c>
    </row>
    <row r="40" spans="2:4" ht="18.75" x14ac:dyDescent="0.25">
      <c r="B40" s="45">
        <v>19</v>
      </c>
      <c r="C40" s="72">
        <v>20.457000000000001</v>
      </c>
      <c r="D40" s="72">
        <v>20.457000000000001</v>
      </c>
    </row>
    <row r="41" spans="2:4" ht="18.75" x14ac:dyDescent="0.25">
      <c r="B41" s="45">
        <v>20</v>
      </c>
      <c r="C41" s="72">
        <v>20.228999999999999</v>
      </c>
      <c r="D41" s="72">
        <v>20.228999999999999</v>
      </c>
    </row>
    <row r="42" spans="2:4" ht="18.75" x14ac:dyDescent="0.25">
      <c r="B42" s="45">
        <v>21</v>
      </c>
      <c r="C42" s="72">
        <v>20.198</v>
      </c>
      <c r="D42" s="72">
        <v>20.198</v>
      </c>
    </row>
    <row r="43" spans="2:4" ht="18.75" x14ac:dyDescent="0.25">
      <c r="B43" s="45">
        <v>22</v>
      </c>
      <c r="C43" s="72">
        <v>20.164000000000001</v>
      </c>
      <c r="D43" s="72">
        <v>20.164000000000001</v>
      </c>
    </row>
    <row r="44" spans="2:4" ht="18.75" x14ac:dyDescent="0.25">
      <c r="B44" s="45">
        <v>23</v>
      </c>
      <c r="C44" s="72">
        <v>20.585000000000001</v>
      </c>
      <c r="D44" s="72">
        <v>20.585000000000001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21.357608695652171</v>
      </c>
      <c r="D46" s="75"/>
    </row>
    <row r="47" spans="2:4" ht="31.5" x14ac:dyDescent="0.25">
      <c r="B47" s="48" t="s">
        <v>48</v>
      </c>
      <c r="C47" s="47">
        <f>_xlfn.STDEV.S(C21:C45)</f>
        <v>1.3205464935649434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'FOM303-32-Imprimir'!C15</f>
        <v>46058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'FOM303-32-Imprimir'!E15</f>
        <v>46058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21.596</v>
      </c>
      <c r="D21" s="72">
        <v>21.596</v>
      </c>
    </row>
    <row r="22" spans="2:7" ht="18.75" x14ac:dyDescent="0.25">
      <c r="B22" s="45">
        <v>1</v>
      </c>
      <c r="C22" s="72">
        <v>22.559000000000001</v>
      </c>
      <c r="D22" s="72">
        <v>22.559000000000001</v>
      </c>
    </row>
    <row r="23" spans="2:7" ht="18.75" x14ac:dyDescent="0.25">
      <c r="B23" s="45">
        <v>2</v>
      </c>
      <c r="C23" s="72">
        <v>20.789000000000001</v>
      </c>
      <c r="D23" s="72">
        <v>20.789000000000001</v>
      </c>
    </row>
    <row r="24" spans="2:7" ht="18.75" x14ac:dyDescent="0.25">
      <c r="B24" s="45">
        <v>3</v>
      </c>
      <c r="C24" s="72">
        <v>20.847999999999999</v>
      </c>
      <c r="D24" s="72">
        <v>20.847999999999999</v>
      </c>
    </row>
    <row r="25" spans="2:7" ht="18.75" x14ac:dyDescent="0.25">
      <c r="B25" s="45">
        <v>4</v>
      </c>
      <c r="C25" s="72">
        <v>22.759</v>
      </c>
      <c r="D25" s="72">
        <v>22.759</v>
      </c>
    </row>
    <row r="26" spans="2:7" ht="18.75" x14ac:dyDescent="0.25">
      <c r="B26" s="45">
        <v>5</v>
      </c>
      <c r="C26" s="72">
        <v>23.893999999999998</v>
      </c>
      <c r="D26" s="72">
        <v>23.893999999999998</v>
      </c>
    </row>
    <row r="27" spans="2:7" ht="18.75" x14ac:dyDescent="0.25">
      <c r="B27" s="45">
        <v>6</v>
      </c>
      <c r="C27" s="72">
        <v>23.867000000000001</v>
      </c>
      <c r="D27" s="72">
        <v>23.867000000000001</v>
      </c>
    </row>
    <row r="28" spans="2:7" ht="18.75" x14ac:dyDescent="0.25">
      <c r="B28" s="45">
        <v>7</v>
      </c>
      <c r="C28" s="72">
        <v>23.768000000000001</v>
      </c>
      <c r="D28" s="72">
        <v>23.768000000000001</v>
      </c>
    </row>
    <row r="29" spans="2:7" ht="18.75" x14ac:dyDescent="0.25">
      <c r="B29" s="45">
        <v>8</v>
      </c>
      <c r="C29" s="72">
        <v>23.891999999999999</v>
      </c>
      <c r="D29" s="72">
        <v>23.891999999999999</v>
      </c>
    </row>
    <row r="30" spans="2:7" ht="18.75" x14ac:dyDescent="0.25">
      <c r="B30" s="45">
        <v>9</v>
      </c>
      <c r="C30" s="72">
        <v>23.864000000000001</v>
      </c>
      <c r="D30" s="72">
        <v>23.864000000000001</v>
      </c>
    </row>
    <row r="31" spans="2:7" ht="18.75" x14ac:dyDescent="0.25">
      <c r="B31" s="45">
        <v>10</v>
      </c>
      <c r="C31" s="72">
        <v>20.965</v>
      </c>
      <c r="D31" s="72">
        <v>20.965</v>
      </c>
    </row>
    <row r="32" spans="2:7" ht="18.75" x14ac:dyDescent="0.25">
      <c r="B32" s="45">
        <v>11</v>
      </c>
      <c r="C32" s="72">
        <v>21.161999999999999</v>
      </c>
      <c r="D32" s="72">
        <v>21.161999999999999</v>
      </c>
    </row>
    <row r="33" spans="2:4" ht="18.75" x14ac:dyDescent="0.25">
      <c r="B33" s="45">
        <v>12</v>
      </c>
      <c r="C33" s="72">
        <v>21.24</v>
      </c>
      <c r="D33" s="72">
        <v>21.24</v>
      </c>
    </row>
    <row r="34" spans="2:4" ht="18.75" x14ac:dyDescent="0.25">
      <c r="B34" s="45">
        <v>13</v>
      </c>
      <c r="C34" s="72">
        <v>21.073</v>
      </c>
      <c r="D34" s="72">
        <v>21.073</v>
      </c>
    </row>
    <row r="35" spans="2:4" ht="18.75" x14ac:dyDescent="0.25">
      <c r="B35" s="45">
        <v>14</v>
      </c>
      <c r="C35" s="72">
        <v>23.884</v>
      </c>
      <c r="D35" s="72">
        <v>23.884</v>
      </c>
    </row>
    <row r="36" spans="2:4" ht="18.75" x14ac:dyDescent="0.25">
      <c r="B36" s="45">
        <v>15</v>
      </c>
      <c r="C36" s="72">
        <v>23.859000000000002</v>
      </c>
      <c r="D36" s="72">
        <v>23.859000000000002</v>
      </c>
    </row>
    <row r="37" spans="2:4" ht="18.75" x14ac:dyDescent="0.25">
      <c r="B37" s="45">
        <v>16</v>
      </c>
      <c r="C37" s="72">
        <v>21.451000000000001</v>
      </c>
      <c r="D37" s="72">
        <v>21.451000000000001</v>
      </c>
    </row>
    <row r="38" spans="2:4" ht="18.75" x14ac:dyDescent="0.25">
      <c r="B38" s="45">
        <v>17</v>
      </c>
      <c r="C38" s="72">
        <v>20.631</v>
      </c>
      <c r="D38" s="72">
        <v>20.631</v>
      </c>
    </row>
    <row r="39" spans="2:4" ht="18.75" x14ac:dyDescent="0.25">
      <c r="B39" s="45">
        <v>18</v>
      </c>
      <c r="C39" s="72">
        <v>20.475000000000001</v>
      </c>
      <c r="D39" s="72">
        <v>20.475000000000001</v>
      </c>
    </row>
    <row r="40" spans="2:4" ht="18.75" x14ac:dyDescent="0.25">
      <c r="B40" s="45">
        <v>19</v>
      </c>
      <c r="C40" s="72">
        <v>20.361000000000001</v>
      </c>
      <c r="D40" s="72">
        <v>20.361000000000001</v>
      </c>
    </row>
    <row r="41" spans="2:4" ht="18.75" x14ac:dyDescent="0.25">
      <c r="B41" s="45">
        <v>20</v>
      </c>
      <c r="C41" s="72">
        <v>20.367999999999999</v>
      </c>
      <c r="D41" s="72">
        <v>20.367999999999999</v>
      </c>
    </row>
    <row r="42" spans="2:4" ht="18.75" x14ac:dyDescent="0.25">
      <c r="B42" s="45">
        <v>21</v>
      </c>
      <c r="C42" s="72">
        <v>22.702999999999999</v>
      </c>
      <c r="D42" s="72">
        <v>22.702999999999999</v>
      </c>
    </row>
    <row r="43" spans="2:4" ht="18.75" x14ac:dyDescent="0.25">
      <c r="B43" s="45">
        <v>22</v>
      </c>
      <c r="C43" s="72">
        <v>20.123999999999999</v>
      </c>
      <c r="D43" s="72">
        <v>20.123999999999999</v>
      </c>
    </row>
    <row r="44" spans="2:4" ht="18.75" x14ac:dyDescent="0.25">
      <c r="B44" s="45">
        <v>23</v>
      </c>
      <c r="C44" s="72">
        <v>20.635000000000002</v>
      </c>
      <c r="D44" s="72">
        <v>20.635000000000002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21.963956521739131</v>
      </c>
      <c r="D46" s="75"/>
    </row>
    <row r="47" spans="2:4" ht="31.5" x14ac:dyDescent="0.25">
      <c r="B47" s="48" t="s">
        <v>48</v>
      </c>
      <c r="C47" s="47">
        <f>_xlfn.STDEV.S(C21:C45)</f>
        <v>1.4291749463148007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'FOM303-32-Imprimir'!C16</f>
        <v>46059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'FOM303-32-Imprimir'!E16</f>
        <v>46059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22.684999999999999</v>
      </c>
      <c r="D21" s="72">
        <v>22.684999999999999</v>
      </c>
    </row>
    <row r="22" spans="2:7" ht="18.75" x14ac:dyDescent="0.25">
      <c r="B22" s="45">
        <v>1</v>
      </c>
      <c r="C22" s="72">
        <v>23.879000000000001</v>
      </c>
      <c r="D22" s="72">
        <v>23.879000000000001</v>
      </c>
    </row>
    <row r="23" spans="2:7" ht="18.75" x14ac:dyDescent="0.25">
      <c r="B23" s="45">
        <v>2</v>
      </c>
      <c r="C23" s="72">
        <v>20.478999999999999</v>
      </c>
      <c r="D23" s="72">
        <v>20.478999999999999</v>
      </c>
    </row>
    <row r="24" spans="2:7" ht="18.75" x14ac:dyDescent="0.25">
      <c r="B24" s="45">
        <v>3</v>
      </c>
      <c r="C24" s="72">
        <v>23.332999999999998</v>
      </c>
      <c r="D24" s="72">
        <v>23.332999999999998</v>
      </c>
    </row>
    <row r="25" spans="2:7" ht="18.75" x14ac:dyDescent="0.25">
      <c r="B25" s="45">
        <v>4</v>
      </c>
      <c r="C25" s="72">
        <v>21.321999999999999</v>
      </c>
      <c r="D25" s="72">
        <v>21.321999999999999</v>
      </c>
    </row>
    <row r="26" spans="2:7" ht="18.75" x14ac:dyDescent="0.25">
      <c r="B26" s="45">
        <v>5</v>
      </c>
      <c r="C26" s="72">
        <v>22.097000000000001</v>
      </c>
      <c r="D26" s="72">
        <v>22.097000000000001</v>
      </c>
    </row>
    <row r="27" spans="2:7" ht="18.75" x14ac:dyDescent="0.25">
      <c r="B27" s="45">
        <v>6</v>
      </c>
      <c r="C27" s="72">
        <v>21.14</v>
      </c>
      <c r="D27" s="72">
        <v>21.14</v>
      </c>
    </row>
    <row r="28" spans="2:7" ht="18.75" x14ac:dyDescent="0.25">
      <c r="B28" s="45">
        <v>7</v>
      </c>
      <c r="C28" s="72">
        <v>21.297000000000001</v>
      </c>
      <c r="D28" s="72">
        <v>21.297000000000001</v>
      </c>
    </row>
    <row r="29" spans="2:7" ht="18.75" x14ac:dyDescent="0.25">
      <c r="B29" s="45">
        <v>8</v>
      </c>
      <c r="C29" s="72">
        <v>22.097000000000001</v>
      </c>
      <c r="D29" s="72">
        <v>22.097000000000001</v>
      </c>
    </row>
    <row r="30" spans="2:7" ht="18.75" x14ac:dyDescent="0.25">
      <c r="B30" s="45">
        <v>9</v>
      </c>
      <c r="C30" s="72">
        <v>23.867999999999999</v>
      </c>
      <c r="D30" s="72">
        <v>23.867999999999999</v>
      </c>
    </row>
    <row r="31" spans="2:7" ht="18.75" x14ac:dyDescent="0.25">
      <c r="B31" s="45">
        <v>10</v>
      </c>
      <c r="C31" s="72">
        <v>23.251999999999999</v>
      </c>
      <c r="D31" s="72">
        <v>23.251999999999999</v>
      </c>
    </row>
    <row r="32" spans="2:7" ht="18.75" x14ac:dyDescent="0.25">
      <c r="B32" s="45">
        <v>11</v>
      </c>
      <c r="C32" s="72">
        <v>20.521999999999998</v>
      </c>
      <c r="D32" s="72">
        <v>20.521999999999998</v>
      </c>
    </row>
    <row r="33" spans="2:4" ht="18.75" x14ac:dyDescent="0.25">
      <c r="B33" s="45">
        <v>12</v>
      </c>
      <c r="C33" s="72">
        <v>21.167000000000002</v>
      </c>
      <c r="D33" s="72">
        <v>21.167000000000002</v>
      </c>
    </row>
    <row r="34" spans="2:4" ht="18.75" x14ac:dyDescent="0.25">
      <c r="B34" s="45">
        <v>13</v>
      </c>
      <c r="C34" s="72">
        <v>21.047000000000001</v>
      </c>
      <c r="D34" s="72">
        <v>21.047000000000001</v>
      </c>
    </row>
    <row r="35" spans="2:4" ht="18.75" x14ac:dyDescent="0.25">
      <c r="B35" s="45">
        <v>14</v>
      </c>
      <c r="C35" s="72">
        <v>21.161000000000001</v>
      </c>
      <c r="D35" s="72">
        <v>21.161000000000001</v>
      </c>
    </row>
    <row r="36" spans="2:4" ht="18.75" x14ac:dyDescent="0.25">
      <c r="B36" s="45">
        <v>15</v>
      </c>
      <c r="C36" s="72">
        <v>21.318000000000001</v>
      </c>
      <c r="D36" s="72">
        <v>21.318000000000001</v>
      </c>
    </row>
    <row r="37" spans="2:4" ht="18.75" x14ac:dyDescent="0.25">
      <c r="B37" s="45">
        <v>16</v>
      </c>
      <c r="C37" s="72">
        <v>20.864000000000001</v>
      </c>
      <c r="D37" s="72">
        <v>20.864000000000001</v>
      </c>
    </row>
    <row r="38" spans="2:4" ht="18.75" x14ac:dyDescent="0.25">
      <c r="B38" s="45">
        <v>17</v>
      </c>
      <c r="C38" s="72">
        <v>20.741</v>
      </c>
      <c r="D38" s="72">
        <v>20.741</v>
      </c>
    </row>
    <row r="39" spans="2:4" ht="18.75" x14ac:dyDescent="0.25">
      <c r="B39" s="45">
        <v>18</v>
      </c>
      <c r="C39" s="72">
        <v>20.838999999999999</v>
      </c>
      <c r="D39" s="72">
        <v>20.838999999999999</v>
      </c>
    </row>
    <row r="40" spans="2:4" ht="18.75" x14ac:dyDescent="0.25">
      <c r="B40" s="45">
        <v>19</v>
      </c>
      <c r="C40" s="72">
        <v>20.68</v>
      </c>
      <c r="D40" s="72">
        <v>20.68</v>
      </c>
    </row>
    <row r="41" spans="2:4" ht="18.75" x14ac:dyDescent="0.25">
      <c r="B41" s="45">
        <v>20</v>
      </c>
      <c r="C41" s="72">
        <v>20.913</v>
      </c>
      <c r="D41" s="72">
        <v>20.913</v>
      </c>
    </row>
    <row r="42" spans="2:4" ht="18.75" x14ac:dyDescent="0.25">
      <c r="B42" s="45">
        <v>21</v>
      </c>
      <c r="C42" s="72">
        <v>23.920999999999999</v>
      </c>
      <c r="D42" s="72">
        <v>23.920999999999999</v>
      </c>
    </row>
    <row r="43" spans="2:4" ht="18.75" x14ac:dyDescent="0.25">
      <c r="B43" s="45">
        <v>22</v>
      </c>
      <c r="C43" s="72">
        <v>23.896000000000001</v>
      </c>
      <c r="D43" s="72">
        <v>23.896000000000001</v>
      </c>
    </row>
    <row r="44" spans="2:4" ht="18.75" x14ac:dyDescent="0.25">
      <c r="B44" s="45">
        <v>23</v>
      </c>
      <c r="C44" s="72">
        <v>21.71</v>
      </c>
      <c r="D44" s="72">
        <v>21.71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21.806217391304347</v>
      </c>
      <c r="D46" s="75"/>
    </row>
    <row r="47" spans="2:4" ht="31.5" x14ac:dyDescent="0.25">
      <c r="B47" s="48" t="s">
        <v>48</v>
      </c>
      <c r="C47" s="47">
        <f>_xlfn.STDEV.S(C21:C45)</f>
        <v>1.2111592243246412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'FOM303-32-Imprimir'!C17</f>
        <v>46060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'FOM303-32-Imprimir'!E17</f>
        <v>46060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21.594000000000001</v>
      </c>
      <c r="D21" s="72">
        <v>21.594000000000001</v>
      </c>
    </row>
    <row r="22" spans="2:7" ht="18.75" x14ac:dyDescent="0.25">
      <c r="B22" s="45">
        <v>1</v>
      </c>
      <c r="C22" s="72">
        <v>23.873000000000001</v>
      </c>
      <c r="D22" s="72">
        <v>23.873000000000001</v>
      </c>
    </row>
    <row r="23" spans="2:7" ht="18.75" x14ac:dyDescent="0.25">
      <c r="B23" s="45">
        <v>2</v>
      </c>
      <c r="C23" s="72">
        <v>23.901</v>
      </c>
      <c r="D23" s="72">
        <v>23.901</v>
      </c>
    </row>
    <row r="24" spans="2:7" ht="18.75" x14ac:dyDescent="0.25">
      <c r="B24" s="45">
        <v>3</v>
      </c>
      <c r="C24" s="72">
        <v>22.093</v>
      </c>
      <c r="D24" s="72">
        <v>22.093</v>
      </c>
    </row>
    <row r="25" spans="2:7" ht="18.75" x14ac:dyDescent="0.25">
      <c r="B25" s="45">
        <v>4</v>
      </c>
      <c r="C25" s="72">
        <v>20.82</v>
      </c>
      <c r="D25" s="72">
        <v>20.82</v>
      </c>
    </row>
    <row r="26" spans="2:7" ht="18.75" x14ac:dyDescent="0.25">
      <c r="B26" s="45">
        <v>5</v>
      </c>
      <c r="C26" s="72">
        <v>22.643999999999998</v>
      </c>
      <c r="D26" s="72">
        <v>22.643999999999998</v>
      </c>
    </row>
    <row r="27" spans="2:7" ht="18.75" x14ac:dyDescent="0.25">
      <c r="B27" s="45">
        <v>6</v>
      </c>
      <c r="C27" s="72">
        <v>21.446000000000002</v>
      </c>
      <c r="D27" s="72">
        <v>21.446000000000002</v>
      </c>
    </row>
    <row r="28" spans="2:7" ht="18.75" x14ac:dyDescent="0.25">
      <c r="B28" s="45">
        <v>7</v>
      </c>
      <c r="C28" s="72">
        <v>23.951000000000001</v>
      </c>
      <c r="D28" s="72">
        <v>23.951000000000001</v>
      </c>
    </row>
    <row r="29" spans="2:7" ht="18.75" x14ac:dyDescent="0.25">
      <c r="B29" s="45">
        <v>8</v>
      </c>
      <c r="C29" s="72">
        <v>23.911999999999999</v>
      </c>
      <c r="D29" s="72">
        <v>23.911999999999999</v>
      </c>
    </row>
    <row r="30" spans="2:7" ht="18.75" x14ac:dyDescent="0.25">
      <c r="B30" s="45">
        <v>9</v>
      </c>
      <c r="C30" s="72">
        <v>23.835000000000001</v>
      </c>
      <c r="D30" s="72">
        <v>23.835000000000001</v>
      </c>
    </row>
    <row r="31" spans="2:7" ht="18.75" x14ac:dyDescent="0.25">
      <c r="B31" s="45">
        <v>10</v>
      </c>
      <c r="C31" s="72">
        <v>23.864000000000001</v>
      </c>
      <c r="D31" s="72">
        <v>23.864000000000001</v>
      </c>
    </row>
    <row r="32" spans="2:7" ht="18.75" x14ac:dyDescent="0.25">
      <c r="B32" s="45">
        <v>11</v>
      </c>
      <c r="C32" s="72">
        <v>23.937000000000001</v>
      </c>
      <c r="D32" s="72">
        <v>23.937000000000001</v>
      </c>
    </row>
    <row r="33" spans="2:4" ht="18.75" x14ac:dyDescent="0.25">
      <c r="B33" s="45">
        <v>12</v>
      </c>
      <c r="C33" s="72">
        <v>20.106999999999999</v>
      </c>
      <c r="D33" s="72">
        <v>20.106999999999999</v>
      </c>
    </row>
    <row r="34" spans="2:4" ht="18.75" x14ac:dyDescent="0.25">
      <c r="B34" s="45">
        <v>13</v>
      </c>
      <c r="C34" s="72">
        <v>20.210999999999999</v>
      </c>
      <c r="D34" s="72">
        <v>20.210999999999999</v>
      </c>
    </row>
    <row r="35" spans="2:4" ht="18.75" x14ac:dyDescent="0.25">
      <c r="B35" s="45">
        <v>14</v>
      </c>
      <c r="C35" s="72">
        <v>22.667999999999999</v>
      </c>
      <c r="D35" s="72">
        <v>22.667999999999999</v>
      </c>
    </row>
    <row r="36" spans="2:4" ht="18.75" x14ac:dyDescent="0.25">
      <c r="B36" s="45">
        <v>15</v>
      </c>
      <c r="C36" s="72">
        <v>23.945</v>
      </c>
      <c r="D36" s="72">
        <v>23.945</v>
      </c>
    </row>
    <row r="37" spans="2:4" ht="18.75" x14ac:dyDescent="0.25">
      <c r="B37" s="45">
        <v>16</v>
      </c>
      <c r="C37" s="72">
        <v>20.37</v>
      </c>
      <c r="D37" s="72">
        <v>20.37</v>
      </c>
    </row>
    <row r="38" spans="2:4" ht="18.75" x14ac:dyDescent="0.25">
      <c r="B38" s="45">
        <v>17</v>
      </c>
      <c r="C38" s="72">
        <v>21.042000000000002</v>
      </c>
      <c r="D38" s="72">
        <v>21.042000000000002</v>
      </c>
    </row>
    <row r="39" spans="2:4" ht="18.75" x14ac:dyDescent="0.25">
      <c r="B39" s="45">
        <v>18</v>
      </c>
      <c r="C39" s="72">
        <v>21.202999999999999</v>
      </c>
      <c r="D39" s="72">
        <v>21.202999999999999</v>
      </c>
    </row>
    <row r="40" spans="2:4" ht="18.75" x14ac:dyDescent="0.25">
      <c r="B40" s="45">
        <v>19</v>
      </c>
      <c r="C40" s="72">
        <v>21.065999999999999</v>
      </c>
      <c r="D40" s="72">
        <v>21.065999999999999</v>
      </c>
    </row>
    <row r="41" spans="2:4" ht="18.75" x14ac:dyDescent="0.25">
      <c r="B41" s="45">
        <v>20</v>
      </c>
      <c r="C41" s="72">
        <v>20.579000000000001</v>
      </c>
      <c r="D41" s="72">
        <v>20.579000000000001</v>
      </c>
    </row>
    <row r="42" spans="2:4" ht="18.75" x14ac:dyDescent="0.25">
      <c r="B42" s="45">
        <v>21</v>
      </c>
      <c r="C42" s="72">
        <v>20.826000000000001</v>
      </c>
      <c r="D42" s="72">
        <v>20.826000000000001</v>
      </c>
    </row>
    <row r="43" spans="2:4" ht="18.75" x14ac:dyDescent="0.25">
      <c r="B43" s="45">
        <v>22</v>
      </c>
      <c r="C43" s="72">
        <v>23.917999999999999</v>
      </c>
      <c r="D43" s="72">
        <v>23.917999999999999</v>
      </c>
    </row>
    <row r="44" spans="2:4" ht="18.75" x14ac:dyDescent="0.25">
      <c r="B44" s="45">
        <v>23</v>
      </c>
      <c r="C44" s="72">
        <v>22.385999999999999</v>
      </c>
      <c r="D44" s="72">
        <v>22.385999999999999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22.28682608695652</v>
      </c>
      <c r="D46" s="75"/>
    </row>
    <row r="47" spans="2:4" ht="31.5" x14ac:dyDescent="0.25">
      <c r="B47" s="48" t="s">
        <v>48</v>
      </c>
      <c r="C47" s="47">
        <f>_xlfn.STDEV.S(C21:C45)</f>
        <v>1.4624126426282154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'FOM303-32-Imprimir'!C18</f>
        <v>46061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'FOM303-32-Imprimir'!E18</f>
        <v>46061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23.846</v>
      </c>
      <c r="D21" s="72">
        <v>23.846</v>
      </c>
    </row>
    <row r="22" spans="2:7" ht="18.75" x14ac:dyDescent="0.25">
      <c r="B22" s="45">
        <v>1</v>
      </c>
      <c r="C22" s="72">
        <v>21.757999999999999</v>
      </c>
      <c r="D22" s="72">
        <v>21.757999999999999</v>
      </c>
    </row>
    <row r="23" spans="2:7" ht="18.75" x14ac:dyDescent="0.25">
      <c r="B23" s="45">
        <v>2</v>
      </c>
      <c r="C23" s="72">
        <v>23.908999999999999</v>
      </c>
      <c r="D23" s="72">
        <v>23.908999999999999</v>
      </c>
    </row>
    <row r="24" spans="2:7" ht="18.75" x14ac:dyDescent="0.25">
      <c r="B24" s="45">
        <v>3</v>
      </c>
      <c r="C24" s="72">
        <v>23.800999999999998</v>
      </c>
      <c r="D24" s="72">
        <v>23.800999999999998</v>
      </c>
    </row>
    <row r="25" spans="2:7" ht="18.75" x14ac:dyDescent="0.25">
      <c r="B25" s="45">
        <v>4</v>
      </c>
      <c r="C25" s="72">
        <v>23.28</v>
      </c>
      <c r="D25" s="72">
        <v>23.28</v>
      </c>
    </row>
    <row r="26" spans="2:7" ht="18.75" x14ac:dyDescent="0.25">
      <c r="B26" s="45">
        <v>5</v>
      </c>
      <c r="C26" s="72">
        <v>23.239000000000001</v>
      </c>
      <c r="D26" s="72">
        <v>23.239000000000001</v>
      </c>
    </row>
    <row r="27" spans="2:7" ht="18.75" x14ac:dyDescent="0.25">
      <c r="B27" s="45">
        <v>6</v>
      </c>
      <c r="C27" s="72">
        <v>23.878</v>
      </c>
      <c r="D27" s="72">
        <v>23.878</v>
      </c>
    </row>
    <row r="28" spans="2:7" ht="18.75" x14ac:dyDescent="0.25">
      <c r="B28" s="45">
        <v>7</v>
      </c>
      <c r="C28" s="72">
        <v>23.87</v>
      </c>
      <c r="D28" s="72">
        <v>23.87</v>
      </c>
    </row>
    <row r="29" spans="2:7" ht="18.75" x14ac:dyDescent="0.25">
      <c r="B29" s="45">
        <v>8</v>
      </c>
      <c r="C29" s="72">
        <v>22.024000000000001</v>
      </c>
      <c r="D29" s="72">
        <v>22.024000000000001</v>
      </c>
    </row>
    <row r="30" spans="2:7" ht="18.75" x14ac:dyDescent="0.25">
      <c r="B30" s="45">
        <v>9</v>
      </c>
      <c r="C30" s="72">
        <v>23.859000000000002</v>
      </c>
      <c r="D30" s="72">
        <v>23.859000000000002</v>
      </c>
    </row>
    <row r="31" spans="2:7" ht="18.75" x14ac:dyDescent="0.25">
      <c r="B31" s="45">
        <v>10</v>
      </c>
      <c r="C31" s="72">
        <v>23.898</v>
      </c>
      <c r="D31" s="72">
        <v>23.898</v>
      </c>
    </row>
    <row r="32" spans="2:7" ht="18.75" x14ac:dyDescent="0.25">
      <c r="B32" s="45">
        <v>11</v>
      </c>
      <c r="C32" s="72">
        <v>20.605</v>
      </c>
      <c r="D32" s="72">
        <v>20.605</v>
      </c>
    </row>
    <row r="33" spans="2:4" ht="18.75" x14ac:dyDescent="0.25">
      <c r="B33" s="45">
        <v>12</v>
      </c>
      <c r="C33" s="72">
        <v>21.193999999999999</v>
      </c>
      <c r="D33" s="72">
        <v>21.193999999999999</v>
      </c>
    </row>
    <row r="34" spans="2:4" ht="18.75" x14ac:dyDescent="0.25">
      <c r="B34" s="45">
        <v>13</v>
      </c>
      <c r="C34" s="72">
        <v>20.943999999999999</v>
      </c>
      <c r="D34" s="72">
        <v>20.943999999999999</v>
      </c>
    </row>
    <row r="35" spans="2:4" ht="18.75" x14ac:dyDescent="0.25">
      <c r="B35" s="45">
        <v>14</v>
      </c>
      <c r="C35" s="72">
        <v>20.666</v>
      </c>
      <c r="D35" s="72">
        <v>20.666</v>
      </c>
    </row>
    <row r="36" spans="2:4" ht="18.75" x14ac:dyDescent="0.25">
      <c r="B36" s="45">
        <v>15</v>
      </c>
      <c r="C36" s="72">
        <v>21.5</v>
      </c>
      <c r="D36" s="72">
        <v>21.5</v>
      </c>
    </row>
    <row r="37" spans="2:4" ht="18.75" x14ac:dyDescent="0.25">
      <c r="B37" s="45">
        <v>16</v>
      </c>
      <c r="C37" s="72">
        <v>23.911999999999999</v>
      </c>
      <c r="D37" s="72">
        <v>23.911999999999999</v>
      </c>
    </row>
    <row r="38" spans="2:4" ht="18.75" x14ac:dyDescent="0.25">
      <c r="B38" s="45">
        <v>17</v>
      </c>
      <c r="C38" s="72">
        <v>23.824000000000002</v>
      </c>
      <c r="D38" s="72">
        <v>23.824000000000002</v>
      </c>
    </row>
    <row r="39" spans="2:4" ht="18.75" x14ac:dyDescent="0.25">
      <c r="B39" s="45">
        <v>18</v>
      </c>
      <c r="C39" s="72">
        <v>23.896999999999998</v>
      </c>
      <c r="D39" s="72">
        <v>23.896999999999998</v>
      </c>
    </row>
    <row r="40" spans="2:4" ht="18.75" x14ac:dyDescent="0.25">
      <c r="B40" s="45">
        <v>19</v>
      </c>
      <c r="C40" s="72">
        <v>23.317</v>
      </c>
      <c r="D40" s="72">
        <v>23.317</v>
      </c>
    </row>
    <row r="41" spans="2:4" ht="18.75" x14ac:dyDescent="0.25">
      <c r="B41" s="45">
        <v>20</v>
      </c>
      <c r="C41" s="72">
        <v>20.129000000000001</v>
      </c>
      <c r="D41" s="72">
        <v>20.129000000000001</v>
      </c>
    </row>
    <row r="42" spans="2:4" ht="18.75" x14ac:dyDescent="0.25">
      <c r="B42" s="45">
        <v>21</v>
      </c>
      <c r="C42" s="72">
        <v>20.161999999999999</v>
      </c>
      <c r="D42" s="72">
        <v>20.161999999999999</v>
      </c>
    </row>
    <row r="43" spans="2:4" ht="18.75" x14ac:dyDescent="0.25">
      <c r="B43" s="45">
        <v>22</v>
      </c>
      <c r="C43" s="72">
        <v>20.413</v>
      </c>
      <c r="D43" s="72">
        <v>20.413</v>
      </c>
    </row>
    <row r="44" spans="2:4" ht="18.75" x14ac:dyDescent="0.25">
      <c r="B44" s="45">
        <v>23</v>
      </c>
      <c r="C44" s="72">
        <v>21.129000000000001</v>
      </c>
      <c r="D44" s="72">
        <v>21.129000000000001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22.400347826086954</v>
      </c>
      <c r="D46" s="75"/>
    </row>
    <row r="47" spans="2:4" ht="31.5" x14ac:dyDescent="0.25">
      <c r="B47" s="48" t="s">
        <v>48</v>
      </c>
      <c r="C47" s="47">
        <f>_xlfn.STDEV.S(C21:C45)</f>
        <v>1.4851629369450889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'FOM303-32-Imprimir'!C19</f>
        <v>46062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'FOM303-32-Imprimir'!E19</f>
        <v>46062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22.811</v>
      </c>
      <c r="D21" s="72">
        <v>22.811</v>
      </c>
    </row>
    <row r="22" spans="2:7" ht="18.75" x14ac:dyDescent="0.25">
      <c r="B22" s="45">
        <v>1</v>
      </c>
      <c r="C22" s="72">
        <v>21.997</v>
      </c>
      <c r="D22" s="72">
        <v>21.997</v>
      </c>
    </row>
    <row r="23" spans="2:7" ht="18.75" x14ac:dyDescent="0.25">
      <c r="B23" s="45">
        <v>2</v>
      </c>
      <c r="C23" s="72">
        <v>23.914000000000001</v>
      </c>
      <c r="D23" s="72">
        <v>23.914000000000001</v>
      </c>
    </row>
    <row r="24" spans="2:7" ht="18.75" x14ac:dyDescent="0.25">
      <c r="B24" s="45">
        <v>3</v>
      </c>
      <c r="C24" s="72">
        <v>22.016999999999999</v>
      </c>
      <c r="D24" s="72">
        <v>22.016999999999999</v>
      </c>
    </row>
    <row r="25" spans="2:7" ht="18.75" x14ac:dyDescent="0.25">
      <c r="B25" s="45">
        <v>4</v>
      </c>
      <c r="C25" s="72">
        <v>22.728999999999999</v>
      </c>
      <c r="D25" s="72">
        <v>22.728999999999999</v>
      </c>
    </row>
    <row r="26" spans="2:7" ht="18.75" x14ac:dyDescent="0.25">
      <c r="B26" s="45">
        <v>5</v>
      </c>
      <c r="C26" s="72">
        <v>22.745999999999999</v>
      </c>
      <c r="D26" s="72">
        <v>22.745999999999999</v>
      </c>
    </row>
    <row r="27" spans="2:7" ht="18.75" x14ac:dyDescent="0.25">
      <c r="B27" s="45">
        <v>6</v>
      </c>
      <c r="C27" s="72">
        <v>20.466000000000001</v>
      </c>
      <c r="D27" s="72">
        <v>20.466000000000001</v>
      </c>
    </row>
    <row r="28" spans="2:7" ht="18.75" x14ac:dyDescent="0.25">
      <c r="B28" s="45">
        <v>7</v>
      </c>
      <c r="C28" s="72">
        <v>20.981000000000002</v>
      </c>
      <c r="D28" s="72">
        <v>20.981000000000002</v>
      </c>
    </row>
    <row r="29" spans="2:7" ht="18.75" x14ac:dyDescent="0.25">
      <c r="B29" s="45">
        <v>8</v>
      </c>
      <c r="C29" s="72">
        <v>23.863</v>
      </c>
      <c r="D29" s="72">
        <v>23.863</v>
      </c>
    </row>
    <row r="30" spans="2:7" ht="18.75" x14ac:dyDescent="0.25">
      <c r="B30" s="45">
        <v>9</v>
      </c>
      <c r="C30" s="72">
        <v>23.876000000000001</v>
      </c>
      <c r="D30" s="72">
        <v>23.876000000000001</v>
      </c>
    </row>
    <row r="31" spans="2:7" ht="18.75" x14ac:dyDescent="0.25">
      <c r="B31" s="45">
        <v>10</v>
      </c>
      <c r="C31" s="72">
        <v>23.853999999999999</v>
      </c>
      <c r="D31" s="72">
        <v>23.853999999999999</v>
      </c>
    </row>
    <row r="32" spans="2:7" ht="18.75" x14ac:dyDescent="0.25">
      <c r="B32" s="45">
        <v>11</v>
      </c>
      <c r="C32" s="72">
        <v>23.934999999999999</v>
      </c>
      <c r="D32" s="72">
        <v>23.934999999999999</v>
      </c>
    </row>
    <row r="33" spans="2:4" ht="18.75" x14ac:dyDescent="0.25">
      <c r="B33" s="45">
        <v>12</v>
      </c>
      <c r="C33" s="72">
        <v>23.974</v>
      </c>
      <c r="D33" s="72">
        <v>23.974</v>
      </c>
    </row>
    <row r="34" spans="2:4" ht="18.75" x14ac:dyDescent="0.25">
      <c r="B34" s="45">
        <v>13</v>
      </c>
      <c r="C34" s="72">
        <v>23.992999999999999</v>
      </c>
      <c r="D34" s="72">
        <v>23.992999999999999</v>
      </c>
    </row>
    <row r="35" spans="2:4" ht="18.75" x14ac:dyDescent="0.25">
      <c r="B35" s="45">
        <v>14</v>
      </c>
      <c r="C35" s="72">
        <v>22.02</v>
      </c>
      <c r="D35" s="72">
        <v>22.02</v>
      </c>
    </row>
    <row r="36" spans="2:4" ht="18.75" x14ac:dyDescent="0.25">
      <c r="B36" s="45">
        <v>15</v>
      </c>
      <c r="C36" s="72">
        <v>23.981000000000002</v>
      </c>
      <c r="D36" s="72">
        <v>23.981000000000002</v>
      </c>
    </row>
    <row r="37" spans="2:4" ht="18.75" x14ac:dyDescent="0.25">
      <c r="B37" s="45">
        <v>16</v>
      </c>
      <c r="C37" s="72">
        <v>20.227</v>
      </c>
      <c r="D37" s="72">
        <v>20.227</v>
      </c>
    </row>
    <row r="38" spans="2:4" ht="18.75" x14ac:dyDescent="0.25">
      <c r="B38" s="45">
        <v>17</v>
      </c>
      <c r="C38" s="72">
        <v>20.648</v>
      </c>
      <c r="D38" s="72">
        <v>20.648</v>
      </c>
    </row>
    <row r="39" spans="2:4" ht="18.75" x14ac:dyDescent="0.25">
      <c r="B39" s="45">
        <v>18</v>
      </c>
      <c r="C39" s="72">
        <v>22.134</v>
      </c>
      <c r="D39" s="72">
        <v>22.134</v>
      </c>
    </row>
    <row r="40" spans="2:4" ht="18.75" x14ac:dyDescent="0.25">
      <c r="B40" s="45">
        <v>19</v>
      </c>
      <c r="C40" s="72">
        <v>23.943000000000001</v>
      </c>
      <c r="D40" s="72">
        <v>23.943000000000001</v>
      </c>
    </row>
    <row r="41" spans="2:4" ht="18.75" x14ac:dyDescent="0.25">
      <c r="B41" s="45">
        <v>20</v>
      </c>
      <c r="C41" s="72">
        <v>23.792999999999999</v>
      </c>
      <c r="D41" s="72">
        <v>23.792999999999999</v>
      </c>
    </row>
    <row r="42" spans="2:4" ht="18.75" x14ac:dyDescent="0.25">
      <c r="B42" s="45">
        <v>21</v>
      </c>
      <c r="C42" s="72">
        <v>23.849</v>
      </c>
      <c r="D42" s="72">
        <v>23.849</v>
      </c>
    </row>
    <row r="43" spans="2:4" ht="18.75" x14ac:dyDescent="0.25">
      <c r="B43" s="45">
        <v>22</v>
      </c>
      <c r="C43" s="72">
        <v>23.891999999999999</v>
      </c>
      <c r="D43" s="72">
        <v>23.891999999999999</v>
      </c>
    </row>
    <row r="44" spans="2:4" ht="18.75" x14ac:dyDescent="0.25">
      <c r="B44" s="45">
        <v>23</v>
      </c>
      <c r="C44" s="72">
        <v>21.768000000000001</v>
      </c>
      <c r="D44" s="72">
        <v>21.768000000000001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22.80869565217391</v>
      </c>
      <c r="D46" s="75"/>
    </row>
    <row r="47" spans="2:4" ht="31.5" x14ac:dyDescent="0.25">
      <c r="B47" s="48" t="s">
        <v>48</v>
      </c>
      <c r="C47" s="47">
        <f>_xlfn.STDEV.S(C21:C45)</f>
        <v>1.2870320079519209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'FOM303-32-Imprimir'!C20</f>
        <v>46063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'FOM303-32-Imprimir'!E20</f>
        <v>46063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22.041</v>
      </c>
      <c r="D21" s="72">
        <v>22.041</v>
      </c>
    </row>
    <row r="22" spans="2:7" ht="18.75" x14ac:dyDescent="0.25">
      <c r="B22" s="45">
        <v>1</v>
      </c>
      <c r="C22" s="72">
        <v>23.856000000000002</v>
      </c>
      <c r="D22" s="72">
        <v>23.856000000000002</v>
      </c>
    </row>
    <row r="23" spans="2:7" ht="18.75" x14ac:dyDescent="0.25">
      <c r="B23" s="45">
        <v>2</v>
      </c>
      <c r="C23" s="72">
        <v>21.856000000000002</v>
      </c>
      <c r="D23" s="72">
        <v>21.856000000000002</v>
      </c>
    </row>
    <row r="24" spans="2:7" ht="18.75" x14ac:dyDescent="0.25">
      <c r="B24" s="45">
        <v>3</v>
      </c>
      <c r="C24" s="72">
        <v>23.936</v>
      </c>
      <c r="D24" s="72">
        <v>23.936</v>
      </c>
    </row>
    <row r="25" spans="2:7" ht="18.75" x14ac:dyDescent="0.25">
      <c r="B25" s="45">
        <v>4</v>
      </c>
      <c r="C25" s="72">
        <v>22.128</v>
      </c>
      <c r="D25" s="72">
        <v>22.128</v>
      </c>
    </row>
    <row r="26" spans="2:7" ht="18.75" x14ac:dyDescent="0.25">
      <c r="B26" s="45">
        <v>5</v>
      </c>
      <c r="C26" s="72">
        <v>21.53</v>
      </c>
      <c r="D26" s="72">
        <v>21.53</v>
      </c>
    </row>
    <row r="27" spans="2:7" ht="18.75" x14ac:dyDescent="0.25">
      <c r="B27" s="45">
        <v>6</v>
      </c>
      <c r="C27" s="72">
        <v>22.725000000000001</v>
      </c>
      <c r="D27" s="72">
        <v>22.725000000000001</v>
      </c>
    </row>
    <row r="28" spans="2:7" ht="18.75" x14ac:dyDescent="0.25">
      <c r="B28" s="45">
        <v>7</v>
      </c>
      <c r="C28" s="72">
        <v>20.356999999999999</v>
      </c>
      <c r="D28" s="72">
        <v>20.356999999999999</v>
      </c>
    </row>
    <row r="29" spans="2:7" ht="18.75" x14ac:dyDescent="0.25">
      <c r="B29" s="45">
        <v>8</v>
      </c>
      <c r="C29" s="72">
        <v>21.821999999999999</v>
      </c>
      <c r="D29" s="72">
        <v>21.821999999999999</v>
      </c>
    </row>
    <row r="30" spans="2:7" ht="18.75" x14ac:dyDescent="0.25">
      <c r="B30" s="45">
        <v>9</v>
      </c>
      <c r="C30" s="72">
        <v>21.268000000000001</v>
      </c>
      <c r="D30" s="72">
        <v>21.268000000000001</v>
      </c>
    </row>
    <row r="31" spans="2:7" ht="18.75" x14ac:dyDescent="0.25">
      <c r="B31" s="45">
        <v>10</v>
      </c>
      <c r="C31" s="72">
        <v>21.202999999999999</v>
      </c>
      <c r="D31" s="72">
        <v>21.202999999999999</v>
      </c>
    </row>
    <row r="32" spans="2:7" ht="18.75" x14ac:dyDescent="0.25">
      <c r="B32" s="45">
        <v>11</v>
      </c>
      <c r="C32" s="72">
        <v>21.734999999999999</v>
      </c>
      <c r="D32" s="72">
        <v>21.734999999999999</v>
      </c>
    </row>
    <row r="33" spans="2:4" ht="18.75" x14ac:dyDescent="0.25">
      <c r="B33" s="45">
        <v>12</v>
      </c>
      <c r="C33" s="72">
        <v>21.780999999999999</v>
      </c>
      <c r="D33" s="72">
        <v>21.780999999999999</v>
      </c>
    </row>
    <row r="34" spans="2:4" ht="18.75" x14ac:dyDescent="0.25">
      <c r="B34" s="45">
        <v>13</v>
      </c>
      <c r="C34" s="72">
        <v>21.942</v>
      </c>
      <c r="D34" s="72">
        <v>21.942</v>
      </c>
    </row>
    <row r="35" spans="2:4" ht="18.75" x14ac:dyDescent="0.25">
      <c r="B35" s="45">
        <v>14</v>
      </c>
      <c r="C35" s="72">
        <v>21.643999999999998</v>
      </c>
      <c r="D35" s="72">
        <v>21.643999999999998</v>
      </c>
    </row>
    <row r="36" spans="2:4" ht="18.75" x14ac:dyDescent="0.25">
      <c r="B36" s="45">
        <v>15</v>
      </c>
      <c r="C36" s="72">
        <v>21.42</v>
      </c>
      <c r="D36" s="72">
        <v>21.42</v>
      </c>
    </row>
    <row r="37" spans="2:4" ht="18.75" x14ac:dyDescent="0.25">
      <c r="B37" s="45">
        <v>16</v>
      </c>
      <c r="C37" s="72">
        <v>21.920999999999999</v>
      </c>
      <c r="D37" s="72">
        <v>21.920999999999999</v>
      </c>
    </row>
    <row r="38" spans="2:4" ht="18.75" x14ac:dyDescent="0.25">
      <c r="B38" s="45">
        <v>17</v>
      </c>
      <c r="C38" s="72">
        <v>21.652999999999999</v>
      </c>
      <c r="D38" s="72">
        <v>21.652999999999999</v>
      </c>
    </row>
    <row r="39" spans="2:4" ht="18.75" x14ac:dyDescent="0.25">
      <c r="B39" s="45">
        <v>18</v>
      </c>
      <c r="C39" s="72">
        <v>20.664000000000001</v>
      </c>
      <c r="D39" s="72">
        <v>20.664000000000001</v>
      </c>
    </row>
    <row r="40" spans="2:4" ht="18.75" x14ac:dyDescent="0.25">
      <c r="B40" s="45">
        <v>19</v>
      </c>
      <c r="C40" s="72">
        <v>22.655000000000001</v>
      </c>
      <c r="D40" s="72">
        <v>22.655000000000001</v>
      </c>
    </row>
    <row r="41" spans="2:4" ht="18.75" x14ac:dyDescent="0.25">
      <c r="B41" s="45">
        <v>20</v>
      </c>
      <c r="C41" s="72">
        <v>23.838000000000001</v>
      </c>
      <c r="D41" s="72">
        <v>23.838000000000001</v>
      </c>
    </row>
    <row r="42" spans="2:4" ht="18.75" x14ac:dyDescent="0.25">
      <c r="B42" s="45">
        <v>21</v>
      </c>
      <c r="C42" s="72">
        <v>23.837</v>
      </c>
      <c r="D42" s="72">
        <v>23.837</v>
      </c>
    </row>
    <row r="43" spans="2:4" ht="18.75" x14ac:dyDescent="0.25">
      <c r="B43" s="45">
        <v>22</v>
      </c>
      <c r="C43" s="72">
        <v>23.904</v>
      </c>
      <c r="D43" s="72">
        <v>23.904</v>
      </c>
    </row>
    <row r="44" spans="2:4" ht="18.75" x14ac:dyDescent="0.25">
      <c r="B44" s="45">
        <v>23</v>
      </c>
      <c r="C44" s="72">
        <v>22.632999999999999</v>
      </c>
      <c r="D44" s="72">
        <v>22.632999999999999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22.187304347826085</v>
      </c>
      <c r="D46" s="75"/>
    </row>
    <row r="47" spans="2:4" ht="31.5" x14ac:dyDescent="0.25">
      <c r="B47" s="48" t="s">
        <v>48</v>
      </c>
      <c r="C47" s="47">
        <f>_xlfn.STDEV.S(C21:C45)</f>
        <v>1.0383143521306926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'FOM303-32-Imprimir'!C21</f>
        <v>46064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'FOM303-32-Imprimir'!E21</f>
        <v>46064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21.385000000000002</v>
      </c>
      <c r="D21" s="72">
        <v>21.385000000000002</v>
      </c>
    </row>
    <row r="22" spans="2:7" ht="18.75" x14ac:dyDescent="0.25">
      <c r="B22" s="45">
        <v>1</v>
      </c>
      <c r="C22" s="72">
        <v>23.83</v>
      </c>
      <c r="D22" s="72">
        <v>23.83</v>
      </c>
    </row>
    <row r="23" spans="2:7" ht="18.75" x14ac:dyDescent="0.25">
      <c r="B23" s="45">
        <v>2</v>
      </c>
      <c r="C23" s="72">
        <v>22.661999999999999</v>
      </c>
      <c r="D23" s="72">
        <v>22.661999999999999</v>
      </c>
    </row>
    <row r="24" spans="2:7" ht="18.75" x14ac:dyDescent="0.25">
      <c r="B24" s="45">
        <v>3</v>
      </c>
      <c r="C24" s="72">
        <v>22.803999999999998</v>
      </c>
      <c r="D24" s="72">
        <v>22.803999999999998</v>
      </c>
    </row>
    <row r="25" spans="2:7" ht="18.75" x14ac:dyDescent="0.25">
      <c r="B25" s="45">
        <v>4</v>
      </c>
      <c r="C25" s="72">
        <v>20.666</v>
      </c>
      <c r="D25" s="72">
        <v>20.666</v>
      </c>
    </row>
    <row r="26" spans="2:7" ht="18.75" x14ac:dyDescent="0.25">
      <c r="B26" s="45">
        <v>5</v>
      </c>
      <c r="C26" s="72">
        <v>21.399000000000001</v>
      </c>
      <c r="D26" s="72">
        <v>21.399000000000001</v>
      </c>
    </row>
    <row r="27" spans="2:7" ht="18.75" x14ac:dyDescent="0.25">
      <c r="B27" s="45">
        <v>6</v>
      </c>
      <c r="C27" s="72">
        <v>21.687999999999999</v>
      </c>
      <c r="D27" s="72">
        <v>21.687999999999999</v>
      </c>
    </row>
    <row r="28" spans="2:7" ht="18.75" x14ac:dyDescent="0.25">
      <c r="B28" s="45">
        <v>7</v>
      </c>
      <c r="C28" s="72">
        <v>23.19</v>
      </c>
      <c r="D28" s="72">
        <v>23.19</v>
      </c>
    </row>
    <row r="29" spans="2:7" ht="18.75" x14ac:dyDescent="0.25">
      <c r="B29" s="45">
        <v>8</v>
      </c>
      <c r="C29" s="72">
        <v>21.105</v>
      </c>
      <c r="D29" s="72">
        <v>21.105</v>
      </c>
    </row>
    <row r="30" spans="2:7" ht="18.75" x14ac:dyDescent="0.25">
      <c r="B30" s="45">
        <v>9</v>
      </c>
      <c r="C30" s="72">
        <v>22.471</v>
      </c>
      <c r="D30" s="72">
        <v>22.471</v>
      </c>
    </row>
    <row r="31" spans="2:7" ht="18.75" x14ac:dyDescent="0.25">
      <c r="B31" s="45">
        <v>10</v>
      </c>
      <c r="C31" s="72">
        <v>21.609000000000002</v>
      </c>
      <c r="D31" s="72">
        <v>21.609000000000002</v>
      </c>
    </row>
    <row r="32" spans="2:7" ht="18.75" x14ac:dyDescent="0.25">
      <c r="B32" s="45">
        <v>11</v>
      </c>
      <c r="C32" s="72">
        <v>20.92</v>
      </c>
      <c r="D32" s="72">
        <v>20.92</v>
      </c>
    </row>
    <row r="33" spans="2:4" ht="18.75" x14ac:dyDescent="0.25">
      <c r="B33" s="45">
        <v>12</v>
      </c>
      <c r="C33" s="72">
        <v>21.411999999999999</v>
      </c>
      <c r="D33" s="72">
        <v>21.411999999999999</v>
      </c>
    </row>
    <row r="34" spans="2:4" ht="18.75" x14ac:dyDescent="0.25">
      <c r="B34" s="45">
        <v>13</v>
      </c>
      <c r="C34" s="72">
        <v>21.359000000000002</v>
      </c>
      <c r="D34" s="72">
        <v>21.359000000000002</v>
      </c>
    </row>
    <row r="35" spans="2:4" ht="18.75" x14ac:dyDescent="0.25">
      <c r="B35" s="45">
        <v>14</v>
      </c>
      <c r="C35" s="72">
        <v>21.27</v>
      </c>
      <c r="D35" s="72">
        <v>21.27</v>
      </c>
    </row>
    <row r="36" spans="2:4" ht="18.75" x14ac:dyDescent="0.25">
      <c r="B36" s="45">
        <v>15</v>
      </c>
      <c r="C36" s="72">
        <v>20.905000000000001</v>
      </c>
      <c r="D36" s="72">
        <v>20.905000000000001</v>
      </c>
    </row>
    <row r="37" spans="2:4" ht="18.75" x14ac:dyDescent="0.25">
      <c r="B37" s="45">
        <v>16</v>
      </c>
      <c r="C37" s="72">
        <v>21.048999999999999</v>
      </c>
      <c r="D37" s="72">
        <v>21.048999999999999</v>
      </c>
    </row>
    <row r="38" spans="2:4" ht="18.75" x14ac:dyDescent="0.25">
      <c r="B38" s="45">
        <v>17</v>
      </c>
      <c r="C38" s="72">
        <v>21.224</v>
      </c>
      <c r="D38" s="72">
        <v>21.224</v>
      </c>
    </row>
    <row r="39" spans="2:4" ht="18.75" x14ac:dyDescent="0.25">
      <c r="B39" s="45">
        <v>18</v>
      </c>
      <c r="C39" s="72">
        <v>21.056999999999999</v>
      </c>
      <c r="D39" s="72">
        <v>21.056999999999999</v>
      </c>
    </row>
    <row r="40" spans="2:4" ht="18.75" x14ac:dyDescent="0.25">
      <c r="B40" s="45">
        <v>19</v>
      </c>
      <c r="C40" s="72">
        <v>21.11</v>
      </c>
      <c r="D40" s="72">
        <v>21.11</v>
      </c>
    </row>
    <row r="41" spans="2:4" ht="18.75" x14ac:dyDescent="0.25">
      <c r="B41" s="45">
        <v>20</v>
      </c>
      <c r="C41" s="72">
        <v>21.254999999999999</v>
      </c>
      <c r="D41" s="72">
        <v>21.254999999999999</v>
      </c>
    </row>
    <row r="42" spans="2:4" ht="18.75" x14ac:dyDescent="0.25">
      <c r="B42" s="45">
        <v>21</v>
      </c>
      <c r="C42" s="72">
        <v>20.701000000000001</v>
      </c>
      <c r="D42" s="72">
        <v>20.701000000000001</v>
      </c>
    </row>
    <row r="43" spans="2:4" ht="18.75" x14ac:dyDescent="0.25">
      <c r="B43" s="45">
        <v>22</v>
      </c>
      <c r="C43" s="72">
        <v>23.332000000000001</v>
      </c>
      <c r="D43" s="72">
        <v>23.332000000000001</v>
      </c>
    </row>
    <row r="44" spans="2:4" ht="18.75" x14ac:dyDescent="0.25">
      <c r="B44" s="45">
        <v>23</v>
      </c>
      <c r="C44" s="72">
        <v>20.69</v>
      </c>
      <c r="D44" s="72">
        <v>20.69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21.639478260869563</v>
      </c>
      <c r="D46" s="75"/>
    </row>
    <row r="47" spans="2:4" ht="31.5" x14ac:dyDescent="0.25">
      <c r="B47" s="48" t="s">
        <v>48</v>
      </c>
      <c r="C47" s="47">
        <f>_xlfn.STDEV.S(C21:C45)</f>
        <v>0.90677998446006225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B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'FOM303-32-Imprimir'!C22</f>
        <v>46065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'FOM303-32-Imprimir'!E22</f>
        <v>46065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21.93</v>
      </c>
      <c r="D21" s="72">
        <v>21.93</v>
      </c>
    </row>
    <row r="22" spans="2:7" ht="18.75" x14ac:dyDescent="0.25">
      <c r="B22" s="45">
        <v>1</v>
      </c>
      <c r="C22" s="72">
        <v>23.405000000000001</v>
      </c>
      <c r="D22" s="72">
        <v>23.405000000000001</v>
      </c>
    </row>
    <row r="23" spans="2:7" ht="18.75" x14ac:dyDescent="0.25">
      <c r="B23" s="45">
        <v>2</v>
      </c>
      <c r="C23" s="72">
        <v>22.643000000000001</v>
      </c>
      <c r="D23" s="72">
        <v>22.643000000000001</v>
      </c>
    </row>
    <row r="24" spans="2:7" ht="18.75" x14ac:dyDescent="0.25">
      <c r="B24" s="45">
        <v>3</v>
      </c>
      <c r="C24" s="72">
        <v>23.907</v>
      </c>
      <c r="D24" s="72">
        <v>23.907</v>
      </c>
    </row>
    <row r="25" spans="2:7" ht="18.75" x14ac:dyDescent="0.25">
      <c r="B25" s="45">
        <v>4</v>
      </c>
      <c r="C25" s="72">
        <v>23.811</v>
      </c>
      <c r="D25" s="72">
        <v>23.811</v>
      </c>
    </row>
    <row r="26" spans="2:7" ht="18.75" x14ac:dyDescent="0.25">
      <c r="B26" s="45">
        <v>5</v>
      </c>
      <c r="C26" s="72">
        <v>23.838999999999999</v>
      </c>
      <c r="D26" s="72">
        <v>23.838999999999999</v>
      </c>
    </row>
    <row r="27" spans="2:7" ht="18.75" x14ac:dyDescent="0.25">
      <c r="B27" s="45">
        <v>6</v>
      </c>
      <c r="C27" s="72">
        <v>21.776</v>
      </c>
      <c r="D27" s="72">
        <v>21.776</v>
      </c>
    </row>
    <row r="28" spans="2:7" ht="18.75" x14ac:dyDescent="0.25">
      <c r="B28" s="45">
        <v>7</v>
      </c>
      <c r="C28" s="72">
        <v>23.844999999999999</v>
      </c>
      <c r="D28" s="72">
        <v>23.844999999999999</v>
      </c>
    </row>
    <row r="29" spans="2:7" ht="18.75" x14ac:dyDescent="0.25">
      <c r="B29" s="45">
        <v>8</v>
      </c>
      <c r="C29" s="72">
        <v>21.504000000000001</v>
      </c>
      <c r="D29" s="72">
        <v>21.504000000000001</v>
      </c>
    </row>
    <row r="30" spans="2:7" ht="18.75" x14ac:dyDescent="0.25">
      <c r="B30" s="45">
        <v>9</v>
      </c>
      <c r="C30" s="72">
        <v>21.068000000000001</v>
      </c>
      <c r="D30" s="72">
        <v>21.068000000000001</v>
      </c>
    </row>
    <row r="31" spans="2:7" ht="18.75" x14ac:dyDescent="0.25">
      <c r="B31" s="45">
        <v>10</v>
      </c>
      <c r="C31" s="72">
        <v>21.571999999999999</v>
      </c>
      <c r="D31" s="72">
        <v>21.571999999999999</v>
      </c>
    </row>
    <row r="32" spans="2:7" ht="18.75" x14ac:dyDescent="0.25">
      <c r="B32" s="45">
        <v>11</v>
      </c>
      <c r="C32" s="72">
        <v>21.253</v>
      </c>
      <c r="D32" s="72">
        <v>21.253</v>
      </c>
    </row>
    <row r="33" spans="2:4" ht="18.75" x14ac:dyDescent="0.25">
      <c r="B33" s="45">
        <v>12</v>
      </c>
      <c r="C33" s="72">
        <v>20.928999999999998</v>
      </c>
      <c r="D33" s="72">
        <v>20.928999999999998</v>
      </c>
    </row>
    <row r="34" spans="2:4" ht="18.75" x14ac:dyDescent="0.25">
      <c r="B34" s="45">
        <v>13</v>
      </c>
      <c r="C34" s="72">
        <v>20.949000000000002</v>
      </c>
      <c r="D34" s="72">
        <v>20.949000000000002</v>
      </c>
    </row>
    <row r="35" spans="2:4" ht="18.75" x14ac:dyDescent="0.25">
      <c r="B35" s="45">
        <v>14</v>
      </c>
      <c r="C35" s="72">
        <v>21.472000000000001</v>
      </c>
      <c r="D35" s="72">
        <v>21.472000000000001</v>
      </c>
    </row>
    <row r="36" spans="2:4" ht="18.75" x14ac:dyDescent="0.25">
      <c r="B36" s="45">
        <v>15</v>
      </c>
      <c r="C36" s="72">
        <v>21.164000000000001</v>
      </c>
      <c r="D36" s="72">
        <v>21.164000000000001</v>
      </c>
    </row>
    <row r="37" spans="2:4" ht="18.75" x14ac:dyDescent="0.25">
      <c r="B37" s="45">
        <v>16</v>
      </c>
      <c r="C37" s="72">
        <v>21.486000000000001</v>
      </c>
      <c r="D37" s="72">
        <v>21.486000000000001</v>
      </c>
    </row>
    <row r="38" spans="2:4" ht="18.75" x14ac:dyDescent="0.25">
      <c r="B38" s="45">
        <v>17</v>
      </c>
      <c r="C38" s="72">
        <v>21.14</v>
      </c>
      <c r="D38" s="72">
        <v>21.14</v>
      </c>
    </row>
    <row r="39" spans="2:4" ht="18.75" x14ac:dyDescent="0.25">
      <c r="B39" s="45">
        <v>18</v>
      </c>
      <c r="C39" s="72">
        <v>20.954999999999998</v>
      </c>
      <c r="D39" s="72">
        <v>20.954999999999998</v>
      </c>
    </row>
    <row r="40" spans="2:4" ht="18.75" x14ac:dyDescent="0.25">
      <c r="B40" s="45">
        <v>19</v>
      </c>
      <c r="C40" s="72">
        <v>20.844000000000001</v>
      </c>
      <c r="D40" s="72">
        <v>20.844000000000001</v>
      </c>
    </row>
    <row r="41" spans="2:4" ht="18.75" x14ac:dyDescent="0.25">
      <c r="B41" s="45">
        <v>20</v>
      </c>
      <c r="C41" s="72">
        <v>20.411999999999999</v>
      </c>
      <c r="D41" s="72">
        <v>20.411999999999999</v>
      </c>
    </row>
    <row r="42" spans="2:4" ht="18.75" x14ac:dyDescent="0.25">
      <c r="B42" s="45">
        <v>21</v>
      </c>
      <c r="C42" s="72">
        <v>20.088000000000001</v>
      </c>
      <c r="D42" s="72">
        <v>20.088000000000001</v>
      </c>
    </row>
    <row r="43" spans="2:4" ht="18.75" x14ac:dyDescent="0.25">
      <c r="B43" s="45">
        <v>22</v>
      </c>
      <c r="C43" s="72">
        <v>22.021999999999998</v>
      </c>
      <c r="D43" s="72">
        <v>22.021999999999998</v>
      </c>
    </row>
    <row r="44" spans="2:4" ht="18.75" x14ac:dyDescent="0.25">
      <c r="B44" s="45">
        <v>23</v>
      </c>
      <c r="C44" s="72">
        <v>20.879000000000001</v>
      </c>
      <c r="D44" s="72">
        <v>20.879000000000001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21.780999999999995</v>
      </c>
      <c r="D46" s="75"/>
    </row>
    <row r="47" spans="2:4" ht="31.5" x14ac:dyDescent="0.25">
      <c r="B47" s="48" t="s">
        <v>48</v>
      </c>
      <c r="C47" s="47">
        <f>_xlfn.STDEV.S(C21:C45)</f>
        <v>1.161147557531909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B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'FOM303-32-Imprimir'!C23</f>
        <v>46066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'FOM303-32-Imprimir'!E23</f>
        <v>46066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ht="12.95" customHeight="1" x14ac:dyDescent="0.25">
      <c r="B17" s="74" t="s">
        <v>45</v>
      </c>
      <c r="C17" s="74" t="s">
        <v>46</v>
      </c>
      <c r="D17" s="74"/>
      <c r="E17" s="28"/>
      <c r="G17" s="28"/>
    </row>
    <row r="18" spans="2:7" ht="12.95" customHeight="1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20.855</v>
      </c>
      <c r="D21" s="72">
        <v>20.855</v>
      </c>
    </row>
    <row r="22" spans="2:7" ht="18.75" x14ac:dyDescent="0.25">
      <c r="B22" s="45">
        <v>1</v>
      </c>
      <c r="C22" s="72">
        <v>23.425000000000001</v>
      </c>
      <c r="D22" s="72">
        <v>23.425000000000001</v>
      </c>
    </row>
    <row r="23" spans="2:7" ht="18.75" x14ac:dyDescent="0.25">
      <c r="B23" s="45">
        <v>2</v>
      </c>
      <c r="C23" s="72">
        <v>22.324000000000002</v>
      </c>
      <c r="D23" s="72">
        <v>22.324000000000002</v>
      </c>
    </row>
    <row r="24" spans="2:7" ht="18.75" x14ac:dyDescent="0.25">
      <c r="B24" s="45">
        <v>3</v>
      </c>
      <c r="C24" s="72">
        <v>21.437000000000001</v>
      </c>
      <c r="D24" s="72">
        <v>21.437000000000001</v>
      </c>
    </row>
    <row r="25" spans="2:7" ht="18.75" x14ac:dyDescent="0.25">
      <c r="B25" s="45">
        <v>4</v>
      </c>
      <c r="C25" s="72">
        <v>20.821999999999999</v>
      </c>
      <c r="D25" s="72">
        <v>20.821999999999999</v>
      </c>
    </row>
    <row r="26" spans="2:7" ht="18.75" x14ac:dyDescent="0.25">
      <c r="B26" s="45">
        <v>5</v>
      </c>
      <c r="C26" s="72">
        <v>22.835999999999999</v>
      </c>
      <c r="D26" s="72">
        <v>22.835999999999999</v>
      </c>
    </row>
    <row r="27" spans="2:7" ht="18.75" x14ac:dyDescent="0.25">
      <c r="B27" s="45">
        <v>6</v>
      </c>
      <c r="C27" s="72">
        <v>21.603000000000002</v>
      </c>
      <c r="D27" s="72">
        <v>21.603000000000002</v>
      </c>
    </row>
    <row r="28" spans="2:7" ht="18.75" x14ac:dyDescent="0.25">
      <c r="B28" s="45">
        <v>7</v>
      </c>
      <c r="C28" s="72">
        <v>21.398</v>
      </c>
      <c r="D28" s="72">
        <v>21.398</v>
      </c>
    </row>
    <row r="29" spans="2:7" ht="18.75" x14ac:dyDescent="0.25">
      <c r="B29" s="45">
        <v>8</v>
      </c>
      <c r="C29" s="72">
        <v>21.552</v>
      </c>
      <c r="D29" s="72">
        <v>21.552</v>
      </c>
    </row>
    <row r="30" spans="2:7" ht="18.75" x14ac:dyDescent="0.25">
      <c r="B30" s="45">
        <v>9</v>
      </c>
      <c r="C30" s="72">
        <v>20.584</v>
      </c>
      <c r="D30" s="72">
        <v>20.584</v>
      </c>
    </row>
    <row r="31" spans="2:7" ht="18.75" x14ac:dyDescent="0.25">
      <c r="B31" s="45">
        <v>10</v>
      </c>
      <c r="C31" s="72">
        <v>21.899000000000001</v>
      </c>
      <c r="D31" s="72">
        <v>21.899000000000001</v>
      </c>
    </row>
    <row r="32" spans="2:7" ht="18.75" x14ac:dyDescent="0.25">
      <c r="B32" s="45">
        <v>11</v>
      </c>
      <c r="C32" s="72">
        <v>23.199000000000002</v>
      </c>
      <c r="D32" s="72">
        <v>23.199000000000002</v>
      </c>
    </row>
    <row r="33" spans="2:4" ht="18.75" x14ac:dyDescent="0.25">
      <c r="B33" s="45">
        <v>12</v>
      </c>
      <c r="C33" s="72">
        <v>21.928999999999998</v>
      </c>
      <c r="D33" s="72">
        <v>21.928999999999998</v>
      </c>
    </row>
    <row r="34" spans="2:4" ht="18.75" x14ac:dyDescent="0.25">
      <c r="B34" s="45">
        <v>13</v>
      </c>
      <c r="C34" s="72">
        <v>21.754999999999999</v>
      </c>
      <c r="D34" s="72">
        <v>21.754999999999999</v>
      </c>
    </row>
    <row r="35" spans="2:4" ht="18.75" x14ac:dyDescent="0.25">
      <c r="B35" s="45">
        <v>14</v>
      </c>
      <c r="C35" s="72">
        <v>21.077000000000002</v>
      </c>
      <c r="D35" s="72">
        <v>21.077000000000002</v>
      </c>
    </row>
    <row r="36" spans="2:4" ht="18.75" x14ac:dyDescent="0.25">
      <c r="B36" s="45">
        <v>15</v>
      </c>
      <c r="C36" s="72">
        <v>20.593</v>
      </c>
      <c r="D36" s="72">
        <v>20.593</v>
      </c>
    </row>
    <row r="37" spans="2:4" ht="18.75" x14ac:dyDescent="0.25">
      <c r="B37" s="45">
        <v>16</v>
      </c>
      <c r="C37" s="72">
        <v>21.263999999999999</v>
      </c>
      <c r="D37" s="72">
        <v>21.263999999999999</v>
      </c>
    </row>
    <row r="38" spans="2:4" ht="18.75" x14ac:dyDescent="0.25">
      <c r="B38" s="45">
        <v>17</v>
      </c>
      <c r="C38" s="72">
        <v>20.427</v>
      </c>
      <c r="D38" s="72">
        <v>20.427</v>
      </c>
    </row>
    <row r="39" spans="2:4" ht="18.75" x14ac:dyDescent="0.25">
      <c r="B39" s="45">
        <v>18</v>
      </c>
      <c r="C39" s="72">
        <v>20.538</v>
      </c>
      <c r="D39" s="72">
        <v>20.538</v>
      </c>
    </row>
    <row r="40" spans="2:4" ht="18.75" x14ac:dyDescent="0.25">
      <c r="B40" s="45">
        <v>19</v>
      </c>
      <c r="C40" s="72">
        <v>20.553000000000001</v>
      </c>
      <c r="D40" s="72">
        <v>20.553000000000001</v>
      </c>
    </row>
    <row r="41" spans="2:4" ht="18.75" x14ac:dyDescent="0.25">
      <c r="B41" s="45">
        <v>20</v>
      </c>
      <c r="C41" s="72">
        <v>20.548999999999999</v>
      </c>
      <c r="D41" s="72">
        <v>20.548999999999999</v>
      </c>
    </row>
    <row r="42" spans="2:4" ht="18.75" x14ac:dyDescent="0.25">
      <c r="B42" s="45">
        <v>21</v>
      </c>
      <c r="C42" s="72">
        <v>20.56</v>
      </c>
      <c r="D42" s="72">
        <v>20.56</v>
      </c>
    </row>
    <row r="43" spans="2:4" ht="18.75" x14ac:dyDescent="0.25">
      <c r="B43" s="45">
        <v>22</v>
      </c>
      <c r="C43" s="72">
        <v>20.605</v>
      </c>
      <c r="D43" s="72">
        <v>20.605</v>
      </c>
    </row>
    <row r="44" spans="2:4" ht="18.75" x14ac:dyDescent="0.25">
      <c r="B44" s="45">
        <v>23</v>
      </c>
      <c r="C44" s="72">
        <v>20.481000000000002</v>
      </c>
      <c r="D44" s="72">
        <v>20.481000000000002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21.365652173913045</v>
      </c>
      <c r="D46" s="75"/>
    </row>
    <row r="47" spans="2:4" ht="31.5" x14ac:dyDescent="0.25">
      <c r="B47" s="48" t="s">
        <v>48</v>
      </c>
      <c r="C47" s="47">
        <f>_xlfn.STDEV.S(C21:C45)</f>
        <v>0.89159845770537816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B3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'FOM303-32-Imprimir'!C24</f>
        <v>46067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'FOM303-32-Imprimir'!E24</f>
        <v>46067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20.492000000000001</v>
      </c>
      <c r="D21" s="72">
        <v>20.492000000000001</v>
      </c>
    </row>
    <row r="22" spans="2:7" ht="18.75" x14ac:dyDescent="0.25">
      <c r="B22" s="45">
        <v>1</v>
      </c>
      <c r="C22" s="72">
        <v>20.305</v>
      </c>
      <c r="D22" s="72">
        <v>20.305</v>
      </c>
    </row>
    <row r="23" spans="2:7" ht="18.75" x14ac:dyDescent="0.25">
      <c r="B23" s="45">
        <v>2</v>
      </c>
      <c r="C23" s="72">
        <v>20.274999999999999</v>
      </c>
      <c r="D23" s="72">
        <v>20.274999999999999</v>
      </c>
    </row>
    <row r="24" spans="2:7" ht="18.75" x14ac:dyDescent="0.25">
      <c r="B24" s="45">
        <v>3</v>
      </c>
      <c r="C24" s="72">
        <v>20.405999999999999</v>
      </c>
      <c r="D24" s="72">
        <v>20.405999999999999</v>
      </c>
    </row>
    <row r="25" spans="2:7" ht="18.75" x14ac:dyDescent="0.25">
      <c r="B25" s="45">
        <v>4</v>
      </c>
      <c r="C25" s="72">
        <v>20.206</v>
      </c>
      <c r="D25" s="72">
        <v>20.206</v>
      </c>
    </row>
    <row r="26" spans="2:7" ht="18.75" x14ac:dyDescent="0.25">
      <c r="B26" s="45">
        <v>5</v>
      </c>
      <c r="C26" s="72">
        <v>20.282</v>
      </c>
      <c r="D26" s="72">
        <v>20.282</v>
      </c>
    </row>
    <row r="27" spans="2:7" ht="18.75" x14ac:dyDescent="0.25">
      <c r="B27" s="45">
        <v>6</v>
      </c>
      <c r="C27" s="72">
        <v>20.349</v>
      </c>
      <c r="D27" s="72">
        <v>20.349</v>
      </c>
    </row>
    <row r="28" spans="2:7" ht="18.75" x14ac:dyDescent="0.25">
      <c r="B28" s="45">
        <v>7</v>
      </c>
      <c r="C28" s="72">
        <v>20.564</v>
      </c>
      <c r="D28" s="72">
        <v>20.564</v>
      </c>
    </row>
    <row r="29" spans="2:7" ht="18.75" x14ac:dyDescent="0.25">
      <c r="B29" s="45">
        <v>8</v>
      </c>
      <c r="C29" s="72">
        <v>21.123000000000001</v>
      </c>
      <c r="D29" s="72">
        <v>21.123000000000001</v>
      </c>
    </row>
    <row r="30" spans="2:7" ht="18.75" x14ac:dyDescent="0.25">
      <c r="B30" s="45">
        <v>9</v>
      </c>
      <c r="C30" s="72">
        <v>22.925000000000001</v>
      </c>
      <c r="D30" s="72">
        <v>22.925000000000001</v>
      </c>
    </row>
    <row r="31" spans="2:7" ht="18.75" x14ac:dyDescent="0.25">
      <c r="B31" s="45">
        <v>10</v>
      </c>
      <c r="C31" s="72">
        <v>22.893999999999998</v>
      </c>
      <c r="D31" s="72">
        <v>22.893999999999998</v>
      </c>
    </row>
    <row r="32" spans="2:7" ht="18.75" x14ac:dyDescent="0.25">
      <c r="B32" s="45">
        <v>11</v>
      </c>
      <c r="C32" s="72">
        <v>21.893000000000001</v>
      </c>
      <c r="D32" s="72">
        <v>21.893000000000001</v>
      </c>
    </row>
    <row r="33" spans="2:4" ht="18.75" x14ac:dyDescent="0.25">
      <c r="B33" s="45">
        <v>12</v>
      </c>
      <c r="C33" s="72">
        <v>21.547000000000001</v>
      </c>
      <c r="D33" s="72">
        <v>21.547000000000001</v>
      </c>
    </row>
    <row r="34" spans="2:4" ht="18.75" x14ac:dyDescent="0.25">
      <c r="B34" s="45">
        <v>13</v>
      </c>
      <c r="C34" s="72">
        <v>21.042999999999999</v>
      </c>
      <c r="D34" s="72">
        <v>21.042999999999999</v>
      </c>
    </row>
    <row r="35" spans="2:4" ht="18.75" x14ac:dyDescent="0.25">
      <c r="B35" s="45">
        <v>14</v>
      </c>
      <c r="C35" s="72">
        <v>21.256</v>
      </c>
      <c r="D35" s="72">
        <v>21.256</v>
      </c>
    </row>
    <row r="36" spans="2:4" ht="18.75" x14ac:dyDescent="0.25">
      <c r="B36" s="45">
        <v>15</v>
      </c>
      <c r="C36" s="72">
        <v>21.105</v>
      </c>
      <c r="D36" s="72">
        <v>21.105</v>
      </c>
    </row>
    <row r="37" spans="2:4" ht="18.75" x14ac:dyDescent="0.25">
      <c r="B37" s="45">
        <v>16</v>
      </c>
      <c r="C37" s="72">
        <v>21.193999999999999</v>
      </c>
      <c r="D37" s="72">
        <v>21.193999999999999</v>
      </c>
    </row>
    <row r="38" spans="2:4" ht="18.75" x14ac:dyDescent="0.25">
      <c r="B38" s="45">
        <v>17</v>
      </c>
      <c r="C38" s="72">
        <v>20.585999999999999</v>
      </c>
      <c r="D38" s="72">
        <v>20.585999999999999</v>
      </c>
    </row>
    <row r="39" spans="2:4" ht="18.75" x14ac:dyDescent="0.25">
      <c r="B39" s="45">
        <v>18</v>
      </c>
      <c r="C39" s="72">
        <v>20.614000000000001</v>
      </c>
      <c r="D39" s="72">
        <v>20.614000000000001</v>
      </c>
    </row>
    <row r="40" spans="2:4" ht="18.75" x14ac:dyDescent="0.25">
      <c r="B40" s="45">
        <v>19</v>
      </c>
      <c r="C40" s="72">
        <v>20.452999999999999</v>
      </c>
      <c r="D40" s="72">
        <v>20.452999999999999</v>
      </c>
    </row>
    <row r="41" spans="2:4" ht="18.75" x14ac:dyDescent="0.25">
      <c r="B41" s="45">
        <v>20</v>
      </c>
      <c r="C41" s="72">
        <v>20.89</v>
      </c>
      <c r="D41" s="72">
        <v>20.89</v>
      </c>
    </row>
    <row r="42" spans="2:4" ht="18.75" x14ac:dyDescent="0.25">
      <c r="B42" s="45">
        <v>21</v>
      </c>
      <c r="C42" s="72">
        <v>20.533999999999999</v>
      </c>
      <c r="D42" s="72">
        <v>20.533999999999999</v>
      </c>
    </row>
    <row r="43" spans="2:4" ht="18.75" x14ac:dyDescent="0.25">
      <c r="B43" s="45">
        <v>22</v>
      </c>
      <c r="C43" s="72">
        <v>20.407</v>
      </c>
      <c r="D43" s="72">
        <v>20.407</v>
      </c>
    </row>
    <row r="44" spans="2:4" ht="18.75" x14ac:dyDescent="0.25">
      <c r="B44" s="45">
        <v>23</v>
      </c>
      <c r="C44" s="72">
        <v>20.408000000000001</v>
      </c>
      <c r="D44" s="72">
        <v>20.408000000000001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20.924304347826084</v>
      </c>
      <c r="D46" s="75"/>
    </row>
    <row r="47" spans="2:4" ht="31.5" x14ac:dyDescent="0.25">
      <c r="B47" s="48" t="s">
        <v>48</v>
      </c>
      <c r="C47" s="47">
        <f>_xlfn.STDEV.S(C21:C45)</f>
        <v>0.75872664947475543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B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'FOM303-32-Imprimir'!C25</f>
        <v>46068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'FOM303-32-Imprimir'!E25</f>
        <v>46068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20.260000000000002</v>
      </c>
      <c r="D21" s="72">
        <v>20.260000000000002</v>
      </c>
    </row>
    <row r="22" spans="2:7" ht="18.75" x14ac:dyDescent="0.25">
      <c r="B22" s="45">
        <v>1</v>
      </c>
      <c r="C22" s="72">
        <v>20.99</v>
      </c>
      <c r="D22" s="72">
        <v>20.99</v>
      </c>
    </row>
    <row r="23" spans="2:7" ht="18.75" x14ac:dyDescent="0.25">
      <c r="B23" s="45">
        <v>2</v>
      </c>
      <c r="C23" s="72">
        <v>20.501000000000001</v>
      </c>
      <c r="D23" s="72">
        <v>20.501000000000001</v>
      </c>
    </row>
    <row r="24" spans="2:7" ht="18.75" x14ac:dyDescent="0.25">
      <c r="B24" s="45">
        <v>3</v>
      </c>
      <c r="C24" s="72">
        <v>20.51</v>
      </c>
      <c r="D24" s="72">
        <v>20.51</v>
      </c>
    </row>
    <row r="25" spans="2:7" ht="18.75" x14ac:dyDescent="0.25">
      <c r="B25" s="45">
        <v>4</v>
      </c>
      <c r="C25" s="72">
        <v>20.577999999999999</v>
      </c>
      <c r="D25" s="72">
        <v>20.577999999999999</v>
      </c>
    </row>
    <row r="26" spans="2:7" ht="18.75" x14ac:dyDescent="0.25">
      <c r="B26" s="45">
        <v>5</v>
      </c>
      <c r="C26" s="72">
        <v>20.315999999999999</v>
      </c>
      <c r="D26" s="72">
        <v>20.315999999999999</v>
      </c>
    </row>
    <row r="27" spans="2:7" ht="18.75" x14ac:dyDescent="0.25">
      <c r="B27" s="45">
        <v>6</v>
      </c>
      <c r="C27" s="72">
        <v>20.959</v>
      </c>
      <c r="D27" s="72">
        <v>20.959</v>
      </c>
    </row>
    <row r="28" spans="2:7" ht="18.75" x14ac:dyDescent="0.25">
      <c r="B28" s="45">
        <v>7</v>
      </c>
      <c r="C28" s="72">
        <v>20.76</v>
      </c>
      <c r="D28" s="72">
        <v>20.76</v>
      </c>
    </row>
    <row r="29" spans="2:7" ht="18.75" x14ac:dyDescent="0.25">
      <c r="B29" s="45">
        <v>8</v>
      </c>
      <c r="C29" s="72">
        <v>21.396999999999998</v>
      </c>
      <c r="D29" s="72">
        <v>21.396999999999998</v>
      </c>
    </row>
    <row r="30" spans="2:7" ht="18.75" x14ac:dyDescent="0.25">
      <c r="B30" s="45">
        <v>9</v>
      </c>
      <c r="C30" s="72">
        <v>21.763999999999999</v>
      </c>
      <c r="D30" s="72">
        <v>21.763999999999999</v>
      </c>
    </row>
    <row r="31" spans="2:7" ht="18.75" x14ac:dyDescent="0.25">
      <c r="B31" s="45">
        <v>10</v>
      </c>
      <c r="C31" s="72">
        <v>21.661999999999999</v>
      </c>
      <c r="D31" s="72">
        <v>21.661999999999999</v>
      </c>
    </row>
    <row r="32" spans="2:7" ht="18.75" x14ac:dyDescent="0.25">
      <c r="B32" s="45">
        <v>11</v>
      </c>
      <c r="C32" s="72">
        <v>21.544</v>
      </c>
      <c r="D32" s="72">
        <v>21.544</v>
      </c>
    </row>
    <row r="33" spans="2:4" ht="18.75" x14ac:dyDescent="0.25">
      <c r="B33" s="45">
        <v>12</v>
      </c>
      <c r="C33" s="72">
        <v>20.762</v>
      </c>
      <c r="D33" s="72">
        <v>20.762</v>
      </c>
    </row>
    <row r="34" spans="2:4" ht="18.75" x14ac:dyDescent="0.25">
      <c r="B34" s="45">
        <v>13</v>
      </c>
      <c r="C34" s="72">
        <v>21.123000000000001</v>
      </c>
      <c r="D34" s="72">
        <v>21.123000000000001</v>
      </c>
    </row>
    <row r="35" spans="2:4" ht="18.75" x14ac:dyDescent="0.25">
      <c r="B35" s="45">
        <v>14</v>
      </c>
      <c r="C35" s="72">
        <v>20.891999999999999</v>
      </c>
      <c r="D35" s="72">
        <v>20.891999999999999</v>
      </c>
    </row>
    <row r="36" spans="2:4" ht="18.75" x14ac:dyDescent="0.25">
      <c r="B36" s="45">
        <v>15</v>
      </c>
      <c r="C36" s="72">
        <v>21.012</v>
      </c>
      <c r="D36" s="72">
        <v>21.012</v>
      </c>
    </row>
    <row r="37" spans="2:4" ht="18.75" x14ac:dyDescent="0.25">
      <c r="B37" s="45">
        <v>16</v>
      </c>
      <c r="C37" s="72">
        <v>21.062000000000001</v>
      </c>
      <c r="D37" s="72">
        <v>21.062000000000001</v>
      </c>
    </row>
    <row r="38" spans="2:4" ht="18.75" x14ac:dyDescent="0.25">
      <c r="B38" s="45">
        <v>17</v>
      </c>
      <c r="C38" s="72">
        <v>20.469000000000001</v>
      </c>
      <c r="D38" s="72">
        <v>20.469000000000001</v>
      </c>
    </row>
    <row r="39" spans="2:4" ht="18.75" x14ac:dyDescent="0.25">
      <c r="B39" s="45">
        <v>18</v>
      </c>
      <c r="C39" s="72">
        <v>20.497</v>
      </c>
      <c r="D39" s="72">
        <v>20.497</v>
      </c>
    </row>
    <row r="40" spans="2:4" ht="18.75" x14ac:dyDescent="0.25">
      <c r="B40" s="45">
        <v>19</v>
      </c>
      <c r="C40" s="72">
        <v>21.491</v>
      </c>
      <c r="D40" s="72">
        <v>21.491</v>
      </c>
    </row>
    <row r="41" spans="2:4" ht="18.75" x14ac:dyDescent="0.25">
      <c r="B41" s="45">
        <v>20</v>
      </c>
      <c r="C41" s="72">
        <v>21.468</v>
      </c>
      <c r="D41" s="72">
        <v>21.468</v>
      </c>
    </row>
    <row r="42" spans="2:4" ht="18.75" x14ac:dyDescent="0.25">
      <c r="B42" s="45">
        <v>21</v>
      </c>
      <c r="C42" s="72">
        <v>20.998999999999999</v>
      </c>
      <c r="D42" s="72">
        <v>20.998999999999999</v>
      </c>
    </row>
    <row r="43" spans="2:4" ht="18.75" x14ac:dyDescent="0.25">
      <c r="B43" s="45">
        <v>22</v>
      </c>
      <c r="C43" s="72">
        <v>20.498999999999999</v>
      </c>
      <c r="D43" s="72">
        <v>20.498999999999999</v>
      </c>
    </row>
    <row r="44" spans="2:4" ht="18.75" x14ac:dyDescent="0.25">
      <c r="B44" s="45">
        <v>23</v>
      </c>
      <c r="C44" s="72">
        <v>20.22</v>
      </c>
      <c r="D44" s="72">
        <v>20.22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20.93369565217392</v>
      </c>
      <c r="D46" s="75"/>
    </row>
    <row r="47" spans="2:4" ht="31.5" x14ac:dyDescent="0.25">
      <c r="B47" s="48" t="s">
        <v>48</v>
      </c>
      <c r="C47" s="47">
        <f>_xlfn.STDEV.S(C21:C45)</f>
        <v>0.4637113806725226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'FOM303-32-Imprimir'!C26</f>
        <v>46069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'FOM303-32-Imprimir'!E26</f>
        <v>46069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20.481999999999999</v>
      </c>
      <c r="D21" s="72">
        <v>20.481999999999999</v>
      </c>
    </row>
    <row r="22" spans="2:7" ht="18.75" x14ac:dyDescent="0.25">
      <c r="B22" s="45">
        <v>1</v>
      </c>
      <c r="C22" s="72">
        <v>20.332000000000001</v>
      </c>
      <c r="D22" s="72">
        <v>20.332000000000001</v>
      </c>
    </row>
    <row r="23" spans="2:7" ht="18.75" x14ac:dyDescent="0.25">
      <c r="B23" s="45">
        <v>2</v>
      </c>
      <c r="C23" s="72">
        <v>20.477</v>
      </c>
      <c r="D23" s="72">
        <v>20.477</v>
      </c>
    </row>
    <row r="24" spans="2:7" ht="18.75" x14ac:dyDescent="0.25">
      <c r="B24" s="45">
        <v>3</v>
      </c>
      <c r="C24" s="72">
        <v>20.295000000000002</v>
      </c>
      <c r="D24" s="72">
        <v>20.295000000000002</v>
      </c>
    </row>
    <row r="25" spans="2:7" ht="18.75" x14ac:dyDescent="0.25">
      <c r="B25" s="45">
        <v>4</v>
      </c>
      <c r="C25" s="72">
        <v>20.620999999999999</v>
      </c>
      <c r="D25" s="72">
        <v>20.620999999999999</v>
      </c>
    </row>
    <row r="26" spans="2:7" ht="18.75" x14ac:dyDescent="0.25">
      <c r="B26" s="45">
        <v>5</v>
      </c>
      <c r="C26" s="72">
        <v>20.359000000000002</v>
      </c>
      <c r="D26" s="72">
        <v>20.359000000000002</v>
      </c>
    </row>
    <row r="27" spans="2:7" ht="18.75" x14ac:dyDescent="0.25">
      <c r="B27" s="45">
        <v>6</v>
      </c>
      <c r="C27" s="72">
        <v>20.532</v>
      </c>
      <c r="D27" s="72">
        <v>20.532</v>
      </c>
    </row>
    <row r="28" spans="2:7" ht="18.75" x14ac:dyDescent="0.25">
      <c r="B28" s="45">
        <v>7</v>
      </c>
      <c r="C28" s="72">
        <v>20.593</v>
      </c>
      <c r="D28" s="72">
        <v>20.593</v>
      </c>
    </row>
    <row r="29" spans="2:7" ht="18.75" x14ac:dyDescent="0.25">
      <c r="B29" s="45">
        <v>8</v>
      </c>
      <c r="C29" s="72">
        <v>20.823</v>
      </c>
      <c r="D29" s="72">
        <v>20.823</v>
      </c>
    </row>
    <row r="30" spans="2:7" ht="18.75" x14ac:dyDescent="0.25">
      <c r="B30" s="45">
        <v>9</v>
      </c>
      <c r="C30" s="72">
        <v>21.09</v>
      </c>
      <c r="D30" s="72">
        <v>21.09</v>
      </c>
    </row>
    <row r="31" spans="2:7" ht="18.75" x14ac:dyDescent="0.25">
      <c r="B31" s="45">
        <v>10</v>
      </c>
      <c r="C31" s="72">
        <v>21.155000000000001</v>
      </c>
      <c r="D31" s="72">
        <v>21.155000000000001</v>
      </c>
    </row>
    <row r="32" spans="2:7" ht="18.75" x14ac:dyDescent="0.25">
      <c r="B32" s="45">
        <v>11</v>
      </c>
      <c r="C32" s="72">
        <v>21.073</v>
      </c>
      <c r="D32" s="72">
        <v>21.073</v>
      </c>
    </row>
    <row r="33" spans="2:4" ht="18.75" x14ac:dyDescent="0.25">
      <c r="B33" s="45">
        <v>12</v>
      </c>
      <c r="C33" s="72">
        <v>20.777999999999999</v>
      </c>
      <c r="D33" s="72">
        <v>20.777999999999999</v>
      </c>
    </row>
    <row r="34" spans="2:4" ht="18.75" x14ac:dyDescent="0.25">
      <c r="B34" s="45">
        <v>13</v>
      </c>
      <c r="C34" s="72">
        <v>20.686</v>
      </c>
      <c r="D34" s="72">
        <v>20.686</v>
      </c>
    </row>
    <row r="35" spans="2:4" ht="18.75" x14ac:dyDescent="0.25">
      <c r="B35" s="45">
        <v>14</v>
      </c>
      <c r="C35" s="72">
        <v>20.52</v>
      </c>
      <c r="D35" s="72">
        <v>20.52</v>
      </c>
    </row>
    <row r="36" spans="2:4" ht="18.75" x14ac:dyDescent="0.25">
      <c r="B36" s="45">
        <v>15</v>
      </c>
      <c r="C36" s="72">
        <v>20.344999999999999</v>
      </c>
      <c r="D36" s="72">
        <v>20.344999999999999</v>
      </c>
    </row>
    <row r="37" spans="2:4" ht="18.75" x14ac:dyDescent="0.25">
      <c r="B37" s="45">
        <v>16</v>
      </c>
      <c r="C37" s="72">
        <v>20.626999999999999</v>
      </c>
      <c r="D37" s="72">
        <v>20.626999999999999</v>
      </c>
    </row>
    <row r="38" spans="2:4" ht="18.75" x14ac:dyDescent="0.25">
      <c r="B38" s="45">
        <v>17</v>
      </c>
      <c r="C38" s="72">
        <v>20.629000000000001</v>
      </c>
      <c r="D38" s="72">
        <v>20.629000000000001</v>
      </c>
    </row>
    <row r="39" spans="2:4" ht="18.75" x14ac:dyDescent="0.25">
      <c r="B39" s="45">
        <v>18</v>
      </c>
      <c r="C39" s="72">
        <v>20.471</v>
      </c>
      <c r="D39" s="72">
        <v>20.471</v>
      </c>
    </row>
    <row r="40" spans="2:4" ht="18.75" x14ac:dyDescent="0.25">
      <c r="B40" s="45">
        <v>19</v>
      </c>
      <c r="C40" s="72">
        <v>20.66</v>
      </c>
      <c r="D40" s="72">
        <v>20.66</v>
      </c>
    </row>
    <row r="41" spans="2:4" ht="18.75" x14ac:dyDescent="0.25">
      <c r="B41" s="45">
        <v>20</v>
      </c>
      <c r="C41" s="72">
        <v>20.395</v>
      </c>
      <c r="D41" s="72">
        <v>20.395</v>
      </c>
    </row>
    <row r="42" spans="2:4" ht="18.75" x14ac:dyDescent="0.25">
      <c r="B42" s="45">
        <v>21</v>
      </c>
      <c r="C42" s="72">
        <v>20.533999999999999</v>
      </c>
      <c r="D42" s="72">
        <v>20.533999999999999</v>
      </c>
    </row>
    <row r="43" spans="2:4" ht="18.75" x14ac:dyDescent="0.25">
      <c r="B43" s="45">
        <v>22</v>
      </c>
      <c r="C43" s="72">
        <v>20.327000000000002</v>
      </c>
      <c r="D43" s="72">
        <v>20.327000000000002</v>
      </c>
    </row>
    <row r="44" spans="2:4" ht="18.75" x14ac:dyDescent="0.25">
      <c r="B44" s="45">
        <v>23</v>
      </c>
      <c r="C44" s="72">
        <v>20.515999999999998</v>
      </c>
      <c r="D44" s="72">
        <v>20.515999999999998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20.601652173913045</v>
      </c>
      <c r="D46" s="75"/>
    </row>
    <row r="47" spans="2:4" ht="31.5" x14ac:dyDescent="0.25">
      <c r="B47" s="48" t="s">
        <v>48</v>
      </c>
      <c r="C47" s="47">
        <f>_xlfn.STDEV.S(C21:C45)</f>
        <v>0.24125535212205387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27" zoomScale="85" zoomScaleNormal="85" zoomScaleSheetLayoutView="85" workbookViewId="0">
      <selection activeCell="C41" sqref="C41:D41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'FOM303-32-Imprimir'!C27</f>
        <v>46070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'FOM303-32-Imprimir'!E27</f>
        <v>46070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20.890999999999998</v>
      </c>
      <c r="D21" s="72">
        <v>20.890999999999998</v>
      </c>
    </row>
    <row r="22" spans="2:7" ht="18.75" x14ac:dyDescent="0.25">
      <c r="B22" s="45">
        <v>1</v>
      </c>
      <c r="C22" s="72">
        <v>20.503</v>
      </c>
      <c r="D22" s="72">
        <v>20.503</v>
      </c>
    </row>
    <row r="23" spans="2:7" ht="18.75" x14ac:dyDescent="0.25">
      <c r="B23" s="45">
        <v>2</v>
      </c>
      <c r="C23" s="72">
        <v>20.396999999999998</v>
      </c>
      <c r="D23" s="72">
        <v>20.396999999999998</v>
      </c>
    </row>
    <row r="24" spans="2:7" ht="18.75" x14ac:dyDescent="0.25">
      <c r="B24" s="45">
        <v>3</v>
      </c>
      <c r="C24" s="72">
        <v>20.919</v>
      </c>
      <c r="D24" s="72">
        <v>20.919</v>
      </c>
    </row>
    <row r="25" spans="2:7" ht="18.75" x14ac:dyDescent="0.25">
      <c r="B25" s="45">
        <v>4</v>
      </c>
      <c r="C25" s="72">
        <v>20.859000000000002</v>
      </c>
      <c r="D25" s="72">
        <v>20.859000000000002</v>
      </c>
    </row>
    <row r="26" spans="2:7" ht="18.75" x14ac:dyDescent="0.25">
      <c r="B26" s="45">
        <v>5</v>
      </c>
      <c r="C26" s="72">
        <v>20.99</v>
      </c>
      <c r="D26" s="72">
        <v>20.99</v>
      </c>
    </row>
    <row r="27" spans="2:7" ht="18.75" x14ac:dyDescent="0.25">
      <c r="B27" s="45">
        <v>6</v>
      </c>
      <c r="C27" s="72">
        <v>20.356999999999999</v>
      </c>
      <c r="D27" s="72">
        <v>20.356999999999999</v>
      </c>
    </row>
    <row r="28" spans="2:7" ht="18.75" x14ac:dyDescent="0.25">
      <c r="B28" s="45">
        <v>7</v>
      </c>
      <c r="C28" s="72">
        <v>20.344999999999999</v>
      </c>
      <c r="D28" s="72">
        <v>20.344999999999999</v>
      </c>
    </row>
    <row r="29" spans="2:7" ht="18.75" x14ac:dyDescent="0.25">
      <c r="B29" s="45">
        <v>8</v>
      </c>
      <c r="C29" s="72">
        <v>20.831</v>
      </c>
      <c r="D29" s="72">
        <v>20.831</v>
      </c>
    </row>
    <row r="30" spans="2:7" ht="18.75" x14ac:dyDescent="0.25">
      <c r="B30" s="45">
        <v>9</v>
      </c>
      <c r="C30" s="72">
        <v>20.928999999999998</v>
      </c>
      <c r="D30" s="72">
        <v>20.928999999999998</v>
      </c>
    </row>
    <row r="31" spans="2:7" ht="18.75" x14ac:dyDescent="0.25">
      <c r="B31" s="45">
        <v>10</v>
      </c>
      <c r="C31" s="72">
        <v>23</v>
      </c>
      <c r="D31" s="72">
        <v>23</v>
      </c>
    </row>
    <row r="32" spans="2:7" ht="18.75" x14ac:dyDescent="0.25">
      <c r="B32" s="45">
        <v>11</v>
      </c>
      <c r="C32" s="72">
        <v>21.238</v>
      </c>
      <c r="D32" s="72">
        <v>21.238</v>
      </c>
    </row>
    <row r="33" spans="2:4" ht="18.75" x14ac:dyDescent="0.25">
      <c r="B33" s="45">
        <v>12</v>
      </c>
      <c r="C33" s="72">
        <v>20.902999999999999</v>
      </c>
      <c r="D33" s="72">
        <v>20.902999999999999</v>
      </c>
    </row>
    <row r="34" spans="2:4" ht="18.75" x14ac:dyDescent="0.25">
      <c r="B34" s="45">
        <v>13</v>
      </c>
      <c r="C34" s="72">
        <v>20.917000000000002</v>
      </c>
      <c r="D34" s="72">
        <v>20.917000000000002</v>
      </c>
    </row>
    <row r="35" spans="2:4" ht="18.75" x14ac:dyDescent="0.25">
      <c r="B35" s="45">
        <v>14</v>
      </c>
      <c r="C35" s="72">
        <v>21.431999999999999</v>
      </c>
      <c r="D35" s="72">
        <v>21.431999999999999</v>
      </c>
    </row>
    <row r="36" spans="2:4" ht="18.75" x14ac:dyDescent="0.25">
      <c r="B36" s="45">
        <v>15</v>
      </c>
      <c r="C36" s="72">
        <v>20.931999999999999</v>
      </c>
      <c r="D36" s="72">
        <v>20.931999999999999</v>
      </c>
    </row>
    <row r="37" spans="2:4" ht="18.75" x14ac:dyDescent="0.25">
      <c r="B37" s="45">
        <v>16</v>
      </c>
      <c r="C37" s="72">
        <v>20.875</v>
      </c>
      <c r="D37" s="72">
        <v>20.875</v>
      </c>
    </row>
    <row r="38" spans="2:4" ht="18.75" x14ac:dyDescent="0.25">
      <c r="B38" s="45">
        <v>17</v>
      </c>
      <c r="C38" s="72">
        <v>20.788</v>
      </c>
      <c r="D38" s="72">
        <v>20.788</v>
      </c>
    </row>
    <row r="39" spans="2:4" ht="18.75" x14ac:dyDescent="0.25">
      <c r="B39" s="45">
        <v>18</v>
      </c>
      <c r="C39" s="72">
        <v>20.831</v>
      </c>
      <c r="D39" s="72">
        <v>20.831</v>
      </c>
    </row>
    <row r="40" spans="2:4" ht="18.75" x14ac:dyDescent="0.25">
      <c r="B40" s="45">
        <v>19</v>
      </c>
      <c r="C40" s="72">
        <v>20.641999999999999</v>
      </c>
      <c r="D40" s="72">
        <v>20.641999999999999</v>
      </c>
    </row>
    <row r="41" spans="2:4" ht="18.75" x14ac:dyDescent="0.25">
      <c r="B41" s="45">
        <v>20</v>
      </c>
      <c r="C41" s="72">
        <v>20.684000000000001</v>
      </c>
      <c r="D41" s="72">
        <v>20.684000000000001</v>
      </c>
    </row>
    <row r="42" spans="2:4" ht="18.75" x14ac:dyDescent="0.25">
      <c r="B42" s="45">
        <v>21</v>
      </c>
      <c r="C42" s="72">
        <v>20.800999999999998</v>
      </c>
      <c r="D42" s="72">
        <v>20.800999999999998</v>
      </c>
    </row>
    <row r="43" spans="2:4" ht="18.75" x14ac:dyDescent="0.25">
      <c r="B43" s="45">
        <v>22</v>
      </c>
      <c r="C43" s="72">
        <v>20.649000000000001</v>
      </c>
      <c r="D43" s="72">
        <v>20.649000000000001</v>
      </c>
    </row>
    <row r="44" spans="2:4" ht="18.75" x14ac:dyDescent="0.25">
      <c r="B44" s="45">
        <v>23</v>
      </c>
      <c r="C44" s="72">
        <v>20.806999999999999</v>
      </c>
      <c r="D44" s="72">
        <v>20.806999999999999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20.896913043478264</v>
      </c>
      <c r="D46" s="75"/>
    </row>
    <row r="47" spans="2:4" ht="31.5" x14ac:dyDescent="0.25">
      <c r="B47" s="48" t="s">
        <v>48</v>
      </c>
      <c r="C47" s="47">
        <f>_xlfn.STDEV.S(C21:C45)</f>
        <v>0.51288787372533262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tabSelected="1" view="pageBreakPreview" topLeftCell="A19" zoomScale="85" zoomScaleNormal="85" zoomScaleSheetLayoutView="85" workbookViewId="0">
      <selection activeCell="E37" sqref="E37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'FOM303-32-Imprimir'!C28</f>
        <v>46071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'FOM303-32-Imprimir'!E28</f>
        <v>46071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22.792000000000002</v>
      </c>
      <c r="D21" s="72">
        <v>22.792000000000002</v>
      </c>
    </row>
    <row r="22" spans="2:7" ht="18.75" x14ac:dyDescent="0.25">
      <c r="B22" s="45">
        <v>1</v>
      </c>
      <c r="C22" s="72">
        <v>22.523</v>
      </c>
      <c r="D22" s="72">
        <v>22.523</v>
      </c>
    </row>
    <row r="23" spans="2:7" ht="18.75" x14ac:dyDescent="0.25">
      <c r="B23" s="45">
        <v>2</v>
      </c>
      <c r="C23" s="72">
        <v>21.533999999999999</v>
      </c>
      <c r="D23" s="72">
        <v>21.533999999999999</v>
      </c>
    </row>
    <row r="24" spans="2:7" ht="18.75" x14ac:dyDescent="0.25">
      <c r="B24" s="45">
        <v>3</v>
      </c>
      <c r="C24" s="72">
        <v>20.716000000000001</v>
      </c>
      <c r="D24" s="72">
        <v>20.716000000000001</v>
      </c>
    </row>
    <row r="25" spans="2:7" ht="18.75" x14ac:dyDescent="0.25">
      <c r="B25" s="45">
        <v>4</v>
      </c>
      <c r="C25" s="72">
        <v>20.062000000000001</v>
      </c>
      <c r="D25" s="72">
        <v>20.062000000000001</v>
      </c>
    </row>
    <row r="26" spans="2:7" ht="18.75" x14ac:dyDescent="0.25">
      <c r="B26" s="45">
        <v>5</v>
      </c>
      <c r="C26" s="72">
        <v>20.056000000000001</v>
      </c>
      <c r="D26" s="72">
        <v>20.056000000000001</v>
      </c>
    </row>
    <row r="27" spans="2:7" ht="18.75" x14ac:dyDescent="0.25">
      <c r="B27" s="45">
        <v>6</v>
      </c>
      <c r="C27" s="72">
        <v>20.390999999999998</v>
      </c>
      <c r="D27" s="72">
        <v>20.390999999999998</v>
      </c>
    </row>
    <row r="28" spans="2:7" ht="18.75" x14ac:dyDescent="0.25">
      <c r="B28" s="45">
        <v>7</v>
      </c>
      <c r="C28" s="72">
        <v>20.419</v>
      </c>
      <c r="D28" s="72">
        <v>20.419</v>
      </c>
    </row>
    <row r="29" spans="2:7" ht="18.75" x14ac:dyDescent="0.25">
      <c r="B29" s="45">
        <v>8</v>
      </c>
      <c r="C29" s="72">
        <v>22.254999999999999</v>
      </c>
      <c r="D29" s="72">
        <v>22.254999999999999</v>
      </c>
    </row>
    <row r="30" spans="2:7" ht="18.75" x14ac:dyDescent="0.25">
      <c r="B30" s="45">
        <v>9</v>
      </c>
      <c r="C30" s="72">
        <v>20.021000000000001</v>
      </c>
      <c r="D30" s="72">
        <v>20.021000000000001</v>
      </c>
    </row>
    <row r="31" spans="2:7" ht="18.75" x14ac:dyDescent="0.25">
      <c r="B31" s="45">
        <v>10</v>
      </c>
      <c r="C31" s="72">
        <v>20.446999999999999</v>
      </c>
      <c r="D31" s="72">
        <v>20.446999999999999</v>
      </c>
    </row>
    <row r="32" spans="2:7" ht="18.75" x14ac:dyDescent="0.25">
      <c r="B32" s="45">
        <v>11</v>
      </c>
      <c r="C32" s="72">
        <v>20.606999999999999</v>
      </c>
      <c r="D32" s="72">
        <v>20.606999999999999</v>
      </c>
    </row>
    <row r="33" spans="2:4" ht="18.75" x14ac:dyDescent="0.25">
      <c r="B33" s="45">
        <v>12</v>
      </c>
      <c r="C33" s="72">
        <v>21.536000000000001</v>
      </c>
      <c r="D33" s="72">
        <v>21.536000000000001</v>
      </c>
    </row>
    <row r="34" spans="2:4" ht="18.75" x14ac:dyDescent="0.25">
      <c r="B34" s="45">
        <v>13</v>
      </c>
      <c r="C34" s="72">
        <v>20.841999999999999</v>
      </c>
      <c r="D34" s="72">
        <v>20.841999999999999</v>
      </c>
    </row>
    <row r="35" spans="2:4" ht="18.75" x14ac:dyDescent="0.25">
      <c r="B35" s="45">
        <v>14</v>
      </c>
      <c r="C35" s="72">
        <v>21.152999999999999</v>
      </c>
      <c r="D35" s="72">
        <v>21.152999999999999</v>
      </c>
    </row>
    <row r="36" spans="2:4" ht="18.75" x14ac:dyDescent="0.25">
      <c r="B36" s="45">
        <v>15</v>
      </c>
      <c r="C36" s="72">
        <v>20.155000000000001</v>
      </c>
      <c r="D36" s="72">
        <v>20.155000000000001</v>
      </c>
    </row>
    <row r="37" spans="2:4" ht="18.75" x14ac:dyDescent="0.25">
      <c r="B37" s="45">
        <v>16</v>
      </c>
      <c r="C37" s="72">
        <v>21.975000000000001</v>
      </c>
      <c r="D37" s="72">
        <v>21.975000000000001</v>
      </c>
    </row>
    <row r="38" spans="2:4" ht="18.75" x14ac:dyDescent="0.25">
      <c r="B38" s="45">
        <v>17</v>
      </c>
      <c r="C38" s="72">
        <v>21.11</v>
      </c>
      <c r="D38" s="72">
        <v>21.11</v>
      </c>
    </row>
    <row r="39" spans="2:4" ht="18.75" x14ac:dyDescent="0.25">
      <c r="B39" s="45">
        <v>18</v>
      </c>
      <c r="C39" s="72">
        <v>21.039000000000001</v>
      </c>
      <c r="D39" s="72">
        <v>21.039000000000001</v>
      </c>
    </row>
    <row r="40" spans="2:4" ht="18.75" x14ac:dyDescent="0.25">
      <c r="B40" s="45">
        <v>19</v>
      </c>
      <c r="C40" s="72">
        <v>21.79</v>
      </c>
      <c r="D40" s="72">
        <v>21.79</v>
      </c>
    </row>
    <row r="41" spans="2:4" ht="18.75" x14ac:dyDescent="0.25">
      <c r="B41" s="45">
        <v>20</v>
      </c>
      <c r="C41" s="72">
        <v>22.282</v>
      </c>
      <c r="D41" s="72">
        <v>22.282</v>
      </c>
    </row>
    <row r="42" spans="2:4" ht="18.75" x14ac:dyDescent="0.25">
      <c r="B42" s="45">
        <v>21</v>
      </c>
      <c r="C42" s="72">
        <v>22.228999999999999</v>
      </c>
      <c r="D42" s="72">
        <v>22.228999999999999</v>
      </c>
    </row>
    <row r="43" spans="2:4" ht="18.75" x14ac:dyDescent="0.25">
      <c r="B43" s="45">
        <v>22</v>
      </c>
      <c r="C43" s="72">
        <v>22.14</v>
      </c>
      <c r="D43" s="72">
        <v>22.14</v>
      </c>
    </row>
    <row r="44" spans="2:4" ht="18.75" x14ac:dyDescent="0.25">
      <c r="B44" s="45">
        <v>23</v>
      </c>
      <c r="C44" s="72">
        <v>21.774999999999999</v>
      </c>
      <c r="D44" s="72">
        <v>21.774999999999999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21.176391304347824</v>
      </c>
      <c r="D46" s="75"/>
    </row>
    <row r="47" spans="2:4" ht="31.5" x14ac:dyDescent="0.25">
      <c r="B47" s="48" t="s">
        <v>48</v>
      </c>
      <c r="C47" s="47">
        <f>_xlfn.STDEV.S(C21:C45)</f>
        <v>0.87567442228295078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'FOM303-32-Imprimir'!C29</f>
        <v>46072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'FOM303-32-Imprimir'!E29</f>
        <v>46072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21.919</v>
      </c>
      <c r="D21" s="72">
        <v>21.919</v>
      </c>
    </row>
    <row r="22" spans="2:7" ht="18.75" x14ac:dyDescent="0.25">
      <c r="B22" s="45">
        <v>1</v>
      </c>
      <c r="C22" s="72">
        <v>22.094000000000001</v>
      </c>
      <c r="D22" s="72">
        <v>22.094000000000001</v>
      </c>
    </row>
    <row r="23" spans="2:7" ht="18.75" x14ac:dyDescent="0.25">
      <c r="B23" s="45">
        <v>2</v>
      </c>
      <c r="C23" s="72">
        <v>21.927</v>
      </c>
      <c r="D23" s="72">
        <v>21.927</v>
      </c>
    </row>
    <row r="24" spans="2:7" ht="18.75" x14ac:dyDescent="0.25">
      <c r="B24" s="45">
        <v>3</v>
      </c>
      <c r="C24" s="72">
        <v>21.98</v>
      </c>
      <c r="D24" s="72">
        <v>21.98</v>
      </c>
    </row>
    <row r="25" spans="2:7" ht="18.75" x14ac:dyDescent="0.25">
      <c r="B25" s="45">
        <v>4</v>
      </c>
      <c r="C25" s="72">
        <v>22.125</v>
      </c>
      <c r="D25" s="72">
        <v>22.125</v>
      </c>
    </row>
    <row r="26" spans="2:7" ht="18.75" x14ac:dyDescent="0.25">
      <c r="B26" s="45">
        <v>5</v>
      </c>
      <c r="C26" s="72">
        <v>21.571000000000002</v>
      </c>
      <c r="D26" s="72">
        <v>21.571000000000002</v>
      </c>
    </row>
    <row r="27" spans="2:7" ht="18.75" x14ac:dyDescent="0.25">
      <c r="B27" s="45">
        <v>6</v>
      </c>
      <c r="C27" s="72">
        <v>20.814</v>
      </c>
      <c r="D27" s="72">
        <v>20.814</v>
      </c>
    </row>
    <row r="28" spans="2:7" ht="18.75" x14ac:dyDescent="0.25">
      <c r="B28" s="45">
        <v>7</v>
      </c>
      <c r="C28" s="72">
        <v>21.56</v>
      </c>
      <c r="D28" s="72">
        <v>21.56</v>
      </c>
    </row>
    <row r="29" spans="2:7" ht="18.75" x14ac:dyDescent="0.25">
      <c r="B29" s="45">
        <v>8</v>
      </c>
      <c r="C29" s="72">
        <v>22.088000000000001</v>
      </c>
      <c r="D29" s="72">
        <v>22.088000000000001</v>
      </c>
    </row>
    <row r="30" spans="2:7" ht="18.75" x14ac:dyDescent="0.25">
      <c r="B30" s="45">
        <v>9</v>
      </c>
      <c r="C30" s="72">
        <v>20.701000000000001</v>
      </c>
      <c r="D30" s="72">
        <v>20.701000000000001</v>
      </c>
    </row>
    <row r="31" spans="2:7" ht="18.75" x14ac:dyDescent="0.25">
      <c r="B31" s="45">
        <v>10</v>
      </c>
      <c r="C31" s="72">
        <v>21.41</v>
      </c>
      <c r="D31" s="72">
        <v>21.41</v>
      </c>
    </row>
    <row r="32" spans="2:7" ht="18.75" x14ac:dyDescent="0.25">
      <c r="B32" s="45">
        <v>11</v>
      </c>
      <c r="C32" s="72">
        <v>20.405000000000001</v>
      </c>
      <c r="D32" s="72">
        <v>20.405000000000001</v>
      </c>
    </row>
    <row r="33" spans="2:4" ht="18.75" x14ac:dyDescent="0.25">
      <c r="B33" s="45">
        <v>12</v>
      </c>
      <c r="C33" s="72">
        <v>19.928999999999998</v>
      </c>
      <c r="D33" s="72">
        <v>19.928999999999998</v>
      </c>
    </row>
    <row r="34" spans="2:4" ht="18.75" x14ac:dyDescent="0.25">
      <c r="B34" s="45">
        <v>13</v>
      </c>
      <c r="C34" s="72">
        <v>20.065000000000001</v>
      </c>
      <c r="D34" s="72">
        <v>20.065000000000001</v>
      </c>
    </row>
    <row r="35" spans="2:4" ht="18.75" x14ac:dyDescent="0.25">
      <c r="B35" s="45">
        <v>14</v>
      </c>
      <c r="C35" s="72">
        <v>21.228999999999999</v>
      </c>
      <c r="D35" s="72">
        <v>21.228999999999999</v>
      </c>
    </row>
    <row r="36" spans="2:4" ht="18.75" x14ac:dyDescent="0.25">
      <c r="B36" s="45">
        <v>15</v>
      </c>
      <c r="C36" s="72">
        <v>20.099</v>
      </c>
      <c r="D36" s="72">
        <v>20.099</v>
      </c>
    </row>
    <row r="37" spans="2:4" ht="18.75" x14ac:dyDescent="0.25">
      <c r="B37" s="45">
        <v>16</v>
      </c>
      <c r="C37" s="72">
        <v>21.684000000000001</v>
      </c>
      <c r="D37" s="72">
        <v>21.684000000000001</v>
      </c>
    </row>
    <row r="38" spans="2:4" ht="18.75" x14ac:dyDescent="0.25">
      <c r="B38" s="45">
        <v>17</v>
      </c>
      <c r="C38" s="72">
        <v>21.937999999999999</v>
      </c>
      <c r="D38" s="72">
        <v>21.937999999999999</v>
      </c>
    </row>
    <row r="39" spans="2:4" ht="18.75" x14ac:dyDescent="0.25">
      <c r="B39" s="45">
        <v>18</v>
      </c>
      <c r="C39" s="72">
        <v>22.442</v>
      </c>
      <c r="D39" s="72">
        <v>22.442</v>
      </c>
    </row>
    <row r="40" spans="2:4" ht="18.75" x14ac:dyDescent="0.25">
      <c r="B40" s="45">
        <v>19</v>
      </c>
      <c r="C40" s="72">
        <v>22.123000000000001</v>
      </c>
      <c r="D40" s="72">
        <v>22.123000000000001</v>
      </c>
    </row>
    <row r="41" spans="2:4" ht="18.75" x14ac:dyDescent="0.25">
      <c r="B41" s="45">
        <v>20</v>
      </c>
      <c r="C41" s="72">
        <v>21.798999999999999</v>
      </c>
      <c r="D41" s="72">
        <v>21.798999999999999</v>
      </c>
    </row>
    <row r="42" spans="2:4" ht="18.75" x14ac:dyDescent="0.25">
      <c r="B42" s="45">
        <v>21</v>
      </c>
      <c r="C42" s="72">
        <v>21.818999999999999</v>
      </c>
      <c r="D42" s="72">
        <v>21.818999999999999</v>
      </c>
    </row>
    <row r="43" spans="2:4" ht="18.75" x14ac:dyDescent="0.25">
      <c r="B43" s="45">
        <v>22</v>
      </c>
      <c r="C43" s="72">
        <v>22.341999999999999</v>
      </c>
      <c r="D43" s="72">
        <v>22.341999999999999</v>
      </c>
    </row>
    <row r="44" spans="2:4" ht="18.75" x14ac:dyDescent="0.25">
      <c r="B44" s="45">
        <v>23</v>
      </c>
      <c r="C44" s="72">
        <v>22.033999999999999</v>
      </c>
      <c r="D44" s="72">
        <v>22.033999999999999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21.485999999999997</v>
      </c>
      <c r="D46" s="75"/>
    </row>
    <row r="47" spans="2:4" ht="31.5" x14ac:dyDescent="0.25">
      <c r="B47" s="48" t="s">
        <v>48</v>
      </c>
      <c r="C47" s="47">
        <f>_xlfn.STDEV.S(C21:C45)</f>
        <v>0.75905687930121057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'FOM303-32-Imprimir'!C30</f>
        <v>46073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'FOM303-32-Imprimir'!E30</f>
        <v>46073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22.356000000000002</v>
      </c>
      <c r="D21" s="72">
        <v>22.356000000000002</v>
      </c>
    </row>
    <row r="22" spans="2:7" ht="18.75" x14ac:dyDescent="0.25">
      <c r="B22" s="45">
        <v>1</v>
      </c>
      <c r="C22" s="72">
        <v>22.01</v>
      </c>
      <c r="D22" s="72">
        <v>22.01</v>
      </c>
    </row>
    <row r="23" spans="2:7" ht="18.75" x14ac:dyDescent="0.25">
      <c r="B23" s="45">
        <v>2</v>
      </c>
      <c r="C23" s="72">
        <v>21.824999999999999</v>
      </c>
      <c r="D23" s="72">
        <v>21.824999999999999</v>
      </c>
    </row>
    <row r="24" spans="2:7" ht="18.75" x14ac:dyDescent="0.25">
      <c r="B24" s="45">
        <v>3</v>
      </c>
      <c r="C24" s="72">
        <v>21.713999999999999</v>
      </c>
      <c r="D24" s="72">
        <v>21.713999999999999</v>
      </c>
    </row>
    <row r="25" spans="2:7" ht="18.75" x14ac:dyDescent="0.25">
      <c r="B25" s="45">
        <v>4</v>
      </c>
      <c r="C25" s="72">
        <v>21.282</v>
      </c>
      <c r="D25" s="72">
        <v>21.282</v>
      </c>
    </row>
    <row r="26" spans="2:7" ht="18.75" x14ac:dyDescent="0.25">
      <c r="B26" s="45">
        <v>5</v>
      </c>
      <c r="C26" s="72">
        <v>20.957999999999998</v>
      </c>
      <c r="D26" s="72">
        <v>20.957999999999998</v>
      </c>
    </row>
    <row r="27" spans="2:7" ht="18.75" x14ac:dyDescent="0.25">
      <c r="B27" s="45">
        <v>6</v>
      </c>
      <c r="C27" s="72">
        <v>20.882000000000001</v>
      </c>
      <c r="D27" s="72">
        <v>20.882000000000001</v>
      </c>
    </row>
    <row r="28" spans="2:7" ht="18.75" x14ac:dyDescent="0.25">
      <c r="B28" s="45">
        <v>7</v>
      </c>
      <c r="C28" s="72">
        <v>21.748999999999999</v>
      </c>
      <c r="D28" s="72">
        <v>21.748999999999999</v>
      </c>
    </row>
    <row r="29" spans="2:7" ht="18.75" x14ac:dyDescent="0.25">
      <c r="B29" s="45">
        <v>8</v>
      </c>
      <c r="C29" s="72">
        <v>21.725000000000001</v>
      </c>
      <c r="D29" s="72">
        <v>21.725000000000001</v>
      </c>
    </row>
    <row r="30" spans="2:7" ht="18.75" x14ac:dyDescent="0.25">
      <c r="B30" s="45">
        <v>9</v>
      </c>
      <c r="C30" s="72">
        <v>20.600999999999999</v>
      </c>
      <c r="D30" s="72">
        <v>20.600999999999999</v>
      </c>
    </row>
    <row r="31" spans="2:7" ht="18.75" x14ac:dyDescent="0.25">
      <c r="B31" s="45">
        <v>10</v>
      </c>
      <c r="C31" s="72">
        <v>21.105</v>
      </c>
      <c r="D31" s="72">
        <v>21.105</v>
      </c>
    </row>
    <row r="32" spans="2:7" ht="18.75" x14ac:dyDescent="0.25">
      <c r="B32" s="45">
        <v>11</v>
      </c>
      <c r="C32" s="72">
        <v>20.905000000000001</v>
      </c>
      <c r="D32" s="72">
        <v>20.905000000000001</v>
      </c>
    </row>
    <row r="33" spans="2:4" ht="18.75" x14ac:dyDescent="0.25">
      <c r="B33" s="45">
        <v>12</v>
      </c>
      <c r="C33" s="72">
        <v>21.690999999999999</v>
      </c>
      <c r="D33" s="72">
        <v>21.690999999999999</v>
      </c>
    </row>
    <row r="34" spans="2:4" ht="18.75" x14ac:dyDescent="0.25">
      <c r="B34" s="45">
        <v>13</v>
      </c>
      <c r="C34" s="72">
        <v>21.472999999999999</v>
      </c>
      <c r="D34" s="72">
        <v>21.472999999999999</v>
      </c>
    </row>
    <row r="35" spans="2:4" ht="18.75" x14ac:dyDescent="0.25">
      <c r="B35" s="45">
        <v>14</v>
      </c>
      <c r="C35" s="72">
        <v>21.44</v>
      </c>
      <c r="D35" s="72">
        <v>21.44</v>
      </c>
    </row>
    <row r="36" spans="2:4" ht="18.75" x14ac:dyDescent="0.25">
      <c r="B36" s="45">
        <v>15</v>
      </c>
      <c r="C36" s="72">
        <v>21.366</v>
      </c>
      <c r="D36" s="72">
        <v>21.366</v>
      </c>
    </row>
    <row r="37" spans="2:4" ht="18.75" x14ac:dyDescent="0.25">
      <c r="B37" s="45">
        <v>16</v>
      </c>
      <c r="C37" s="72">
        <v>20.167999999999999</v>
      </c>
      <c r="D37" s="72">
        <v>20.167999999999999</v>
      </c>
    </row>
    <row r="38" spans="2:4" ht="18.75" x14ac:dyDescent="0.25">
      <c r="B38" s="45">
        <v>17</v>
      </c>
      <c r="C38" s="72">
        <v>20.123000000000001</v>
      </c>
      <c r="D38" s="72">
        <v>20.123000000000001</v>
      </c>
    </row>
    <row r="39" spans="2:4" ht="18.75" x14ac:dyDescent="0.25">
      <c r="B39" s="45">
        <v>18</v>
      </c>
      <c r="C39" s="72">
        <v>21.084</v>
      </c>
      <c r="D39" s="72">
        <v>21.084</v>
      </c>
    </row>
    <row r="40" spans="2:4" ht="18.75" x14ac:dyDescent="0.25">
      <c r="B40" s="45">
        <v>19</v>
      </c>
      <c r="C40" s="72">
        <v>21.588000000000001</v>
      </c>
      <c r="D40" s="72">
        <v>21.588000000000001</v>
      </c>
    </row>
    <row r="41" spans="2:4" ht="18.75" x14ac:dyDescent="0.25">
      <c r="B41" s="45">
        <v>20</v>
      </c>
      <c r="C41" s="72">
        <v>22.073</v>
      </c>
      <c r="D41" s="72">
        <v>22.073</v>
      </c>
    </row>
    <row r="42" spans="2:4" ht="18.75" x14ac:dyDescent="0.25">
      <c r="B42" s="45">
        <v>21</v>
      </c>
      <c r="C42" s="72">
        <v>22.183</v>
      </c>
      <c r="D42" s="72">
        <v>22.183</v>
      </c>
    </row>
    <row r="43" spans="2:4" ht="18.75" x14ac:dyDescent="0.25">
      <c r="B43" s="45">
        <v>22</v>
      </c>
      <c r="C43" s="72">
        <v>22.015999999999998</v>
      </c>
      <c r="D43" s="72">
        <v>22.015999999999998</v>
      </c>
    </row>
    <row r="44" spans="2:4" ht="18.75" x14ac:dyDescent="0.25">
      <c r="B44" s="45">
        <v>23</v>
      </c>
      <c r="C44" s="72">
        <v>22.166</v>
      </c>
      <c r="D44" s="72">
        <v>22.166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21.396826086956519</v>
      </c>
      <c r="D46" s="75"/>
    </row>
    <row r="47" spans="2:4" ht="31.5" x14ac:dyDescent="0.25">
      <c r="B47" s="48" t="s">
        <v>48</v>
      </c>
      <c r="C47" s="47">
        <f>_xlfn.STDEV.S(C21:C45)</f>
        <v>0.61208865365038112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'FOM303-32-Imprimir'!C31</f>
        <v>46074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'FOM303-32-Imprimir'!E31</f>
        <v>46074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22.210999999999999</v>
      </c>
      <c r="D21" s="72">
        <v>22.210999999999999</v>
      </c>
    </row>
    <row r="22" spans="2:7" ht="18.75" x14ac:dyDescent="0.25">
      <c r="B22" s="45">
        <v>1</v>
      </c>
      <c r="C22" s="72">
        <v>22.027000000000001</v>
      </c>
      <c r="D22" s="72">
        <v>22.027000000000001</v>
      </c>
    </row>
    <row r="23" spans="2:7" ht="18.75" x14ac:dyDescent="0.25">
      <c r="B23" s="45">
        <v>2</v>
      </c>
      <c r="C23" s="72">
        <v>21.759</v>
      </c>
      <c r="D23" s="72">
        <v>21.759</v>
      </c>
    </row>
    <row r="24" spans="2:7" ht="18.75" x14ac:dyDescent="0.25">
      <c r="B24" s="45">
        <v>3</v>
      </c>
      <c r="C24" s="72">
        <v>21.847000000000001</v>
      </c>
      <c r="D24" s="72">
        <v>21.847000000000001</v>
      </c>
    </row>
    <row r="25" spans="2:7" ht="18.75" x14ac:dyDescent="0.25">
      <c r="B25" s="45">
        <v>4</v>
      </c>
      <c r="C25" s="72">
        <v>21.881</v>
      </c>
      <c r="D25" s="72">
        <v>21.881</v>
      </c>
    </row>
    <row r="26" spans="2:7" ht="18.75" x14ac:dyDescent="0.25">
      <c r="B26" s="45">
        <v>5</v>
      </c>
      <c r="C26" s="72">
        <v>21.234000000000002</v>
      </c>
      <c r="D26" s="72">
        <v>21.234000000000002</v>
      </c>
    </row>
    <row r="27" spans="2:7" ht="18.75" x14ac:dyDescent="0.25">
      <c r="B27" s="45">
        <v>6</v>
      </c>
      <c r="C27" s="72">
        <v>20.471</v>
      </c>
      <c r="D27" s="72">
        <v>20.471</v>
      </c>
    </row>
    <row r="28" spans="2:7" ht="18.75" x14ac:dyDescent="0.25">
      <c r="B28" s="45">
        <v>7</v>
      </c>
      <c r="C28" s="72">
        <v>21.247</v>
      </c>
      <c r="D28" s="72">
        <v>21.247</v>
      </c>
    </row>
    <row r="29" spans="2:7" ht="18.75" x14ac:dyDescent="0.25">
      <c r="B29" s="45">
        <v>8</v>
      </c>
      <c r="C29" s="72">
        <v>21.667000000000002</v>
      </c>
      <c r="D29" s="72">
        <v>21.667000000000002</v>
      </c>
    </row>
    <row r="30" spans="2:7" ht="18.75" x14ac:dyDescent="0.25">
      <c r="B30" s="45">
        <v>9</v>
      </c>
      <c r="C30" s="72">
        <v>21.315999999999999</v>
      </c>
      <c r="D30" s="72">
        <v>21.315999999999999</v>
      </c>
    </row>
    <row r="31" spans="2:7" ht="18.75" x14ac:dyDescent="0.25">
      <c r="B31" s="45">
        <v>10</v>
      </c>
      <c r="C31" s="72">
        <v>20.916</v>
      </c>
      <c r="D31" s="72">
        <v>20.916</v>
      </c>
    </row>
    <row r="32" spans="2:7" ht="18.75" x14ac:dyDescent="0.25">
      <c r="B32" s="45">
        <v>11</v>
      </c>
      <c r="C32" s="72">
        <v>20.34</v>
      </c>
      <c r="D32" s="72">
        <v>20.34</v>
      </c>
    </row>
    <row r="33" spans="2:4" ht="18.75" x14ac:dyDescent="0.25">
      <c r="B33" s="45">
        <v>12</v>
      </c>
      <c r="C33" s="72">
        <v>20.736999999999998</v>
      </c>
      <c r="D33" s="72">
        <v>20.736999999999998</v>
      </c>
    </row>
    <row r="34" spans="2:4" ht="18.75" x14ac:dyDescent="0.25">
      <c r="B34" s="45">
        <v>13</v>
      </c>
      <c r="C34" s="72">
        <v>20.977</v>
      </c>
      <c r="D34" s="72">
        <v>20.977</v>
      </c>
    </row>
    <row r="35" spans="2:4" ht="18.75" x14ac:dyDescent="0.25">
      <c r="B35" s="45">
        <v>14</v>
      </c>
      <c r="C35" s="72">
        <v>21.006</v>
      </c>
      <c r="D35" s="72">
        <v>21.006</v>
      </c>
    </row>
    <row r="36" spans="2:4" ht="18.75" x14ac:dyDescent="0.25">
      <c r="B36" s="45">
        <v>15</v>
      </c>
      <c r="C36" s="72">
        <v>22.645</v>
      </c>
      <c r="D36" s="72">
        <v>22.645</v>
      </c>
    </row>
    <row r="37" spans="2:4" ht="18.75" x14ac:dyDescent="0.25">
      <c r="B37" s="45">
        <v>16</v>
      </c>
      <c r="C37" s="72">
        <v>22.416</v>
      </c>
      <c r="D37" s="72">
        <v>22.416</v>
      </c>
    </row>
    <row r="38" spans="2:4" ht="18.75" x14ac:dyDescent="0.25">
      <c r="B38" s="45">
        <v>17</v>
      </c>
      <c r="C38" s="72">
        <v>20.349</v>
      </c>
      <c r="D38" s="72">
        <v>20.349</v>
      </c>
    </row>
    <row r="39" spans="2:4" ht="18.75" x14ac:dyDescent="0.25">
      <c r="B39" s="45">
        <v>18</v>
      </c>
      <c r="C39" s="72">
        <v>21.492000000000001</v>
      </c>
      <c r="D39" s="72">
        <v>21.492000000000001</v>
      </c>
    </row>
    <row r="40" spans="2:4" ht="18.75" x14ac:dyDescent="0.25">
      <c r="B40" s="45">
        <v>19</v>
      </c>
      <c r="C40" s="72">
        <v>21.97</v>
      </c>
      <c r="D40" s="72">
        <v>21.97</v>
      </c>
    </row>
    <row r="41" spans="2:4" ht="18.75" x14ac:dyDescent="0.25">
      <c r="B41" s="45">
        <v>20</v>
      </c>
      <c r="C41" s="72">
        <v>21.498000000000001</v>
      </c>
      <c r="D41" s="72">
        <v>21.498000000000001</v>
      </c>
    </row>
    <row r="42" spans="2:4" ht="18.75" x14ac:dyDescent="0.25">
      <c r="B42" s="45">
        <v>21</v>
      </c>
      <c r="C42" s="72">
        <v>21.523</v>
      </c>
      <c r="D42" s="72">
        <v>21.523</v>
      </c>
    </row>
    <row r="43" spans="2:4" ht="18.75" x14ac:dyDescent="0.25">
      <c r="B43" s="45">
        <v>22</v>
      </c>
      <c r="C43" s="72">
        <v>21.449000000000002</v>
      </c>
      <c r="D43" s="72">
        <v>21.449000000000002</v>
      </c>
    </row>
    <row r="44" spans="2:4" ht="18.75" x14ac:dyDescent="0.25">
      <c r="B44" s="45">
        <v>23</v>
      </c>
      <c r="C44" s="72">
        <v>21.504999999999999</v>
      </c>
      <c r="D44" s="72">
        <v>21.504999999999999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21.403130434782607</v>
      </c>
      <c r="D46" s="75"/>
    </row>
    <row r="47" spans="2:4" ht="31.5" x14ac:dyDescent="0.25">
      <c r="B47" s="48" t="s">
        <v>48</v>
      </c>
      <c r="C47" s="47">
        <f>_xlfn.STDEV.S(C21:C45)</f>
        <v>0.61717307692741907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'FOM303-32-Imprimir'!C32</f>
        <v>46075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'FOM303-32-Imprimir'!E32</f>
        <v>46075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21.683</v>
      </c>
      <c r="D21" s="72">
        <v>21.683</v>
      </c>
    </row>
    <row r="22" spans="2:7" ht="18.75" x14ac:dyDescent="0.25">
      <c r="B22" s="45">
        <v>1</v>
      </c>
      <c r="C22" s="72">
        <v>21.969000000000001</v>
      </c>
      <c r="D22" s="72">
        <v>21.969000000000001</v>
      </c>
    </row>
    <row r="23" spans="2:7" ht="18.75" x14ac:dyDescent="0.25">
      <c r="B23" s="45">
        <v>2</v>
      </c>
      <c r="C23" s="72">
        <v>21.945</v>
      </c>
      <c r="D23" s="72">
        <v>21.945</v>
      </c>
    </row>
    <row r="24" spans="2:7" ht="18.75" x14ac:dyDescent="0.25">
      <c r="B24" s="45">
        <v>3</v>
      </c>
      <c r="C24" s="72">
        <v>22.021999999999998</v>
      </c>
      <c r="D24" s="72">
        <v>22.021999999999998</v>
      </c>
    </row>
    <row r="25" spans="2:7" ht="18.75" x14ac:dyDescent="0.25">
      <c r="B25" s="45">
        <v>4</v>
      </c>
      <c r="C25" s="72">
        <v>22.100999999999999</v>
      </c>
      <c r="D25" s="72">
        <v>22.100999999999999</v>
      </c>
    </row>
    <row r="26" spans="2:7" ht="18.75" x14ac:dyDescent="0.25">
      <c r="B26" s="45">
        <v>5</v>
      </c>
      <c r="C26" s="72">
        <v>21.797000000000001</v>
      </c>
      <c r="D26" s="72">
        <v>21.797000000000001</v>
      </c>
    </row>
    <row r="27" spans="2:7" ht="18.75" x14ac:dyDescent="0.25">
      <c r="B27" s="45">
        <v>6</v>
      </c>
      <c r="C27" s="72">
        <v>21.553000000000001</v>
      </c>
      <c r="D27" s="72">
        <v>21.553000000000001</v>
      </c>
    </row>
    <row r="28" spans="2:7" ht="18.75" x14ac:dyDescent="0.25">
      <c r="B28" s="45">
        <v>7</v>
      </c>
      <c r="C28" s="72">
        <v>21.763999999999999</v>
      </c>
      <c r="D28" s="72">
        <v>21.763999999999999</v>
      </c>
    </row>
    <row r="29" spans="2:7" ht="18.75" x14ac:dyDescent="0.25">
      <c r="B29" s="45">
        <v>8</v>
      </c>
      <c r="C29" s="72">
        <v>20.861999999999998</v>
      </c>
      <c r="D29" s="72">
        <v>20.861999999999998</v>
      </c>
    </row>
    <row r="30" spans="2:7" ht="18.75" x14ac:dyDescent="0.25">
      <c r="B30" s="45">
        <v>9</v>
      </c>
      <c r="C30" s="72">
        <v>21.338000000000001</v>
      </c>
      <c r="D30" s="72">
        <v>21.338000000000001</v>
      </c>
    </row>
    <row r="31" spans="2:7" ht="18.75" x14ac:dyDescent="0.25">
      <c r="B31" s="45">
        <v>10</v>
      </c>
      <c r="C31" s="72">
        <v>22.41</v>
      </c>
      <c r="D31" s="72">
        <v>22.41</v>
      </c>
    </row>
    <row r="32" spans="2:7" ht="18.75" x14ac:dyDescent="0.25">
      <c r="B32" s="45">
        <v>11</v>
      </c>
      <c r="C32" s="72">
        <v>22.605</v>
      </c>
      <c r="D32" s="72">
        <v>22.605</v>
      </c>
    </row>
    <row r="33" spans="2:4" ht="18.75" x14ac:dyDescent="0.25">
      <c r="B33" s="45">
        <v>12</v>
      </c>
      <c r="C33" s="72">
        <v>21.798999999999999</v>
      </c>
      <c r="D33" s="72">
        <v>21.798999999999999</v>
      </c>
    </row>
    <row r="34" spans="2:4" ht="18.75" x14ac:dyDescent="0.25">
      <c r="B34" s="45">
        <v>13</v>
      </c>
      <c r="C34" s="72">
        <v>22.925000000000001</v>
      </c>
      <c r="D34" s="72">
        <v>22.925000000000001</v>
      </c>
    </row>
    <row r="35" spans="2:4" ht="18.75" x14ac:dyDescent="0.25">
      <c r="B35" s="45">
        <v>14</v>
      </c>
      <c r="C35" s="72">
        <v>21.315000000000001</v>
      </c>
      <c r="D35" s="72">
        <v>21.315000000000001</v>
      </c>
    </row>
    <row r="36" spans="2:4" ht="18.75" x14ac:dyDescent="0.25">
      <c r="B36" s="45">
        <v>15</v>
      </c>
      <c r="C36" s="72">
        <v>20.972999999999999</v>
      </c>
      <c r="D36" s="72">
        <v>20.972999999999999</v>
      </c>
    </row>
    <row r="37" spans="2:4" ht="18.75" x14ac:dyDescent="0.25">
      <c r="B37" s="45">
        <v>16</v>
      </c>
      <c r="C37" s="72">
        <v>20.949000000000002</v>
      </c>
      <c r="D37" s="72">
        <v>20.949000000000002</v>
      </c>
    </row>
    <row r="38" spans="2:4" ht="18.75" x14ac:dyDescent="0.25">
      <c r="B38" s="45">
        <v>17</v>
      </c>
      <c r="C38" s="72">
        <v>20.222999999999999</v>
      </c>
      <c r="D38" s="72">
        <v>20.222999999999999</v>
      </c>
    </row>
    <row r="39" spans="2:4" ht="18.75" x14ac:dyDescent="0.25">
      <c r="B39" s="45">
        <v>18</v>
      </c>
      <c r="C39" s="72">
        <v>21.884</v>
      </c>
      <c r="D39" s="72">
        <v>21.884</v>
      </c>
    </row>
    <row r="40" spans="2:4" ht="18.75" x14ac:dyDescent="0.25">
      <c r="B40" s="45">
        <v>19</v>
      </c>
      <c r="C40" s="72">
        <v>20.431000000000001</v>
      </c>
      <c r="D40" s="72">
        <v>20.431000000000001</v>
      </c>
    </row>
    <row r="41" spans="2:4" ht="18.75" x14ac:dyDescent="0.25">
      <c r="B41" s="45">
        <v>20</v>
      </c>
      <c r="C41" s="72">
        <v>20.152999999999999</v>
      </c>
      <c r="D41" s="72">
        <v>20.152999999999999</v>
      </c>
    </row>
    <row r="42" spans="2:4" ht="18.75" x14ac:dyDescent="0.25">
      <c r="B42" s="45">
        <v>21</v>
      </c>
      <c r="C42" s="72">
        <v>21.081</v>
      </c>
      <c r="D42" s="72">
        <v>21.081</v>
      </c>
    </row>
    <row r="43" spans="2:4" ht="18.75" x14ac:dyDescent="0.25">
      <c r="B43" s="45">
        <v>22</v>
      </c>
      <c r="C43" s="72">
        <v>21.428000000000001</v>
      </c>
      <c r="D43" s="72">
        <v>21.428000000000001</v>
      </c>
    </row>
    <row r="44" spans="2:4" ht="18.75" x14ac:dyDescent="0.25">
      <c r="B44" s="45">
        <v>23</v>
      </c>
      <c r="C44" s="72">
        <v>21.367000000000001</v>
      </c>
      <c r="D44" s="72">
        <v>21.367000000000001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21.517130434782612</v>
      </c>
      <c r="D46" s="75"/>
    </row>
    <row r="47" spans="2:4" ht="31.5" x14ac:dyDescent="0.25">
      <c r="B47" s="48" t="s">
        <v>48</v>
      </c>
      <c r="C47" s="47">
        <f>_xlfn.STDEV.S(C21:C45)</f>
        <v>0.70352481981906623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'FOM303-32-Imprimir'!C33</f>
        <v>46076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'FOM303-32-Imprimir'!E33</f>
        <v>46076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21.779</v>
      </c>
      <c r="D21" s="72">
        <v>21.779</v>
      </c>
    </row>
    <row r="22" spans="2:7" ht="18.75" x14ac:dyDescent="0.25">
      <c r="B22" s="45">
        <v>1</v>
      </c>
      <c r="C22" s="72">
        <v>21.997</v>
      </c>
      <c r="D22" s="72">
        <v>21.997</v>
      </c>
    </row>
    <row r="23" spans="2:7" ht="18.75" x14ac:dyDescent="0.25">
      <c r="B23" s="45">
        <v>2</v>
      </c>
      <c r="C23" s="72">
        <v>21.477</v>
      </c>
      <c r="D23" s="72">
        <v>21.477</v>
      </c>
    </row>
    <row r="24" spans="2:7" ht="18.75" x14ac:dyDescent="0.25">
      <c r="B24" s="45">
        <v>3</v>
      </c>
      <c r="C24" s="72">
        <v>20.734000000000002</v>
      </c>
      <c r="D24" s="72">
        <v>20.734000000000002</v>
      </c>
    </row>
    <row r="25" spans="2:7" ht="18.75" x14ac:dyDescent="0.25">
      <c r="B25" s="45">
        <v>4</v>
      </c>
      <c r="C25" s="72">
        <v>20.338000000000001</v>
      </c>
      <c r="D25" s="72">
        <v>20.338000000000001</v>
      </c>
    </row>
    <row r="26" spans="2:7" ht="18.75" x14ac:dyDescent="0.25">
      <c r="B26" s="45">
        <v>5</v>
      </c>
      <c r="C26" s="72">
        <v>20.178999999999998</v>
      </c>
      <c r="D26" s="72">
        <v>20.178999999999998</v>
      </c>
    </row>
    <row r="27" spans="2:7" ht="18.75" x14ac:dyDescent="0.25">
      <c r="B27" s="45">
        <v>6</v>
      </c>
      <c r="C27" s="72">
        <v>20.172999999999998</v>
      </c>
      <c r="D27" s="72">
        <v>20.172999999999998</v>
      </c>
    </row>
    <row r="28" spans="2:7" ht="18.75" x14ac:dyDescent="0.25">
      <c r="B28" s="45">
        <v>7</v>
      </c>
      <c r="C28" s="72">
        <v>21.228999999999999</v>
      </c>
      <c r="D28" s="72">
        <v>21.228999999999999</v>
      </c>
    </row>
    <row r="29" spans="2:7" ht="18.75" x14ac:dyDescent="0.25">
      <c r="B29" s="45">
        <v>8</v>
      </c>
      <c r="C29" s="72">
        <v>20.282</v>
      </c>
      <c r="D29" s="72">
        <v>20.282</v>
      </c>
    </row>
    <row r="30" spans="2:7" ht="18.75" x14ac:dyDescent="0.25">
      <c r="B30" s="45">
        <v>9</v>
      </c>
      <c r="C30" s="72">
        <v>21.079000000000001</v>
      </c>
      <c r="D30" s="72">
        <v>21.079000000000001</v>
      </c>
    </row>
    <row r="31" spans="2:7" ht="18.75" x14ac:dyDescent="0.25">
      <c r="B31" s="45">
        <v>10</v>
      </c>
      <c r="C31" s="72">
        <v>19.968</v>
      </c>
      <c r="D31" s="72">
        <v>19.968</v>
      </c>
    </row>
    <row r="32" spans="2:7" ht="18.75" x14ac:dyDescent="0.25">
      <c r="B32" s="45">
        <v>11</v>
      </c>
      <c r="C32" s="72">
        <v>20.652999999999999</v>
      </c>
      <c r="D32" s="72">
        <v>20.652999999999999</v>
      </c>
    </row>
    <row r="33" spans="2:4" ht="18.75" x14ac:dyDescent="0.25">
      <c r="B33" s="45">
        <v>12</v>
      </c>
      <c r="C33" s="72">
        <v>21.91</v>
      </c>
      <c r="D33" s="72">
        <v>21.91</v>
      </c>
    </row>
    <row r="34" spans="2:4" ht="18.75" x14ac:dyDescent="0.25">
      <c r="B34" s="45">
        <v>13</v>
      </c>
      <c r="C34" s="72">
        <v>20.742000000000001</v>
      </c>
      <c r="D34" s="72">
        <v>20.742000000000001</v>
      </c>
    </row>
    <row r="35" spans="2:4" ht="18.75" x14ac:dyDescent="0.25">
      <c r="B35" s="45">
        <v>14</v>
      </c>
      <c r="C35" s="72">
        <v>20.277000000000001</v>
      </c>
      <c r="D35" s="72">
        <v>20.277000000000001</v>
      </c>
    </row>
    <row r="36" spans="2:4" ht="18.75" x14ac:dyDescent="0.25">
      <c r="B36" s="45">
        <v>15</v>
      </c>
      <c r="C36" s="72">
        <v>21.367000000000001</v>
      </c>
      <c r="D36" s="72">
        <v>21.367000000000001</v>
      </c>
    </row>
    <row r="37" spans="2:4" ht="18.75" x14ac:dyDescent="0.25">
      <c r="B37" s="45">
        <v>16</v>
      </c>
      <c r="C37" s="72">
        <v>20.483000000000001</v>
      </c>
      <c r="D37" s="72">
        <v>20.483000000000001</v>
      </c>
    </row>
    <row r="38" spans="2:4" ht="18.75" x14ac:dyDescent="0.25">
      <c r="B38" s="45">
        <v>17</v>
      </c>
      <c r="C38" s="72">
        <v>22.071999999999999</v>
      </c>
      <c r="D38" s="72">
        <v>22.071999999999999</v>
      </c>
    </row>
    <row r="39" spans="2:4" ht="18.75" x14ac:dyDescent="0.25">
      <c r="B39" s="45">
        <v>18</v>
      </c>
      <c r="C39" s="72">
        <v>22.012</v>
      </c>
      <c r="D39" s="72">
        <v>22.012</v>
      </c>
    </row>
    <row r="40" spans="2:4" ht="18.75" x14ac:dyDescent="0.25">
      <c r="B40" s="45">
        <v>19</v>
      </c>
      <c r="C40" s="72">
        <v>22.103000000000002</v>
      </c>
      <c r="D40" s="72">
        <v>22.103000000000002</v>
      </c>
    </row>
    <row r="41" spans="2:4" ht="18.75" x14ac:dyDescent="0.25">
      <c r="B41" s="45">
        <v>20</v>
      </c>
      <c r="C41" s="72">
        <v>22.288</v>
      </c>
      <c r="D41" s="72">
        <v>22.288</v>
      </c>
    </row>
    <row r="42" spans="2:4" ht="18.75" x14ac:dyDescent="0.25">
      <c r="B42" s="45">
        <v>21</v>
      </c>
      <c r="C42" s="72">
        <v>22.082999999999998</v>
      </c>
      <c r="D42" s="72">
        <v>22.082999999999998</v>
      </c>
    </row>
    <row r="43" spans="2:4" ht="18.75" x14ac:dyDescent="0.25">
      <c r="B43" s="45">
        <v>22</v>
      </c>
      <c r="C43" s="72">
        <v>22.279</v>
      </c>
      <c r="D43" s="72">
        <v>22.279</v>
      </c>
    </row>
    <row r="44" spans="2:4" ht="18.75" x14ac:dyDescent="0.25">
      <c r="B44" s="45">
        <v>23</v>
      </c>
      <c r="C44" s="72">
        <v>22.038</v>
      </c>
      <c r="D44" s="72">
        <v>22.038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21.207086956521742</v>
      </c>
      <c r="D46" s="75"/>
    </row>
    <row r="47" spans="2:4" ht="31.5" x14ac:dyDescent="0.25">
      <c r="B47" s="48" t="s">
        <v>48</v>
      </c>
      <c r="C47" s="47">
        <f>_xlfn.STDEV.S(C21:C45)</f>
        <v>0.80567751217418782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'FOM303-32-Imprimir'!C34</f>
        <v>46077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'FOM303-32-Imprimir'!E34</f>
        <v>46077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22.04</v>
      </c>
      <c r="D21" s="72">
        <v>22.04</v>
      </c>
    </row>
    <row r="22" spans="2:7" ht="18.75" x14ac:dyDescent="0.25">
      <c r="B22" s="45">
        <v>1</v>
      </c>
      <c r="C22" s="72">
        <v>21.96</v>
      </c>
      <c r="D22" s="72">
        <v>21.96</v>
      </c>
    </row>
    <row r="23" spans="2:7" ht="18.75" x14ac:dyDescent="0.25">
      <c r="B23" s="45">
        <v>2</v>
      </c>
      <c r="C23" s="72">
        <v>21.856000000000002</v>
      </c>
      <c r="D23" s="72">
        <v>21.856000000000002</v>
      </c>
    </row>
    <row r="24" spans="2:7" ht="18.75" x14ac:dyDescent="0.25">
      <c r="B24" s="45">
        <v>3</v>
      </c>
      <c r="C24" s="72">
        <v>21.684000000000001</v>
      </c>
      <c r="D24" s="72">
        <v>21.684000000000001</v>
      </c>
    </row>
    <row r="25" spans="2:7" ht="18.75" x14ac:dyDescent="0.25">
      <c r="B25" s="45">
        <v>4</v>
      </c>
      <c r="C25" s="72">
        <v>21.292000000000002</v>
      </c>
      <c r="D25" s="72">
        <v>21.292000000000002</v>
      </c>
    </row>
    <row r="26" spans="2:7" ht="18.75" x14ac:dyDescent="0.25">
      <c r="B26" s="45">
        <v>5</v>
      </c>
      <c r="C26" s="72">
        <v>21.216000000000001</v>
      </c>
      <c r="D26" s="72">
        <v>21.216000000000001</v>
      </c>
    </row>
    <row r="27" spans="2:7" ht="18.75" x14ac:dyDescent="0.25">
      <c r="B27" s="45">
        <v>6</v>
      </c>
      <c r="C27" s="72">
        <v>21.023</v>
      </c>
      <c r="D27" s="72">
        <v>21.023</v>
      </c>
    </row>
    <row r="28" spans="2:7" ht="18.75" x14ac:dyDescent="0.25">
      <c r="B28" s="45">
        <v>7</v>
      </c>
      <c r="C28" s="72">
        <v>21.44</v>
      </c>
      <c r="D28" s="72">
        <v>21.44</v>
      </c>
    </row>
    <row r="29" spans="2:7" ht="18.75" x14ac:dyDescent="0.25">
      <c r="B29" s="45">
        <v>8</v>
      </c>
      <c r="C29" s="72">
        <v>20.440000000000001</v>
      </c>
      <c r="D29" s="72">
        <v>20.440000000000001</v>
      </c>
    </row>
    <row r="30" spans="2:7" ht="18.75" x14ac:dyDescent="0.25">
      <c r="B30" s="45">
        <v>9</v>
      </c>
      <c r="C30" s="72">
        <v>21.042000000000002</v>
      </c>
      <c r="D30" s="72">
        <v>21.042000000000002</v>
      </c>
    </row>
    <row r="31" spans="2:7" ht="18.75" x14ac:dyDescent="0.25">
      <c r="B31" s="45">
        <v>10</v>
      </c>
      <c r="C31" s="72">
        <v>19.977</v>
      </c>
      <c r="D31" s="72">
        <v>19.977</v>
      </c>
    </row>
    <row r="32" spans="2:7" ht="18.75" x14ac:dyDescent="0.25">
      <c r="B32" s="45">
        <v>11</v>
      </c>
      <c r="C32" s="72">
        <v>20.366</v>
      </c>
      <c r="D32" s="72">
        <v>20.366</v>
      </c>
    </row>
    <row r="33" spans="2:4" ht="18.75" x14ac:dyDescent="0.25">
      <c r="B33" s="45">
        <v>12</v>
      </c>
      <c r="C33" s="72">
        <v>21.757000000000001</v>
      </c>
      <c r="D33" s="72">
        <v>21.757000000000001</v>
      </c>
    </row>
    <row r="34" spans="2:4" ht="18.75" x14ac:dyDescent="0.25">
      <c r="B34" s="45">
        <v>13</v>
      </c>
      <c r="C34" s="72">
        <v>22.481999999999999</v>
      </c>
      <c r="D34" s="72">
        <v>22.481999999999999</v>
      </c>
    </row>
    <row r="35" spans="2:4" ht="18.75" x14ac:dyDescent="0.25">
      <c r="B35" s="45">
        <v>14</v>
      </c>
      <c r="C35" s="72">
        <v>23.855</v>
      </c>
      <c r="D35" s="72">
        <v>23.855</v>
      </c>
    </row>
    <row r="36" spans="2:4" ht="18.75" x14ac:dyDescent="0.25">
      <c r="B36" s="45">
        <v>15</v>
      </c>
      <c r="C36" s="72">
        <v>23.382000000000001</v>
      </c>
      <c r="D36" s="72">
        <v>23.382000000000001</v>
      </c>
    </row>
    <row r="37" spans="2:4" ht="18.75" x14ac:dyDescent="0.25">
      <c r="B37" s="45">
        <v>16</v>
      </c>
      <c r="C37" s="72">
        <v>22.917999999999999</v>
      </c>
      <c r="D37" s="72">
        <v>22.917999999999999</v>
      </c>
    </row>
    <row r="38" spans="2:4" ht="18.75" x14ac:dyDescent="0.25">
      <c r="B38" s="45">
        <v>17</v>
      </c>
      <c r="C38" s="72">
        <v>20.670999999999999</v>
      </c>
      <c r="D38" s="72">
        <v>20.670999999999999</v>
      </c>
    </row>
    <row r="39" spans="2:4" ht="18.75" x14ac:dyDescent="0.25">
      <c r="B39" s="45">
        <v>18</v>
      </c>
      <c r="C39" s="72">
        <v>21.108000000000001</v>
      </c>
      <c r="D39" s="72">
        <v>21.108000000000001</v>
      </c>
    </row>
    <row r="40" spans="2:4" ht="18.75" x14ac:dyDescent="0.25">
      <c r="B40" s="45">
        <v>19</v>
      </c>
      <c r="C40" s="72">
        <v>22.100999999999999</v>
      </c>
      <c r="D40" s="72">
        <v>22.100999999999999</v>
      </c>
    </row>
    <row r="41" spans="2:4" ht="18.75" x14ac:dyDescent="0.25">
      <c r="B41" s="45">
        <v>20</v>
      </c>
      <c r="C41" s="72">
        <v>21.425999999999998</v>
      </c>
      <c r="D41" s="72">
        <v>21.425999999999998</v>
      </c>
    </row>
    <row r="42" spans="2:4" ht="18.75" x14ac:dyDescent="0.25">
      <c r="B42" s="45">
        <v>21</v>
      </c>
      <c r="C42" s="72">
        <v>20.120999999999999</v>
      </c>
      <c r="D42" s="72">
        <v>20.120999999999999</v>
      </c>
    </row>
    <row r="43" spans="2:4" ht="18.75" x14ac:dyDescent="0.25">
      <c r="B43" s="45">
        <v>22</v>
      </c>
      <c r="C43" s="72">
        <v>21.079000000000001</v>
      </c>
      <c r="D43" s="72">
        <v>21.079000000000001</v>
      </c>
    </row>
    <row r="44" spans="2:4" ht="18.75" x14ac:dyDescent="0.25">
      <c r="B44" s="45">
        <v>23</v>
      </c>
      <c r="C44" s="72">
        <v>21.962</v>
      </c>
      <c r="D44" s="72">
        <v>21.962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21.528608695652171</v>
      </c>
      <c r="D46" s="75"/>
    </row>
    <row r="47" spans="2:4" ht="31.5" x14ac:dyDescent="0.25">
      <c r="B47" s="48" t="s">
        <v>48</v>
      </c>
      <c r="C47" s="47">
        <f>_xlfn.STDEV.S(C21:C45)</f>
        <v>0.96744495031193278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'FOM303-32-Imprimir'!C35</f>
        <v>46078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'FOM303-32-Imprimir'!E35</f>
        <v>46078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22.350999999999999</v>
      </c>
      <c r="D21" s="72">
        <v>22.350999999999999</v>
      </c>
    </row>
    <row r="22" spans="2:7" ht="18.75" x14ac:dyDescent="0.25">
      <c r="B22" s="45">
        <v>1</v>
      </c>
      <c r="C22" s="72">
        <v>22.38</v>
      </c>
      <c r="D22" s="72">
        <v>22.38</v>
      </c>
    </row>
    <row r="23" spans="2:7" ht="18.75" x14ac:dyDescent="0.25">
      <c r="B23" s="45">
        <v>2</v>
      </c>
      <c r="C23" s="72">
        <v>21.977</v>
      </c>
      <c r="D23" s="72">
        <v>21.977</v>
      </c>
    </row>
    <row r="24" spans="2:7" ht="18.75" x14ac:dyDescent="0.25">
      <c r="B24" s="45">
        <v>3</v>
      </c>
      <c r="C24" s="72">
        <v>22.164000000000001</v>
      </c>
      <c r="D24" s="72">
        <v>22.164000000000001</v>
      </c>
    </row>
    <row r="25" spans="2:7" ht="18.75" x14ac:dyDescent="0.25">
      <c r="B25" s="45">
        <v>4</v>
      </c>
      <c r="C25" s="72">
        <v>22.135999999999999</v>
      </c>
      <c r="D25" s="72">
        <v>22.135999999999999</v>
      </c>
    </row>
    <row r="26" spans="2:7" ht="18.75" x14ac:dyDescent="0.25">
      <c r="B26" s="45">
        <v>5</v>
      </c>
      <c r="C26" s="72">
        <v>21.902999999999999</v>
      </c>
      <c r="D26" s="72">
        <v>21.902999999999999</v>
      </c>
    </row>
    <row r="27" spans="2:7" ht="18.75" x14ac:dyDescent="0.25">
      <c r="B27" s="45">
        <v>6</v>
      </c>
      <c r="C27" s="72">
        <v>21.693999999999999</v>
      </c>
      <c r="D27" s="72">
        <v>21.693999999999999</v>
      </c>
    </row>
    <row r="28" spans="2:7" ht="18.75" x14ac:dyDescent="0.25">
      <c r="B28" s="45">
        <v>7</v>
      </c>
      <c r="C28" s="72">
        <v>21.817</v>
      </c>
      <c r="D28" s="72">
        <v>21.817</v>
      </c>
    </row>
    <row r="29" spans="2:7" ht="18.75" x14ac:dyDescent="0.25">
      <c r="B29" s="45">
        <v>8</v>
      </c>
      <c r="C29" s="72">
        <v>20.079000000000001</v>
      </c>
      <c r="D29" s="72">
        <v>20.079000000000001</v>
      </c>
    </row>
    <row r="30" spans="2:7" ht="18.75" x14ac:dyDescent="0.25">
      <c r="B30" s="45">
        <v>9</v>
      </c>
      <c r="C30" s="72">
        <v>20.329000000000001</v>
      </c>
      <c r="D30" s="72">
        <v>20.329000000000001</v>
      </c>
    </row>
    <row r="31" spans="2:7" ht="18.75" x14ac:dyDescent="0.25">
      <c r="B31" s="45">
        <v>10</v>
      </c>
      <c r="C31" s="72">
        <v>20.071999999999999</v>
      </c>
      <c r="D31" s="72">
        <v>20.071999999999999</v>
      </c>
    </row>
    <row r="32" spans="2:7" ht="18.75" x14ac:dyDescent="0.25">
      <c r="B32" s="45">
        <v>11</v>
      </c>
      <c r="C32" s="72">
        <v>19.882000000000001</v>
      </c>
      <c r="D32" s="72">
        <v>19.882000000000001</v>
      </c>
    </row>
    <row r="33" spans="2:4" ht="18.75" x14ac:dyDescent="0.25">
      <c r="B33" s="45">
        <v>12</v>
      </c>
      <c r="C33" s="72">
        <v>21.44</v>
      </c>
      <c r="D33" s="72">
        <v>21.44</v>
      </c>
    </row>
    <row r="34" spans="2:4" ht="18.75" x14ac:dyDescent="0.25">
      <c r="B34" s="45">
        <v>13</v>
      </c>
      <c r="C34" s="72">
        <v>22.401</v>
      </c>
      <c r="D34" s="72">
        <v>22.401</v>
      </c>
    </row>
    <row r="35" spans="2:4" ht="18.75" x14ac:dyDescent="0.25">
      <c r="B35" s="45">
        <v>14</v>
      </c>
      <c r="C35" s="72">
        <v>22.661999999999999</v>
      </c>
      <c r="D35" s="72">
        <v>22.661999999999999</v>
      </c>
    </row>
    <row r="36" spans="2:4" ht="18.75" x14ac:dyDescent="0.25">
      <c r="B36" s="45">
        <v>15</v>
      </c>
      <c r="C36" s="72">
        <v>22.524999999999999</v>
      </c>
      <c r="D36" s="72">
        <v>22.524999999999999</v>
      </c>
    </row>
    <row r="37" spans="2:4" ht="18.75" x14ac:dyDescent="0.25">
      <c r="B37" s="45">
        <v>16</v>
      </c>
      <c r="C37" s="72">
        <v>20.402000000000001</v>
      </c>
      <c r="D37" s="72">
        <v>20.402000000000001</v>
      </c>
    </row>
    <row r="38" spans="2:4" ht="18.75" x14ac:dyDescent="0.25">
      <c r="B38" s="45">
        <v>17</v>
      </c>
      <c r="C38" s="72">
        <v>20.315000000000001</v>
      </c>
      <c r="D38" s="72">
        <v>20.315000000000001</v>
      </c>
    </row>
    <row r="39" spans="2:4" ht="18.75" x14ac:dyDescent="0.25">
      <c r="B39" s="45">
        <v>18</v>
      </c>
      <c r="C39" s="72">
        <v>21.445</v>
      </c>
      <c r="D39" s="72">
        <v>21.445</v>
      </c>
    </row>
    <row r="40" spans="2:4" ht="18.75" x14ac:dyDescent="0.25">
      <c r="B40" s="45">
        <v>19</v>
      </c>
      <c r="C40" s="72">
        <v>22.11</v>
      </c>
      <c r="D40" s="72">
        <v>22.11</v>
      </c>
    </row>
    <row r="41" spans="2:4" ht="18.75" x14ac:dyDescent="0.25">
      <c r="B41" s="45">
        <v>20</v>
      </c>
      <c r="C41" s="72">
        <v>22.51</v>
      </c>
      <c r="D41" s="72">
        <v>22.51</v>
      </c>
    </row>
    <row r="42" spans="2:4" ht="18.75" x14ac:dyDescent="0.25">
      <c r="B42" s="45">
        <v>21</v>
      </c>
      <c r="C42" s="72">
        <v>22.062000000000001</v>
      </c>
      <c r="D42" s="72">
        <v>22.062000000000001</v>
      </c>
    </row>
    <row r="43" spans="2:4" ht="18.75" x14ac:dyDescent="0.25">
      <c r="B43" s="45">
        <v>22</v>
      </c>
      <c r="C43" s="72">
        <v>22.472999999999999</v>
      </c>
      <c r="D43" s="72">
        <v>22.472999999999999</v>
      </c>
    </row>
    <row r="44" spans="2:4" ht="18.75" x14ac:dyDescent="0.25">
      <c r="B44" s="45">
        <v>23</v>
      </c>
      <c r="C44" s="72">
        <v>22.273</v>
      </c>
      <c r="D44" s="72">
        <v>22.273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21.610913043478259</v>
      </c>
      <c r="D46" s="75"/>
    </row>
    <row r="47" spans="2:4" ht="31.5" x14ac:dyDescent="0.25">
      <c r="B47" s="48" t="s">
        <v>48</v>
      </c>
      <c r="C47" s="47">
        <f>_xlfn.STDEV.S(C21:C45)</f>
        <v>0.92121938330340847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'FOM303-32-Imprimir'!C36</f>
        <v>46079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'FOM303-32-Imprimir'!E36</f>
        <v>46079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21.677</v>
      </c>
      <c r="D21" s="72">
        <v>21.677</v>
      </c>
    </row>
    <row r="22" spans="2:7" ht="18.75" x14ac:dyDescent="0.25">
      <c r="B22" s="45">
        <v>1</v>
      </c>
      <c r="C22" s="72">
        <v>21.262</v>
      </c>
      <c r="D22" s="72">
        <v>21.262</v>
      </c>
    </row>
    <row r="23" spans="2:7" ht="18.75" x14ac:dyDescent="0.25">
      <c r="B23" s="45">
        <v>2</v>
      </c>
      <c r="C23" s="72">
        <v>21.527000000000001</v>
      </c>
      <c r="D23" s="72">
        <v>21.527000000000001</v>
      </c>
    </row>
    <row r="24" spans="2:7" ht="18.75" x14ac:dyDescent="0.25">
      <c r="B24" s="45">
        <v>3</v>
      </c>
      <c r="C24" s="72">
        <v>22.035</v>
      </c>
      <c r="D24" s="72">
        <v>22.035</v>
      </c>
    </row>
    <row r="25" spans="2:7" ht="18.75" x14ac:dyDescent="0.25">
      <c r="B25" s="45">
        <v>4</v>
      </c>
      <c r="C25" s="72">
        <v>21.864000000000001</v>
      </c>
      <c r="D25" s="72">
        <v>21.864000000000001</v>
      </c>
    </row>
    <row r="26" spans="2:7" ht="18.75" x14ac:dyDescent="0.25">
      <c r="B26" s="45">
        <v>5</v>
      </c>
      <c r="C26" s="72">
        <v>21.425000000000001</v>
      </c>
      <c r="D26" s="72">
        <v>21.425000000000001</v>
      </c>
    </row>
    <row r="27" spans="2:7" ht="18.75" x14ac:dyDescent="0.25">
      <c r="B27" s="45">
        <v>6</v>
      </c>
      <c r="C27" s="72">
        <v>21.734000000000002</v>
      </c>
      <c r="D27" s="72">
        <v>21.734000000000002</v>
      </c>
    </row>
    <row r="28" spans="2:7" ht="18.75" x14ac:dyDescent="0.25">
      <c r="B28" s="45">
        <v>7</v>
      </c>
      <c r="C28" s="72">
        <v>20.908999999999999</v>
      </c>
      <c r="D28" s="72">
        <v>20.908999999999999</v>
      </c>
    </row>
    <row r="29" spans="2:7" ht="18.75" x14ac:dyDescent="0.25">
      <c r="B29" s="45">
        <v>8</v>
      </c>
      <c r="C29" s="72">
        <v>20.244</v>
      </c>
      <c r="D29" s="72">
        <v>20.244</v>
      </c>
    </row>
    <row r="30" spans="2:7" ht="18.75" x14ac:dyDescent="0.25">
      <c r="B30" s="45">
        <v>9</v>
      </c>
      <c r="C30" s="72">
        <v>19.986999999999998</v>
      </c>
      <c r="D30" s="72">
        <v>19.986999999999998</v>
      </c>
    </row>
    <row r="31" spans="2:7" ht="18.75" x14ac:dyDescent="0.25">
      <c r="B31" s="45">
        <v>10</v>
      </c>
      <c r="C31" s="72">
        <v>21.632000000000001</v>
      </c>
      <c r="D31" s="72">
        <v>21.632000000000001</v>
      </c>
    </row>
    <row r="32" spans="2:7" ht="18.75" x14ac:dyDescent="0.25">
      <c r="B32" s="45">
        <v>11</v>
      </c>
      <c r="C32" s="72">
        <v>21.512</v>
      </c>
      <c r="D32" s="72">
        <v>21.512</v>
      </c>
    </row>
    <row r="33" spans="2:4" ht="18.75" x14ac:dyDescent="0.25">
      <c r="B33" s="45">
        <v>12</v>
      </c>
      <c r="C33" s="72">
        <v>22.146999999999998</v>
      </c>
      <c r="D33" s="72">
        <v>22.146999999999998</v>
      </c>
    </row>
    <row r="34" spans="2:4" ht="18.75" x14ac:dyDescent="0.25">
      <c r="B34" s="45">
        <v>13</v>
      </c>
      <c r="C34" s="72">
        <v>22.861999999999998</v>
      </c>
      <c r="D34" s="72">
        <v>22.861999999999998</v>
      </c>
    </row>
    <row r="35" spans="2:4" ht="18.75" x14ac:dyDescent="0.25">
      <c r="B35" s="45">
        <v>14</v>
      </c>
      <c r="C35" s="72">
        <v>22.933</v>
      </c>
      <c r="D35" s="72">
        <v>22.933</v>
      </c>
    </row>
    <row r="36" spans="2:4" ht="18.75" x14ac:dyDescent="0.25">
      <c r="B36" s="45">
        <v>15</v>
      </c>
      <c r="C36" s="72">
        <v>22.411999999999999</v>
      </c>
      <c r="D36" s="72">
        <v>22.411999999999999</v>
      </c>
    </row>
    <row r="37" spans="2:4" ht="18.75" x14ac:dyDescent="0.25">
      <c r="B37" s="45">
        <v>16</v>
      </c>
      <c r="C37" s="72">
        <v>22.469000000000001</v>
      </c>
      <c r="D37" s="72">
        <v>22.469000000000001</v>
      </c>
    </row>
    <row r="38" spans="2:4" ht="18.75" x14ac:dyDescent="0.25">
      <c r="B38" s="45">
        <v>17</v>
      </c>
      <c r="C38" s="72">
        <v>20.783999999999999</v>
      </c>
      <c r="D38" s="72">
        <v>20.783999999999999</v>
      </c>
    </row>
    <row r="39" spans="2:4" ht="18.75" x14ac:dyDescent="0.25">
      <c r="B39" s="45">
        <v>18</v>
      </c>
      <c r="C39" s="72">
        <v>20.262</v>
      </c>
      <c r="D39" s="72">
        <v>20.262</v>
      </c>
    </row>
    <row r="40" spans="2:4" ht="18.75" x14ac:dyDescent="0.25">
      <c r="B40" s="45">
        <v>19</v>
      </c>
      <c r="C40" s="72">
        <v>21.23</v>
      </c>
      <c r="D40" s="72">
        <v>21.23</v>
      </c>
    </row>
    <row r="41" spans="2:4" ht="18.75" x14ac:dyDescent="0.25">
      <c r="B41" s="45">
        <v>20</v>
      </c>
      <c r="C41" s="72">
        <v>22.004999999999999</v>
      </c>
      <c r="D41" s="72">
        <v>22.004999999999999</v>
      </c>
    </row>
    <row r="42" spans="2:4" ht="18.75" x14ac:dyDescent="0.25">
      <c r="B42" s="45">
        <v>21</v>
      </c>
      <c r="C42" s="72">
        <v>22.268999999999998</v>
      </c>
      <c r="D42" s="72">
        <v>22.268999999999998</v>
      </c>
    </row>
    <row r="43" spans="2:4" ht="18.75" x14ac:dyDescent="0.25">
      <c r="B43" s="45">
        <v>22</v>
      </c>
      <c r="C43" s="72">
        <v>22.007000000000001</v>
      </c>
      <c r="D43" s="72">
        <v>22.007000000000001</v>
      </c>
    </row>
    <row r="44" spans="2:4" ht="18.75" x14ac:dyDescent="0.25">
      <c r="B44" s="45">
        <v>23</v>
      </c>
      <c r="C44" s="72">
        <v>22.172000000000001</v>
      </c>
      <c r="D44" s="72">
        <v>22.172000000000001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21.638391304347827</v>
      </c>
      <c r="D46" s="75"/>
    </row>
    <row r="47" spans="2:4" ht="31.5" x14ac:dyDescent="0.25">
      <c r="B47" s="48" t="s">
        <v>48</v>
      </c>
      <c r="C47" s="47">
        <f>_xlfn.STDEV.S(C21:C45)</f>
        <v>0.78302712485639325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'FOM303-32-Imprimir'!C37</f>
        <v>46080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'FOM303-32-Imprimir'!E37</f>
        <v>46080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21.76</v>
      </c>
      <c r="D21" s="72">
        <v>21.76</v>
      </c>
    </row>
    <row r="22" spans="2:7" ht="18.75" x14ac:dyDescent="0.25">
      <c r="B22" s="45">
        <v>1</v>
      </c>
      <c r="C22" s="72">
        <v>21.530999999999999</v>
      </c>
      <c r="D22" s="72">
        <v>21.530999999999999</v>
      </c>
    </row>
    <row r="23" spans="2:7" ht="18.75" x14ac:dyDescent="0.25">
      <c r="B23" s="45">
        <v>2</v>
      </c>
      <c r="C23" s="72">
        <v>21.262</v>
      </c>
      <c r="D23" s="72">
        <v>21.262</v>
      </c>
    </row>
    <row r="24" spans="2:7" ht="18.75" x14ac:dyDescent="0.25">
      <c r="B24" s="45">
        <v>3</v>
      </c>
      <c r="C24" s="72">
        <v>20.823</v>
      </c>
      <c r="D24" s="72">
        <v>20.823</v>
      </c>
    </row>
    <row r="25" spans="2:7" ht="18.75" x14ac:dyDescent="0.25">
      <c r="B25" s="45">
        <v>4</v>
      </c>
      <c r="C25" s="72">
        <v>20.457999999999998</v>
      </c>
      <c r="D25" s="72">
        <v>20.457999999999998</v>
      </c>
    </row>
    <row r="26" spans="2:7" ht="18.75" x14ac:dyDescent="0.25">
      <c r="B26" s="45">
        <v>5</v>
      </c>
      <c r="C26" s="72">
        <v>20.518000000000001</v>
      </c>
      <c r="D26" s="72">
        <v>20.518000000000001</v>
      </c>
    </row>
    <row r="27" spans="2:7" ht="18.75" x14ac:dyDescent="0.25">
      <c r="B27" s="45">
        <v>6</v>
      </c>
      <c r="C27" s="72">
        <v>20.827000000000002</v>
      </c>
      <c r="D27" s="72">
        <v>20.827000000000002</v>
      </c>
    </row>
    <row r="28" spans="2:7" ht="18.75" x14ac:dyDescent="0.25">
      <c r="B28" s="45">
        <v>7</v>
      </c>
      <c r="C28" s="72">
        <v>21.048999999999999</v>
      </c>
      <c r="D28" s="72">
        <v>21.048999999999999</v>
      </c>
    </row>
    <row r="29" spans="2:7" ht="18.75" x14ac:dyDescent="0.25">
      <c r="B29" s="45">
        <v>8</v>
      </c>
      <c r="C29" s="72">
        <v>20.515999999999998</v>
      </c>
      <c r="D29" s="72">
        <v>20.515999999999998</v>
      </c>
    </row>
    <row r="30" spans="2:7" ht="18.75" x14ac:dyDescent="0.25">
      <c r="B30" s="45">
        <v>9</v>
      </c>
      <c r="C30" s="72">
        <v>20.471</v>
      </c>
      <c r="D30" s="72">
        <v>20.471</v>
      </c>
    </row>
    <row r="31" spans="2:7" ht="18.75" x14ac:dyDescent="0.25">
      <c r="B31" s="45">
        <v>10</v>
      </c>
      <c r="C31" s="72">
        <v>20.414000000000001</v>
      </c>
      <c r="D31" s="72">
        <v>20.414000000000001</v>
      </c>
    </row>
    <row r="32" spans="2:7" ht="18.75" x14ac:dyDescent="0.25">
      <c r="B32" s="45">
        <v>11</v>
      </c>
      <c r="C32" s="72">
        <v>21.920999999999999</v>
      </c>
      <c r="D32" s="72">
        <v>21.920999999999999</v>
      </c>
    </row>
    <row r="33" spans="2:4" ht="18.75" x14ac:dyDescent="0.25">
      <c r="B33" s="45">
        <v>12</v>
      </c>
      <c r="C33" s="72">
        <v>23.42</v>
      </c>
      <c r="D33" s="72">
        <v>23.42</v>
      </c>
    </row>
    <row r="34" spans="2:4" ht="18.75" x14ac:dyDescent="0.25">
      <c r="B34" s="45">
        <v>13</v>
      </c>
      <c r="C34" s="72">
        <v>21.3</v>
      </c>
      <c r="D34" s="72">
        <v>21.3</v>
      </c>
    </row>
    <row r="35" spans="2:4" ht="18.75" x14ac:dyDescent="0.25">
      <c r="B35" s="45">
        <v>14</v>
      </c>
      <c r="C35" s="72">
        <v>21.385999999999999</v>
      </c>
      <c r="D35" s="72">
        <v>21.385999999999999</v>
      </c>
    </row>
    <row r="36" spans="2:4" ht="18.75" x14ac:dyDescent="0.25">
      <c r="B36" s="45">
        <v>15</v>
      </c>
      <c r="C36" s="72">
        <v>22.411999999999999</v>
      </c>
      <c r="D36" s="72">
        <v>22.411999999999999</v>
      </c>
    </row>
    <row r="37" spans="2:4" ht="18.75" x14ac:dyDescent="0.25">
      <c r="B37" s="45">
        <v>16</v>
      </c>
      <c r="C37" s="72">
        <v>21.634</v>
      </c>
      <c r="D37" s="72">
        <v>21.634</v>
      </c>
    </row>
    <row r="38" spans="2:4" ht="18.75" x14ac:dyDescent="0.25">
      <c r="B38" s="45">
        <v>17</v>
      </c>
      <c r="C38" s="72">
        <v>21.233000000000001</v>
      </c>
      <c r="D38" s="72">
        <v>21.233000000000001</v>
      </c>
    </row>
    <row r="39" spans="2:4" ht="18.75" x14ac:dyDescent="0.25">
      <c r="B39" s="45">
        <v>18</v>
      </c>
      <c r="C39" s="72">
        <v>20.251999999999999</v>
      </c>
      <c r="D39" s="72">
        <v>20.251999999999999</v>
      </c>
    </row>
    <row r="40" spans="2:4" ht="18.75" x14ac:dyDescent="0.25">
      <c r="B40" s="45">
        <v>19</v>
      </c>
      <c r="C40" s="72">
        <v>20.664999999999999</v>
      </c>
      <c r="D40" s="72">
        <v>20.664999999999999</v>
      </c>
    </row>
    <row r="41" spans="2:4" ht="18.75" x14ac:dyDescent="0.25">
      <c r="B41" s="45">
        <v>20</v>
      </c>
      <c r="C41" s="72">
        <v>21.902999999999999</v>
      </c>
      <c r="D41" s="72">
        <v>21.902999999999999</v>
      </c>
    </row>
    <row r="42" spans="2:4" ht="18.75" x14ac:dyDescent="0.25">
      <c r="B42" s="45">
        <v>21</v>
      </c>
      <c r="C42" s="72">
        <v>22.024999999999999</v>
      </c>
      <c r="D42" s="72">
        <v>22.024999999999999</v>
      </c>
    </row>
    <row r="43" spans="2:4" ht="18.75" x14ac:dyDescent="0.25">
      <c r="B43" s="45">
        <v>22</v>
      </c>
      <c r="C43" s="72">
        <v>21.177</v>
      </c>
      <c r="D43" s="72">
        <v>21.177</v>
      </c>
    </row>
    <row r="44" spans="2:4" ht="18.75" x14ac:dyDescent="0.25">
      <c r="B44" s="45">
        <v>23</v>
      </c>
      <c r="C44" s="72">
        <v>21.524999999999999</v>
      </c>
      <c r="D44" s="72">
        <v>21.524999999999999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21.248782608695652</v>
      </c>
      <c r="D46" s="75"/>
    </row>
    <row r="47" spans="2:4" ht="31.5" x14ac:dyDescent="0.25">
      <c r="B47" s="48" t="s">
        <v>48</v>
      </c>
      <c r="C47" s="47">
        <f>_xlfn.STDEV.S(C21:C45)</f>
        <v>0.74784059663207292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'FOM303-32-Imprimir'!C38</f>
        <v>46081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'FOM303-32-Imprimir'!E38</f>
        <v>46081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21.593</v>
      </c>
      <c r="D21" s="72">
        <v>21.593</v>
      </c>
    </row>
    <row r="22" spans="2:7" ht="18.75" x14ac:dyDescent="0.25">
      <c r="B22" s="45">
        <v>1</v>
      </c>
      <c r="C22" s="72">
        <v>21.257999999999999</v>
      </c>
      <c r="D22" s="72">
        <v>21.257999999999999</v>
      </c>
    </row>
    <row r="23" spans="2:7" ht="18.75" x14ac:dyDescent="0.25">
      <c r="B23" s="45">
        <v>2</v>
      </c>
      <c r="C23" s="72">
        <v>22.018000000000001</v>
      </c>
      <c r="D23" s="72">
        <v>22.018000000000001</v>
      </c>
    </row>
    <row r="24" spans="2:7" ht="18.75" x14ac:dyDescent="0.25">
      <c r="B24" s="45">
        <v>3</v>
      </c>
      <c r="C24" s="72">
        <v>21.920999999999999</v>
      </c>
      <c r="D24" s="72">
        <v>21.920999999999999</v>
      </c>
    </row>
    <row r="25" spans="2:7" ht="18.75" x14ac:dyDescent="0.25">
      <c r="B25" s="45">
        <v>4</v>
      </c>
      <c r="C25" s="72">
        <v>21.658999999999999</v>
      </c>
      <c r="D25" s="72">
        <v>21.658999999999999</v>
      </c>
    </row>
    <row r="26" spans="2:7" ht="18.75" x14ac:dyDescent="0.25">
      <c r="B26" s="45">
        <v>5</v>
      </c>
      <c r="C26" s="72">
        <v>21.332999999999998</v>
      </c>
      <c r="D26" s="72">
        <v>21.332999999999998</v>
      </c>
    </row>
    <row r="27" spans="2:7" ht="18.75" x14ac:dyDescent="0.25">
      <c r="B27" s="45">
        <v>6</v>
      </c>
      <c r="C27" s="72">
        <v>21.262</v>
      </c>
      <c r="D27" s="72">
        <v>21.262</v>
      </c>
    </row>
    <row r="28" spans="2:7" ht="18.75" x14ac:dyDescent="0.25">
      <c r="B28" s="45">
        <v>7</v>
      </c>
      <c r="C28" s="72">
        <v>21.346</v>
      </c>
      <c r="D28" s="72">
        <v>21.346</v>
      </c>
    </row>
    <row r="29" spans="2:7" ht="18.75" x14ac:dyDescent="0.25">
      <c r="B29" s="45">
        <v>8</v>
      </c>
      <c r="C29" s="72">
        <v>21.064</v>
      </c>
      <c r="D29" s="72">
        <v>21.064</v>
      </c>
    </row>
    <row r="30" spans="2:7" ht="18.75" x14ac:dyDescent="0.25">
      <c r="B30" s="45">
        <v>9</v>
      </c>
      <c r="C30" s="72">
        <v>20.468</v>
      </c>
      <c r="D30" s="72">
        <v>20.468</v>
      </c>
    </row>
    <row r="31" spans="2:7" ht="18.75" x14ac:dyDescent="0.25">
      <c r="B31" s="45">
        <v>10</v>
      </c>
      <c r="C31" s="72">
        <v>20.154</v>
      </c>
      <c r="D31" s="72">
        <v>20.154</v>
      </c>
    </row>
    <row r="32" spans="2:7" ht="18.75" x14ac:dyDescent="0.25">
      <c r="B32" s="45">
        <v>11</v>
      </c>
      <c r="C32" s="72">
        <v>20.268999999999998</v>
      </c>
      <c r="D32" s="72">
        <v>20.268999999999998</v>
      </c>
    </row>
    <row r="33" spans="2:4" ht="18.75" x14ac:dyDescent="0.25">
      <c r="B33" s="45">
        <v>12</v>
      </c>
      <c r="C33" s="72">
        <v>20.905999999999999</v>
      </c>
      <c r="D33" s="72">
        <v>20.905999999999999</v>
      </c>
    </row>
    <row r="34" spans="2:4" ht="18.75" x14ac:dyDescent="0.25">
      <c r="B34" s="45">
        <v>13</v>
      </c>
      <c r="C34" s="72">
        <v>21.248999999999999</v>
      </c>
      <c r="D34" s="72">
        <v>21.248999999999999</v>
      </c>
    </row>
    <row r="35" spans="2:4" ht="18.75" x14ac:dyDescent="0.25">
      <c r="B35" s="45">
        <v>14</v>
      </c>
      <c r="C35" s="72">
        <v>21.876999999999999</v>
      </c>
      <c r="D35" s="72">
        <v>21.876999999999999</v>
      </c>
    </row>
    <row r="36" spans="2:4" ht="18.75" x14ac:dyDescent="0.25">
      <c r="B36" s="45">
        <v>15</v>
      </c>
      <c r="C36" s="72">
        <v>20.963999999999999</v>
      </c>
      <c r="D36" s="72">
        <v>20.963999999999999</v>
      </c>
    </row>
    <row r="37" spans="2:4" ht="18.75" x14ac:dyDescent="0.25">
      <c r="B37" s="45">
        <v>16</v>
      </c>
      <c r="C37" s="72">
        <v>20.07</v>
      </c>
      <c r="D37" s="72">
        <v>20.07</v>
      </c>
    </row>
    <row r="38" spans="2:4" ht="18.75" x14ac:dyDescent="0.25">
      <c r="B38" s="45">
        <v>17</v>
      </c>
      <c r="C38" s="72">
        <v>20.245000000000001</v>
      </c>
      <c r="D38" s="72">
        <v>20.245000000000001</v>
      </c>
    </row>
    <row r="39" spans="2:4" ht="18.75" x14ac:dyDescent="0.25">
      <c r="B39" s="45">
        <v>18</v>
      </c>
      <c r="C39" s="72">
        <v>20.210999999999999</v>
      </c>
      <c r="D39" s="72">
        <v>20.210999999999999</v>
      </c>
    </row>
    <row r="40" spans="2:4" ht="18.75" x14ac:dyDescent="0.25">
      <c r="B40" s="45">
        <v>19</v>
      </c>
      <c r="C40" s="72">
        <v>20.234000000000002</v>
      </c>
      <c r="D40" s="72">
        <v>20.234000000000002</v>
      </c>
    </row>
    <row r="41" spans="2:4" ht="18.75" x14ac:dyDescent="0.25">
      <c r="B41" s="45">
        <v>20</v>
      </c>
      <c r="C41" s="72">
        <v>21.349</v>
      </c>
      <c r="D41" s="72">
        <v>21.349</v>
      </c>
    </row>
    <row r="42" spans="2:4" ht="18.75" x14ac:dyDescent="0.25">
      <c r="B42" s="45">
        <v>21</v>
      </c>
      <c r="C42" s="72">
        <v>22.067</v>
      </c>
      <c r="D42" s="72">
        <v>22.067</v>
      </c>
    </row>
    <row r="43" spans="2:4" ht="18.75" x14ac:dyDescent="0.25">
      <c r="B43" s="45">
        <v>22</v>
      </c>
      <c r="C43" s="72">
        <v>22.378</v>
      </c>
      <c r="D43" s="72">
        <v>22.378</v>
      </c>
    </row>
    <row r="44" spans="2:4" ht="18.75" x14ac:dyDescent="0.25">
      <c r="B44" s="45">
        <v>23</v>
      </c>
      <c r="C44" s="72">
        <v>21.579000000000001</v>
      </c>
      <c r="D44" s="72">
        <v>21.579000000000001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21.125260869565217</v>
      </c>
      <c r="D46" s="75"/>
    </row>
    <row r="47" spans="2:4" ht="31.5" x14ac:dyDescent="0.25">
      <c r="B47" s="48" t="s">
        <v>48</v>
      </c>
      <c r="C47" s="47">
        <f>_xlfn.STDEV.S(C21:C45)</f>
        <v>0.69315041657637344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'FOM303-32-Imprimir'!C39</f>
        <v>46082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'FOM303-32-Imprimir'!E39</f>
        <v>46082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21.681999999999999</v>
      </c>
      <c r="D21" s="72">
        <v>21.681999999999999</v>
      </c>
    </row>
    <row r="22" spans="2:7" ht="18.75" x14ac:dyDescent="0.25">
      <c r="B22" s="45">
        <v>1</v>
      </c>
      <c r="C22" s="72">
        <v>21.369</v>
      </c>
      <c r="D22" s="72">
        <v>21.369</v>
      </c>
    </row>
    <row r="23" spans="2:7" ht="18.75" x14ac:dyDescent="0.25">
      <c r="B23" s="45">
        <v>2</v>
      </c>
      <c r="C23" s="72">
        <v>20.969000000000001</v>
      </c>
      <c r="D23" s="72">
        <v>20.969000000000001</v>
      </c>
    </row>
    <row r="24" spans="2:7" ht="18.75" x14ac:dyDescent="0.25">
      <c r="B24" s="45">
        <v>3</v>
      </c>
      <c r="C24" s="72">
        <v>20.917000000000002</v>
      </c>
      <c r="D24" s="72">
        <v>20.917000000000002</v>
      </c>
    </row>
    <row r="25" spans="2:7" ht="18.75" x14ac:dyDescent="0.25">
      <c r="B25" s="45">
        <v>4</v>
      </c>
      <c r="C25" s="72">
        <v>20.395</v>
      </c>
      <c r="D25" s="72">
        <v>20.395</v>
      </c>
    </row>
    <row r="26" spans="2:7" ht="18.75" x14ac:dyDescent="0.25">
      <c r="B26" s="45">
        <v>5</v>
      </c>
      <c r="C26" s="72">
        <v>19.997</v>
      </c>
      <c r="D26" s="72">
        <v>19.997</v>
      </c>
    </row>
    <row r="27" spans="2:7" ht="18.75" x14ac:dyDescent="0.25">
      <c r="B27" s="45">
        <v>6</v>
      </c>
      <c r="C27" s="72">
        <v>19.975000000000001</v>
      </c>
      <c r="D27" s="72">
        <v>19.975000000000001</v>
      </c>
    </row>
    <row r="28" spans="2:7" ht="18.75" x14ac:dyDescent="0.25">
      <c r="B28" s="45">
        <v>7</v>
      </c>
      <c r="C28" s="72">
        <v>20.798999999999999</v>
      </c>
      <c r="D28" s="72">
        <v>20.798999999999999</v>
      </c>
    </row>
    <row r="29" spans="2:7" ht="18.75" x14ac:dyDescent="0.25">
      <c r="B29" s="45">
        <v>8</v>
      </c>
      <c r="C29" s="72">
        <v>21.242000000000001</v>
      </c>
      <c r="D29" s="72">
        <v>21.242000000000001</v>
      </c>
    </row>
    <row r="30" spans="2:7" ht="18.75" x14ac:dyDescent="0.25">
      <c r="B30" s="45">
        <v>9</v>
      </c>
      <c r="C30" s="72">
        <v>20.114999999999998</v>
      </c>
      <c r="D30" s="72">
        <v>20.114999999999998</v>
      </c>
    </row>
    <row r="31" spans="2:7" ht="18.75" x14ac:dyDescent="0.25">
      <c r="B31" s="45">
        <v>10</v>
      </c>
      <c r="C31" s="72">
        <v>20.501000000000001</v>
      </c>
      <c r="D31" s="72">
        <v>20.501000000000001</v>
      </c>
    </row>
    <row r="32" spans="2:7" ht="18.75" x14ac:dyDescent="0.25">
      <c r="B32" s="45">
        <v>11</v>
      </c>
      <c r="C32" s="72">
        <v>21.274999999999999</v>
      </c>
      <c r="D32" s="72">
        <v>21.274999999999999</v>
      </c>
    </row>
    <row r="33" spans="2:4" ht="18.75" x14ac:dyDescent="0.25">
      <c r="B33" s="45">
        <v>12</v>
      </c>
      <c r="C33" s="72">
        <v>21.611999999999998</v>
      </c>
      <c r="D33" s="72">
        <v>21.611999999999998</v>
      </c>
    </row>
    <row r="34" spans="2:4" ht="18.75" x14ac:dyDescent="0.25">
      <c r="B34" s="45">
        <v>13</v>
      </c>
      <c r="C34" s="72">
        <v>22.803000000000001</v>
      </c>
      <c r="D34" s="72">
        <v>22.803000000000001</v>
      </c>
    </row>
    <row r="35" spans="2:4" ht="18.75" x14ac:dyDescent="0.25">
      <c r="B35" s="45">
        <v>14</v>
      </c>
      <c r="C35" s="72">
        <v>22.834</v>
      </c>
      <c r="D35" s="72">
        <v>22.834</v>
      </c>
    </row>
    <row r="36" spans="2:4" ht="18.75" x14ac:dyDescent="0.25">
      <c r="B36" s="45">
        <v>15</v>
      </c>
      <c r="C36" s="72">
        <v>23.556999999999999</v>
      </c>
      <c r="D36" s="72">
        <v>23.556999999999999</v>
      </c>
    </row>
    <row r="37" spans="2:4" ht="18.75" x14ac:dyDescent="0.25">
      <c r="B37" s="45">
        <v>16</v>
      </c>
      <c r="C37" s="72">
        <v>22.23</v>
      </c>
      <c r="D37" s="72">
        <v>22.23</v>
      </c>
    </row>
    <row r="38" spans="2:4" ht="18.75" x14ac:dyDescent="0.25">
      <c r="B38" s="45">
        <v>17</v>
      </c>
      <c r="C38" s="72">
        <v>20.274999999999999</v>
      </c>
      <c r="D38" s="72">
        <v>20.274999999999999</v>
      </c>
    </row>
    <row r="39" spans="2:4" ht="18.75" x14ac:dyDescent="0.25">
      <c r="B39" s="45">
        <v>18</v>
      </c>
      <c r="C39" s="72">
        <v>20.352</v>
      </c>
      <c r="D39" s="72">
        <v>20.352</v>
      </c>
    </row>
    <row r="40" spans="2:4" ht="18.75" x14ac:dyDescent="0.25">
      <c r="B40" s="45">
        <v>19</v>
      </c>
      <c r="C40" s="72">
        <v>21.817</v>
      </c>
      <c r="D40" s="72">
        <v>21.817</v>
      </c>
    </row>
    <row r="41" spans="2:4" ht="18.75" x14ac:dyDescent="0.25">
      <c r="B41" s="45">
        <v>20</v>
      </c>
      <c r="C41" s="72">
        <v>21.881</v>
      </c>
      <c r="D41" s="72">
        <v>21.881</v>
      </c>
    </row>
    <row r="42" spans="2:4" ht="18.75" x14ac:dyDescent="0.25">
      <c r="B42" s="45">
        <v>21</v>
      </c>
      <c r="C42" s="72">
        <v>21.512</v>
      </c>
      <c r="D42" s="72">
        <v>21.512</v>
      </c>
    </row>
    <row r="43" spans="2:4" ht="18.75" x14ac:dyDescent="0.25">
      <c r="B43" s="45">
        <v>22</v>
      </c>
      <c r="C43" s="72">
        <v>22.186</v>
      </c>
      <c r="D43" s="72">
        <v>22.186</v>
      </c>
    </row>
    <row r="44" spans="2:4" ht="18.75" x14ac:dyDescent="0.25">
      <c r="B44" s="45">
        <v>23</v>
      </c>
      <c r="C44" s="72">
        <v>21.747</v>
      </c>
      <c r="D44" s="72">
        <v>21.747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21.320000000000004</v>
      </c>
      <c r="D46" s="75"/>
    </row>
    <row r="47" spans="2:4" ht="31.5" x14ac:dyDescent="0.25">
      <c r="B47" s="48" t="s">
        <v>48</v>
      </c>
      <c r="C47" s="47">
        <f>_xlfn.STDEV.S(C21:C45)</f>
        <v>0.96006919663055568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'FOM303-32-Imprimir'!C40</f>
        <v>46083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'FOM303-32-Imprimir'!E40</f>
        <v>46083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x14ac:dyDescent="0.25">
      <c r="B17" s="74" t="s">
        <v>45</v>
      </c>
      <c r="C17" s="74" t="s">
        <v>46</v>
      </c>
      <c r="D17" s="74"/>
      <c r="E17" s="28"/>
      <c r="G17" s="28"/>
    </row>
    <row r="18" spans="2:7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20.992000000000001</v>
      </c>
      <c r="D21" s="72">
        <v>20.992000000000001</v>
      </c>
    </row>
    <row r="22" spans="2:7" ht="18.75" x14ac:dyDescent="0.25">
      <c r="B22" s="45">
        <v>1</v>
      </c>
      <c r="C22" s="72">
        <v>20.048999999999999</v>
      </c>
      <c r="D22" s="72">
        <v>20.048999999999999</v>
      </c>
    </row>
    <row r="23" spans="2:7" ht="18.75" x14ac:dyDescent="0.25">
      <c r="B23" s="45">
        <v>2</v>
      </c>
      <c r="C23" s="72">
        <v>20.452999999999999</v>
      </c>
      <c r="D23" s="72">
        <v>20.452999999999999</v>
      </c>
    </row>
    <row r="24" spans="2:7" ht="18.75" x14ac:dyDescent="0.25">
      <c r="B24" s="45">
        <v>3</v>
      </c>
      <c r="C24" s="72">
        <v>20.927</v>
      </c>
      <c r="D24" s="72">
        <v>20.927</v>
      </c>
    </row>
    <row r="25" spans="2:7" ht="18.75" x14ac:dyDescent="0.25">
      <c r="B25" s="45">
        <v>4</v>
      </c>
      <c r="C25" s="72">
        <v>21.41</v>
      </c>
      <c r="D25" s="72">
        <v>21.41</v>
      </c>
    </row>
    <row r="26" spans="2:7" ht="18.75" x14ac:dyDescent="0.25">
      <c r="B26" s="45">
        <v>5</v>
      </c>
      <c r="C26" s="72">
        <v>21.475000000000001</v>
      </c>
      <c r="D26" s="72">
        <v>21.475000000000001</v>
      </c>
    </row>
    <row r="27" spans="2:7" ht="18.75" x14ac:dyDescent="0.25">
      <c r="B27" s="45">
        <v>6</v>
      </c>
      <c r="C27" s="72">
        <v>21.658000000000001</v>
      </c>
      <c r="D27" s="72">
        <v>21.658000000000001</v>
      </c>
    </row>
    <row r="28" spans="2:7" ht="18.75" x14ac:dyDescent="0.25">
      <c r="B28" s="45">
        <v>7</v>
      </c>
      <c r="C28" s="72">
        <v>21.422999999999998</v>
      </c>
      <c r="D28" s="72">
        <v>21.422999999999998</v>
      </c>
    </row>
    <row r="29" spans="2:7" ht="18.75" x14ac:dyDescent="0.25">
      <c r="B29" s="45">
        <v>8</v>
      </c>
      <c r="C29" s="72">
        <v>20.873000000000001</v>
      </c>
      <c r="D29" s="72">
        <v>20.873000000000001</v>
      </c>
    </row>
    <row r="30" spans="2:7" ht="18.75" x14ac:dyDescent="0.25">
      <c r="B30" s="45">
        <v>9</v>
      </c>
      <c r="C30" s="72">
        <v>20.48</v>
      </c>
      <c r="D30" s="72">
        <v>20.48</v>
      </c>
    </row>
    <row r="31" spans="2:7" ht="18.75" x14ac:dyDescent="0.25">
      <c r="B31" s="45">
        <v>10</v>
      </c>
      <c r="C31" s="72">
        <v>20.675000000000001</v>
      </c>
      <c r="D31" s="72">
        <v>20.675000000000001</v>
      </c>
    </row>
    <row r="32" spans="2:7" ht="18.75" x14ac:dyDescent="0.25">
      <c r="B32" s="45">
        <v>11</v>
      </c>
      <c r="C32" s="72">
        <v>20.134</v>
      </c>
      <c r="D32" s="72">
        <v>20.134</v>
      </c>
    </row>
    <row r="33" spans="2:4" ht="18.75" x14ac:dyDescent="0.25">
      <c r="B33" s="45">
        <v>12</v>
      </c>
      <c r="C33" s="72">
        <v>20.488</v>
      </c>
      <c r="D33" s="72">
        <v>20.488</v>
      </c>
    </row>
    <row r="34" spans="2:4" ht="18.75" x14ac:dyDescent="0.25">
      <c r="B34" s="45">
        <v>13</v>
      </c>
      <c r="C34" s="72">
        <v>20.594000000000001</v>
      </c>
      <c r="D34" s="72">
        <v>20.594000000000001</v>
      </c>
    </row>
    <row r="35" spans="2:4" ht="18.75" x14ac:dyDescent="0.25">
      <c r="B35" s="45">
        <v>14</v>
      </c>
      <c r="C35" s="72">
        <v>21.364999999999998</v>
      </c>
      <c r="D35" s="72">
        <v>21.364999999999998</v>
      </c>
    </row>
    <row r="36" spans="2:4" ht="18.75" x14ac:dyDescent="0.25">
      <c r="B36" s="45">
        <v>15</v>
      </c>
      <c r="C36" s="72">
        <v>23.288</v>
      </c>
      <c r="D36" s="72">
        <v>23.288</v>
      </c>
    </row>
    <row r="37" spans="2:4" ht="18.75" x14ac:dyDescent="0.25">
      <c r="B37" s="45">
        <v>16</v>
      </c>
      <c r="C37" s="72">
        <v>24.052</v>
      </c>
      <c r="D37" s="72">
        <v>24.052</v>
      </c>
    </row>
    <row r="38" spans="2:4" ht="18.75" x14ac:dyDescent="0.25">
      <c r="B38" s="45">
        <v>17</v>
      </c>
      <c r="C38" s="72">
        <v>24.27</v>
      </c>
      <c r="D38" s="72">
        <v>24.27</v>
      </c>
    </row>
    <row r="39" spans="2:4" ht="18.75" x14ac:dyDescent="0.25">
      <c r="B39" s="45">
        <v>18</v>
      </c>
      <c r="C39" s="72">
        <v>24.32</v>
      </c>
      <c r="D39" s="72">
        <v>24.32</v>
      </c>
    </row>
    <row r="40" spans="2:4" ht="18.75" x14ac:dyDescent="0.25">
      <c r="B40" s="45">
        <v>19</v>
      </c>
      <c r="C40" s="72">
        <v>24.324999999999999</v>
      </c>
      <c r="D40" s="72">
        <v>24.324999999999999</v>
      </c>
    </row>
    <row r="41" spans="2:4" ht="18.75" x14ac:dyDescent="0.25">
      <c r="B41" s="45">
        <v>20</v>
      </c>
      <c r="C41" s="72">
        <v>24.215</v>
      </c>
      <c r="D41" s="72">
        <v>24.215</v>
      </c>
    </row>
    <row r="42" spans="2:4" ht="18.75" x14ac:dyDescent="0.25">
      <c r="B42" s="45">
        <v>21</v>
      </c>
      <c r="C42" s="72">
        <v>24.186</v>
      </c>
      <c r="D42" s="72">
        <v>24.186</v>
      </c>
    </row>
    <row r="43" spans="2:4" ht="18.75" x14ac:dyDescent="0.25">
      <c r="B43" s="45">
        <v>22</v>
      </c>
      <c r="C43" s="72">
        <v>24.116</v>
      </c>
      <c r="D43" s="72">
        <v>24.116</v>
      </c>
    </row>
    <row r="44" spans="2:4" ht="18.75" x14ac:dyDescent="0.25">
      <c r="B44" s="45">
        <v>23</v>
      </c>
      <c r="C44" s="72">
        <v>24.178999999999998</v>
      </c>
      <c r="D44" s="72">
        <v>24.178999999999998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22.12847826086956</v>
      </c>
      <c r="D46" s="75"/>
    </row>
    <row r="47" spans="2:4" ht="31.5" x14ac:dyDescent="0.25">
      <c r="B47" s="48" t="s">
        <v>48</v>
      </c>
      <c r="C47" s="47">
        <f>_xlfn.STDEV.S(C21:C45)</f>
        <v>1.6614278383235672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view="pageBreakPreview" zoomScale="85" zoomScaleNormal="85" zoomScaleSheetLayoutView="85" workbookViewId="0">
      <selection activeCell="F16" sqref="F16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54" t="s">
        <v>0</v>
      </c>
      <c r="C1" s="55"/>
      <c r="D1" s="55"/>
      <c r="E1" s="56"/>
      <c r="F1" s="57" t="s">
        <v>33</v>
      </c>
      <c r="G1" s="58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63" t="s">
        <v>2</v>
      </c>
      <c r="C2" s="64"/>
      <c r="D2" s="64"/>
      <c r="E2" s="65"/>
      <c r="F2" s="59"/>
      <c r="G2" s="60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66"/>
      <c r="C3" s="67"/>
      <c r="D3" s="67"/>
      <c r="E3" s="68"/>
      <c r="F3" s="61"/>
      <c r="G3" s="62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51" t="str" cm="1">
        <f t="array" ref="B7">'Dia 1'!B7:B7</f>
        <v>AEROCIVIL</v>
      </c>
      <c r="C7" s="52"/>
      <c r="D7" s="23" t="s">
        <v>5</v>
      </c>
      <c r="E7" s="53" t="str" cm="1">
        <f t="array" ref="E7">'Dia 1'!E7:E7</f>
        <v>Bogotá DC</v>
      </c>
      <c r="F7" s="53"/>
      <c r="G7" s="53"/>
    </row>
    <row r="8" spans="1:12" ht="15.75" x14ac:dyDescent="0.25">
      <c r="A8" s="23" t="s">
        <v>35</v>
      </c>
      <c r="B8" s="51" t="str" cm="1">
        <f t="array" ref="B8">'Dia 1'!B8:B8</f>
        <v>Fontibón</v>
      </c>
      <c r="C8" s="52"/>
      <c r="D8" s="24" t="s">
        <v>10</v>
      </c>
      <c r="E8" s="53" t="str" cm="1">
        <f t="array" ref="E8">'Dia 1'!E8:E8</f>
        <v xml:space="preserve">Distrito Capital </v>
      </c>
      <c r="F8" s="53"/>
      <c r="G8" s="53"/>
    </row>
    <row r="9" spans="1:12" ht="15.75" x14ac:dyDescent="0.25">
      <c r="A9" s="23" t="s">
        <v>9</v>
      </c>
      <c r="B9" s="51" cm="1">
        <f t="array" ref="B9">'Dia 1'!B9:B9</f>
        <v>2075936.9809999999</v>
      </c>
      <c r="C9" s="52"/>
      <c r="D9" s="24" t="s">
        <v>13</v>
      </c>
      <c r="E9" s="53" cm="1">
        <f t="array" ref="E9">'Dia 1'!E9:E9</f>
        <v>4872999.3279999997</v>
      </c>
      <c r="F9" s="53"/>
      <c r="G9" s="53"/>
    </row>
    <row r="10" spans="1:12" ht="15.75" x14ac:dyDescent="0.25">
      <c r="A10" s="23" t="s">
        <v>37</v>
      </c>
      <c r="B10" s="51" t="str" cm="1">
        <f t="array" ref="B10">'Dia 1'!B10:B10</f>
        <v>Leonardo Pérez</v>
      </c>
      <c r="C10" s="52"/>
      <c r="D10" s="23" t="s">
        <v>39</v>
      </c>
      <c r="E10" s="53" cm="1">
        <f t="array" ref="E10">'Dia 1'!E10:E10</f>
        <v>2550</v>
      </c>
      <c r="F10" s="53"/>
      <c r="G10" s="53"/>
    </row>
    <row r="11" spans="1:12" ht="15.75" x14ac:dyDescent="0.25">
      <c r="A11" s="25" t="s">
        <v>40</v>
      </c>
      <c r="B11" s="69">
        <f>'FOM303-32-Imprimir'!C41</f>
        <v>46084</v>
      </c>
      <c r="C11" s="70"/>
      <c r="D11" s="26" t="s">
        <v>41</v>
      </c>
      <c r="E11" s="71" cm="1">
        <f t="array" ref="E11">'Dia 1'!E11:E11</f>
        <v>0</v>
      </c>
      <c r="F11" s="71"/>
      <c r="G11" s="71"/>
    </row>
    <row r="12" spans="1:12" ht="15.75" x14ac:dyDescent="0.25">
      <c r="A12" s="25" t="s">
        <v>42</v>
      </c>
      <c r="B12" s="69">
        <f>'FOM303-32-Imprimir'!E41</f>
        <v>46084</v>
      </c>
      <c r="C12" s="70"/>
      <c r="D12" s="25" t="s">
        <v>43</v>
      </c>
      <c r="E12" s="71" cm="1">
        <f t="array" ref="E12">'Dia 1'!E12:E12</f>
        <v>0.95833333333333337</v>
      </c>
      <c r="F12" s="71"/>
      <c r="G12" s="71"/>
    </row>
    <row r="15" spans="1:12" x14ac:dyDescent="0.25">
      <c r="B15" s="73" t="s">
        <v>44</v>
      </c>
      <c r="C15" s="73"/>
      <c r="D15" s="73"/>
      <c r="E15" s="27"/>
    </row>
    <row r="16" spans="1:12" ht="12.75" customHeight="1" x14ac:dyDescent="0.25"/>
    <row r="17" spans="2:7" ht="12.95" customHeight="1" x14ac:dyDescent="0.25">
      <c r="B17" s="74" t="s">
        <v>45</v>
      </c>
      <c r="C17" s="74" t="s">
        <v>46</v>
      </c>
      <c r="D17" s="74"/>
      <c r="E17" s="28"/>
      <c r="G17" s="28"/>
    </row>
    <row r="18" spans="2:7" ht="12.95" customHeight="1" x14ac:dyDescent="0.25">
      <c r="B18" s="74"/>
      <c r="C18" s="74"/>
      <c r="D18" s="74"/>
      <c r="E18" s="28"/>
      <c r="G18" s="28"/>
    </row>
    <row r="19" spans="2:7" ht="18.75" customHeight="1" x14ac:dyDescent="0.25">
      <c r="B19" s="74"/>
      <c r="C19" s="74"/>
      <c r="D19" s="74"/>
    </row>
    <row r="20" spans="2:7" x14ac:dyDescent="0.25">
      <c r="B20" s="74"/>
      <c r="C20" s="74"/>
      <c r="D20" s="74"/>
    </row>
    <row r="21" spans="2:7" ht="18.75" x14ac:dyDescent="0.25">
      <c r="B21" s="45">
        <v>0</v>
      </c>
      <c r="C21" s="72">
        <v>24.324999999999999</v>
      </c>
      <c r="D21" s="72">
        <v>24.324999999999999</v>
      </c>
    </row>
    <row r="22" spans="2:7" ht="18.75" x14ac:dyDescent="0.25">
      <c r="B22" s="45">
        <v>1</v>
      </c>
      <c r="C22" s="72">
        <v>24.501999999999999</v>
      </c>
      <c r="D22" s="72">
        <v>24.501999999999999</v>
      </c>
    </row>
    <row r="23" spans="2:7" ht="18.75" x14ac:dyDescent="0.25">
      <c r="B23" s="45">
        <v>2</v>
      </c>
      <c r="C23" s="72">
        <v>20.678000000000001</v>
      </c>
      <c r="D23" s="72">
        <v>20.678000000000001</v>
      </c>
    </row>
    <row r="24" spans="2:7" ht="18.75" x14ac:dyDescent="0.25">
      <c r="B24" s="45">
        <v>3</v>
      </c>
      <c r="C24" s="72">
        <v>20.687000000000001</v>
      </c>
      <c r="D24" s="72">
        <v>20.687000000000001</v>
      </c>
    </row>
    <row r="25" spans="2:7" ht="18.75" x14ac:dyDescent="0.25">
      <c r="B25" s="45">
        <v>4</v>
      </c>
      <c r="C25" s="72">
        <v>20.684999999999999</v>
      </c>
      <c r="D25" s="72">
        <v>20.684999999999999</v>
      </c>
    </row>
    <row r="26" spans="2:7" ht="18.75" x14ac:dyDescent="0.25">
      <c r="B26" s="45">
        <v>5</v>
      </c>
      <c r="C26" s="72">
        <v>20.677</v>
      </c>
      <c r="D26" s="72">
        <v>20.677</v>
      </c>
    </row>
    <row r="27" spans="2:7" ht="18.75" x14ac:dyDescent="0.25">
      <c r="B27" s="45">
        <v>6</v>
      </c>
      <c r="C27" s="72">
        <v>20.669</v>
      </c>
      <c r="D27" s="72">
        <v>20.669</v>
      </c>
    </row>
    <row r="28" spans="2:7" ht="18.75" x14ac:dyDescent="0.25">
      <c r="B28" s="45">
        <v>7</v>
      </c>
      <c r="C28" s="72">
        <v>20.751000000000001</v>
      </c>
      <c r="D28" s="72">
        <v>20.751000000000001</v>
      </c>
    </row>
    <row r="29" spans="2:7" ht="18.75" x14ac:dyDescent="0.25">
      <c r="B29" s="45">
        <v>8</v>
      </c>
      <c r="C29" s="72">
        <v>20.713000000000001</v>
      </c>
      <c r="D29" s="72">
        <v>20.713000000000001</v>
      </c>
    </row>
    <row r="30" spans="2:7" ht="18.75" x14ac:dyDescent="0.25">
      <c r="B30" s="45">
        <v>9</v>
      </c>
      <c r="C30" s="72">
        <v>20.738</v>
      </c>
      <c r="D30" s="72">
        <v>20.738</v>
      </c>
    </row>
    <row r="31" spans="2:7" ht="18.75" x14ac:dyDescent="0.25">
      <c r="B31" s="45">
        <v>10</v>
      </c>
      <c r="C31" s="72">
        <v>21.361999999999998</v>
      </c>
      <c r="D31" s="72">
        <v>21.361999999999998</v>
      </c>
    </row>
    <row r="32" spans="2:7" ht="18.75" x14ac:dyDescent="0.25">
      <c r="B32" s="45">
        <v>11</v>
      </c>
      <c r="C32" s="72">
        <v>20.745000000000001</v>
      </c>
      <c r="D32" s="72">
        <v>20.745000000000001</v>
      </c>
    </row>
    <row r="33" spans="2:4" ht="18.75" x14ac:dyDescent="0.25">
      <c r="B33" s="45">
        <v>12</v>
      </c>
      <c r="C33" s="72">
        <v>23.065999999999999</v>
      </c>
      <c r="D33" s="72">
        <v>23.065999999999999</v>
      </c>
    </row>
    <row r="34" spans="2:4" ht="18.75" x14ac:dyDescent="0.25">
      <c r="B34" s="45">
        <v>13</v>
      </c>
      <c r="C34" s="72">
        <v>21.501000000000001</v>
      </c>
      <c r="D34" s="72">
        <v>21.501000000000001</v>
      </c>
    </row>
    <row r="35" spans="2:4" ht="18.75" x14ac:dyDescent="0.25">
      <c r="B35" s="45">
        <v>14</v>
      </c>
      <c r="C35" s="72">
        <v>21.690999999999999</v>
      </c>
      <c r="D35" s="72">
        <v>21.690999999999999</v>
      </c>
    </row>
    <row r="36" spans="2:4" ht="18.75" x14ac:dyDescent="0.25">
      <c r="B36" s="45">
        <v>15</v>
      </c>
      <c r="C36" s="72">
        <v>20.172999999999998</v>
      </c>
      <c r="D36" s="72">
        <v>20.172999999999998</v>
      </c>
    </row>
    <row r="37" spans="2:4" ht="18.75" x14ac:dyDescent="0.25">
      <c r="B37" s="45">
        <v>16</v>
      </c>
      <c r="C37" s="72">
        <v>19.89</v>
      </c>
      <c r="D37" s="72">
        <v>19.89</v>
      </c>
    </row>
    <row r="38" spans="2:4" ht="18.75" x14ac:dyDescent="0.25">
      <c r="B38" s="45">
        <v>17</v>
      </c>
      <c r="C38" s="72">
        <v>20.952000000000002</v>
      </c>
      <c r="D38" s="72">
        <v>20.952000000000002</v>
      </c>
    </row>
    <row r="39" spans="2:4" ht="18.75" x14ac:dyDescent="0.25">
      <c r="B39" s="45">
        <v>18</v>
      </c>
      <c r="C39" s="72">
        <v>22.14</v>
      </c>
      <c r="D39" s="72">
        <v>22.14</v>
      </c>
    </row>
    <row r="40" spans="2:4" ht="18.75" x14ac:dyDescent="0.25">
      <c r="B40" s="45">
        <v>19</v>
      </c>
      <c r="C40" s="72">
        <v>22.263999999999999</v>
      </c>
      <c r="D40" s="72">
        <v>22.263999999999999</v>
      </c>
    </row>
    <row r="41" spans="2:4" ht="18.75" x14ac:dyDescent="0.25">
      <c r="B41" s="45">
        <v>20</v>
      </c>
      <c r="C41" s="72">
        <v>21.975000000000001</v>
      </c>
      <c r="D41" s="72">
        <v>21.975000000000001</v>
      </c>
    </row>
    <row r="42" spans="2:4" ht="18.75" x14ac:dyDescent="0.25">
      <c r="B42" s="45">
        <v>21</v>
      </c>
      <c r="C42" s="72">
        <v>21.643999999999998</v>
      </c>
      <c r="D42" s="72">
        <v>21.643999999999998</v>
      </c>
    </row>
    <row r="43" spans="2:4" ht="18.75" x14ac:dyDescent="0.25">
      <c r="B43" s="45">
        <v>22</v>
      </c>
      <c r="C43" s="72">
        <v>21.353999999999999</v>
      </c>
      <c r="D43" s="72">
        <v>21.353999999999999</v>
      </c>
    </row>
    <row r="44" spans="2:4" ht="18.75" x14ac:dyDescent="0.25">
      <c r="B44" s="45">
        <v>23</v>
      </c>
      <c r="C44" s="72">
        <v>20.824999999999999</v>
      </c>
      <c r="D44" s="72">
        <v>20.824999999999999</v>
      </c>
    </row>
    <row r="45" spans="2:4" ht="18.75" x14ac:dyDescent="0.25">
      <c r="B45" s="45">
        <v>24</v>
      </c>
      <c r="C45" s="72"/>
      <c r="D45" s="72"/>
    </row>
    <row r="46" spans="2:4" ht="33.75" customHeight="1" x14ac:dyDescent="0.25">
      <c r="B46" s="46" t="s">
        <v>47</v>
      </c>
      <c r="C46" s="75">
        <f>AVERAGE(C22:C45)</f>
        <v>21.290521739130433</v>
      </c>
      <c r="D46" s="75"/>
    </row>
    <row r="47" spans="2:4" ht="31.5" x14ac:dyDescent="0.25">
      <c r="B47" s="48" t="s">
        <v>48</v>
      </c>
      <c r="C47" s="47">
        <f>_xlfn.STDEV.S(C21:C45)</f>
        <v>1.1685134919191564</v>
      </c>
      <c r="D47" s="49" t="s">
        <v>49</v>
      </c>
    </row>
    <row r="48" spans="2:4" ht="15.75" x14ac:dyDescent="0.25">
      <c r="B48" s="46" t="s">
        <v>50</v>
      </c>
      <c r="C48" s="76" t="str">
        <f>IF(ABS(C47)&gt;=2.5,"NO CUMPLE CON DS T°C DEL SHELTER"," CUMPLE CON DS T°C DEL SHELTER")</f>
        <v xml:space="preserve"> CUMPLE CON DS T°C DEL SHELTER</v>
      </c>
      <c r="D48" s="76"/>
    </row>
    <row r="50" spans="1:5" ht="15.75" x14ac:dyDescent="0.25">
      <c r="A50" s="77"/>
      <c r="B50" s="77"/>
      <c r="C50" s="77"/>
      <c r="D50" s="77"/>
      <c r="E50" s="7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0" customWidth="1"/>
    <col min="3" max="3" width="67.5703125" style="30" customWidth="1"/>
    <col min="4" max="16384" width="11.42578125" style="30"/>
  </cols>
  <sheetData>
    <row r="2" spans="1:3" ht="15" x14ac:dyDescent="0.25">
      <c r="A2" s="29" t="s">
        <v>51</v>
      </c>
    </row>
    <row r="4" spans="1:3" ht="15" x14ac:dyDescent="0.25">
      <c r="A4" s="31" t="s">
        <v>52</v>
      </c>
      <c r="B4" s="31" t="s">
        <v>53</v>
      </c>
      <c r="C4" s="31" t="s">
        <v>54</v>
      </c>
    </row>
    <row r="5" spans="1:3" x14ac:dyDescent="0.2">
      <c r="A5" s="32">
        <v>44278</v>
      </c>
      <c r="B5" s="33">
        <v>6</v>
      </c>
      <c r="C5" s="34" t="s">
        <v>55</v>
      </c>
    </row>
    <row r="6" spans="1:3" x14ac:dyDescent="0.2">
      <c r="A6" s="32">
        <v>45439</v>
      </c>
      <c r="B6" s="33">
        <v>7</v>
      </c>
      <c r="C6" s="34" t="s">
        <v>56</v>
      </c>
    </row>
    <row r="7" spans="1:3" x14ac:dyDescent="0.2">
      <c r="A7" s="32"/>
      <c r="B7" s="33"/>
      <c r="C7" s="34"/>
    </row>
    <row r="8" spans="1:3" x14ac:dyDescent="0.2">
      <c r="A8" s="32"/>
      <c r="B8" s="33"/>
      <c r="C8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2026-02-18T16:33:08Z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