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4 Funza\7. Temperaturas Shelter\"/>
    </mc:Choice>
  </mc:AlternateContent>
  <xr:revisionPtr revIDLastSave="0" documentId="13_ncr:1_{2239F737-6345-451E-B415-1146645876B3}" xr6:coauthVersionLast="47" xr6:coauthVersionMax="47" xr10:uidLastSave="{00000000-0000-0000-0000-000000000000}"/>
  <bookViews>
    <workbookView xWindow="-120" yWindow="-120" windowWidth="20730" windowHeight="11040" firstSheet="23" activeTab="31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" l="1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3"/>
  <c r="B11" i="5"/>
  <c r="C46" i="21" l="1"/>
  <c r="C47" i="21"/>
  <c r="C48" i="21" s="1"/>
  <c r="E41" i="1"/>
  <c r="B12" i="34" s="1"/>
  <c r="E12" i="34" a="1"/>
  <c r="E12" i="34" s="1"/>
  <c r="E11" i="34" a="1"/>
  <c r="E11" i="34" s="1"/>
  <c r="E10" i="34" a="1"/>
  <c r="E10" i="34" s="1"/>
  <c r="B10" i="34" a="1"/>
  <c r="B10" i="34" s="1"/>
  <c r="B8" i="34" a="1"/>
  <c r="B8" i="34" s="1"/>
  <c r="B7" i="34" a="1"/>
  <c r="B7" i="34" s="1"/>
  <c r="E12" i="33" a="1"/>
  <c r="E12" i="33" s="1"/>
  <c r="E11" i="33" a="1"/>
  <c r="E11" i="33" s="1"/>
  <c r="E10" i="33" a="1"/>
  <c r="E10" i="33" s="1"/>
  <c r="E12" i="32" a="1"/>
  <c r="E12" i="32" s="1"/>
  <c r="E11" i="32" a="1"/>
  <c r="E11" i="32" s="1"/>
  <c r="E10" i="32" a="1"/>
  <c r="E10" i="32" s="1"/>
  <c r="E12" i="31" a="1"/>
  <c r="E12" i="31" s="1"/>
  <c r="E11" i="31" a="1"/>
  <c r="E11" i="31" s="1"/>
  <c r="E10" i="31" a="1"/>
  <c r="E10" i="31" s="1"/>
  <c r="E8" i="31" a="1"/>
  <c r="E8" i="31" s="1"/>
  <c r="E7" i="31" a="1"/>
  <c r="E7" i="31" s="1"/>
  <c r="E12" i="30" a="1"/>
  <c r="E12" i="30" s="1"/>
  <c r="E11" i="30" a="1"/>
  <c r="E11" i="30" s="1"/>
  <c r="E10" i="30" a="1"/>
  <c r="E10" i="30" s="1"/>
  <c r="E12" i="29" a="1"/>
  <c r="E12" i="29" s="1"/>
  <c r="E11" i="29" a="1"/>
  <c r="E11" i="29" s="1"/>
  <c r="E10" i="29" a="1"/>
  <c r="E10" i="29" s="1"/>
  <c r="E12" i="28" a="1"/>
  <c r="E12" i="28" s="1"/>
  <c r="E11" i="28" a="1"/>
  <c r="E11" i="28" s="1"/>
  <c r="E10" i="28" a="1"/>
  <c r="E10" i="28" s="1"/>
  <c r="E12" i="27" a="1"/>
  <c r="E12" i="27" s="1"/>
  <c r="E11" i="27" a="1"/>
  <c r="E11" i="27" s="1"/>
  <c r="E10" i="27" a="1"/>
  <c r="E10" i="27" s="1"/>
  <c r="E8" i="27" a="1"/>
  <c r="E8" i="27" s="1"/>
  <c r="E12" i="26" a="1"/>
  <c r="E12" i="26" s="1"/>
  <c r="E11" i="26" a="1"/>
  <c r="E11" i="26" s="1"/>
  <c r="E10" i="26" a="1"/>
  <c r="E10" i="26" s="1"/>
  <c r="E7" i="26" a="1"/>
  <c r="E7" i="26" s="1"/>
  <c r="E12" i="25" a="1"/>
  <c r="E12" i="25" s="1"/>
  <c r="E11" i="25" a="1"/>
  <c r="E11" i="25" s="1"/>
  <c r="E10" i="25" a="1"/>
  <c r="E10" i="25" s="1"/>
  <c r="E12" i="24" a="1"/>
  <c r="E12" i="24" s="1"/>
  <c r="E11" i="24" a="1"/>
  <c r="E11" i="24" s="1"/>
  <c r="E10" i="24" a="1"/>
  <c r="E10" i="24" s="1"/>
  <c r="E12" i="23" a="1"/>
  <c r="E12" i="23" s="1"/>
  <c r="E11" i="23" a="1"/>
  <c r="E11" i="23" s="1"/>
  <c r="E10" i="23" a="1"/>
  <c r="E10" i="23" s="1"/>
  <c r="E12" i="22" a="1"/>
  <c r="E12" i="22" s="1"/>
  <c r="E11" i="22" a="1"/>
  <c r="E11" i="22" s="1"/>
  <c r="E10" i="22" a="1"/>
  <c r="E10" i="22" s="1"/>
  <c r="E12" i="21"/>
  <c r="E12" i="21" a="1"/>
  <c r="E11" i="21" a="1"/>
  <c r="E11" i="21" s="1"/>
  <c r="E10" i="21" a="1"/>
  <c r="E10" i="21" s="1"/>
  <c r="E8" i="21" a="1"/>
  <c r="E8" i="21" s="1"/>
  <c r="E12" i="20" a="1"/>
  <c r="E12" i="20" s="1"/>
  <c r="E11" i="20" a="1"/>
  <c r="E11" i="20" s="1"/>
  <c r="E10" i="20" a="1"/>
  <c r="E10" i="20" s="1"/>
  <c r="E7" i="20" a="1"/>
  <c r="E7" i="20" s="1"/>
  <c r="B10" i="33" a="1"/>
  <c r="B10" i="33" s="1"/>
  <c r="B8" i="33" a="1"/>
  <c r="B8" i="33" s="1"/>
  <c r="B7" i="33" a="1"/>
  <c r="B7" i="33" s="1"/>
  <c r="B10" i="32" a="1"/>
  <c r="B10" i="32" s="1"/>
  <c r="B8" i="32" a="1"/>
  <c r="B8" i="32" s="1"/>
  <c r="B7" i="32" a="1"/>
  <c r="B7" i="32" s="1"/>
  <c r="B10" i="31" a="1"/>
  <c r="B10" i="31" s="1"/>
  <c r="B8" i="31" a="1"/>
  <c r="B8" i="31" s="1"/>
  <c r="B7" i="31" a="1"/>
  <c r="B7" i="31" s="1"/>
  <c r="B10" i="30" a="1"/>
  <c r="B10" i="30" s="1"/>
  <c r="B8" i="30" a="1"/>
  <c r="B8" i="30" s="1"/>
  <c r="B7" i="30" a="1"/>
  <c r="B7" i="30" s="1"/>
  <c r="B10" i="29"/>
  <c r="B10" i="29" a="1"/>
  <c r="B8" i="29" a="1"/>
  <c r="B8" i="29" s="1"/>
  <c r="B7" i="29" a="1"/>
  <c r="B7" i="29" s="1"/>
  <c r="B10" i="28" a="1"/>
  <c r="B10" i="28" s="1"/>
  <c r="B9" i="28" a="1"/>
  <c r="B9" i="28" s="1"/>
  <c r="B8" i="28" a="1"/>
  <c r="B8" i="28" s="1"/>
  <c r="B7" i="28" a="1"/>
  <c r="B7" i="28" s="1"/>
  <c r="B10" i="27" a="1"/>
  <c r="B10" i="27" s="1"/>
  <c r="B8" i="27" a="1"/>
  <c r="B8" i="27" s="1"/>
  <c r="B7" i="27" a="1"/>
  <c r="B7" i="27" s="1"/>
  <c r="B10" i="26" a="1"/>
  <c r="B10" i="26" s="1"/>
  <c r="B9" i="26" a="1"/>
  <c r="B9" i="26" s="1"/>
  <c r="B8" i="26" a="1"/>
  <c r="B8" i="26" s="1"/>
  <c r="B7" i="26" a="1"/>
  <c r="B7" i="26" s="1"/>
  <c r="B10" i="25" a="1"/>
  <c r="B10" i="25" s="1"/>
  <c r="B8" i="25" a="1"/>
  <c r="B8" i="25" s="1"/>
  <c r="B7" i="25" a="1"/>
  <c r="B7" i="25" s="1"/>
  <c r="B10" i="24" a="1"/>
  <c r="B10" i="24" s="1"/>
  <c r="B9" i="24" a="1"/>
  <c r="B9" i="24" s="1"/>
  <c r="B8" i="24" a="1"/>
  <c r="B8" i="24" s="1"/>
  <c r="B7" i="24" a="1"/>
  <c r="B7" i="24" s="1"/>
  <c r="B10" i="23" a="1"/>
  <c r="B10" i="23" s="1"/>
  <c r="B8" i="23" a="1"/>
  <c r="B8" i="23" s="1"/>
  <c r="B7" i="23" a="1"/>
  <c r="B7" i="23" s="1"/>
  <c r="B10" i="22" a="1"/>
  <c r="B10" i="22" s="1"/>
  <c r="B9" i="22" a="1"/>
  <c r="B9" i="22" s="1"/>
  <c r="B8" i="22" a="1"/>
  <c r="B8" i="22" s="1"/>
  <c r="B7" i="22" a="1"/>
  <c r="B7" i="22" s="1"/>
  <c r="B10" i="21" a="1"/>
  <c r="B10" i="21" s="1"/>
  <c r="B8" i="21" a="1"/>
  <c r="B8" i="21" s="1"/>
  <c r="B7" i="21" a="1"/>
  <c r="B7" i="21" s="1"/>
  <c r="B10" i="20" a="1"/>
  <c r="B10" i="20" s="1"/>
  <c r="B9" i="20" a="1"/>
  <c r="B9" i="20" s="1"/>
  <c r="B8" i="20" a="1"/>
  <c r="B8" i="20" s="1"/>
  <c r="B7" i="20" a="1"/>
  <c r="B7" i="20" s="1"/>
  <c r="E10" i="19" a="1"/>
  <c r="E10" i="19" s="1"/>
  <c r="E11" i="19" a="1"/>
  <c r="E11" i="19"/>
  <c r="E12" i="19" a="1"/>
  <c r="E12" i="19" s="1"/>
  <c r="E7" i="19" a="1"/>
  <c r="E7" i="19" s="1"/>
  <c r="B8" i="19" a="1"/>
  <c r="B8" i="19" s="1"/>
  <c r="B10" i="19" a="1"/>
  <c r="B10" i="19" s="1"/>
  <c r="B7" i="19" a="1"/>
  <c r="B7" i="19" s="1"/>
  <c r="E8" i="18" a="1"/>
  <c r="E8" i="18"/>
  <c r="E10" i="18" a="1"/>
  <c r="E10" i="18"/>
  <c r="E11" i="18" a="1"/>
  <c r="E11" i="18" s="1"/>
  <c r="E12" i="18" a="1"/>
  <c r="E12" i="18"/>
  <c r="E7" i="18" a="1"/>
  <c r="E7" i="18" s="1"/>
  <c r="B8" i="18" a="1"/>
  <c r="B8" i="18" s="1"/>
  <c r="B10" i="18" a="1"/>
  <c r="B10" i="18" s="1"/>
  <c r="B7" i="18" a="1"/>
  <c r="B7" i="18" s="1"/>
  <c r="E10" i="17" a="1"/>
  <c r="E10" i="17"/>
  <c r="E11" i="17" a="1"/>
  <c r="E11" i="17"/>
  <c r="E12" i="17" a="1"/>
  <c r="E12" i="17" s="1"/>
  <c r="B8" i="17" a="1"/>
  <c r="B8" i="17" s="1"/>
  <c r="B9" i="17" a="1"/>
  <c r="B9" i="17" s="1"/>
  <c r="B10" i="17" a="1"/>
  <c r="B10" i="17" s="1"/>
  <c r="B7" i="17" a="1"/>
  <c r="B7" i="17" s="1"/>
  <c r="E10" i="16" a="1"/>
  <c r="E10" i="16" s="1"/>
  <c r="E11" i="16" a="1"/>
  <c r="E11" i="16"/>
  <c r="E12" i="16" a="1"/>
  <c r="E12" i="16" s="1"/>
  <c r="E7" i="16" a="1"/>
  <c r="E7" i="16" s="1"/>
  <c r="B8" i="16" a="1"/>
  <c r="B8" i="16" s="1"/>
  <c r="B10" i="16" a="1"/>
  <c r="B10" i="16" s="1"/>
  <c r="B7" i="16" a="1"/>
  <c r="B7" i="16" s="1"/>
  <c r="E8" i="15" a="1"/>
  <c r="E8" i="15" s="1"/>
  <c r="E10" i="15" a="1"/>
  <c r="E10" i="15" s="1"/>
  <c r="E11" i="15" a="1"/>
  <c r="E11" i="15" s="1"/>
  <c r="E12" i="15" a="1"/>
  <c r="E12" i="15" s="1"/>
  <c r="B8" i="15" a="1"/>
  <c r="B8" i="15" s="1"/>
  <c r="B9" i="15" a="1"/>
  <c r="B9" i="15" s="1"/>
  <c r="B10" i="15" a="1"/>
  <c r="B10" i="15" s="1"/>
  <c r="B7" i="15" a="1"/>
  <c r="B7" i="15" s="1"/>
  <c r="E10" i="14" a="1"/>
  <c r="E10" i="14" s="1"/>
  <c r="E11" i="14" a="1"/>
  <c r="E11" i="14" s="1"/>
  <c r="E12" i="14" a="1"/>
  <c r="E12" i="14" s="1"/>
  <c r="E7" i="14" a="1"/>
  <c r="E7" i="14" s="1"/>
  <c r="B8" i="14" a="1"/>
  <c r="B8" i="14" s="1"/>
  <c r="B10" i="14" a="1"/>
  <c r="B10" i="14" s="1"/>
  <c r="B7" i="14" a="1"/>
  <c r="B7" i="14" s="1"/>
  <c r="E8" i="13" a="1"/>
  <c r="E8" i="13" s="1"/>
  <c r="E9" i="13" a="1"/>
  <c r="E9" i="13" s="1"/>
  <c r="E10" i="13" a="1"/>
  <c r="E10" i="13"/>
  <c r="E11" i="13" a="1"/>
  <c r="E11" i="13" s="1"/>
  <c r="E12" i="13" a="1"/>
  <c r="E12" i="13" s="1"/>
  <c r="E7" i="13" a="1"/>
  <c r="E7" i="13" s="1"/>
  <c r="B8" i="13" a="1"/>
  <c r="B8" i="13" s="1"/>
  <c r="B9" i="13" a="1"/>
  <c r="B9" i="13" s="1"/>
  <c r="B10" i="13" a="1"/>
  <c r="B10" i="13"/>
  <c r="B7" i="13" a="1"/>
  <c r="B7" i="13" s="1"/>
  <c r="E10" i="12" a="1"/>
  <c r="E10" i="12" s="1"/>
  <c r="E11" i="12" a="1"/>
  <c r="E11" i="12" s="1"/>
  <c r="E12" i="12" a="1"/>
  <c r="E12" i="12" s="1"/>
  <c r="B8" i="12" a="1"/>
  <c r="B8" i="12" s="1"/>
  <c r="B10" i="12" a="1"/>
  <c r="B10" i="12"/>
  <c r="B7" i="12" a="1"/>
  <c r="B7" i="12" s="1"/>
  <c r="E8" i="11" a="1"/>
  <c r="E8" i="11" s="1"/>
  <c r="E10" i="11" a="1"/>
  <c r="E10" i="11" s="1"/>
  <c r="E11" i="11" a="1"/>
  <c r="E11" i="11" s="1"/>
  <c r="E12" i="11" a="1"/>
  <c r="E12" i="11" s="1"/>
  <c r="B8" i="11" a="1"/>
  <c r="B8" i="11"/>
  <c r="B9" i="11" a="1"/>
  <c r="B9" i="11" s="1"/>
  <c r="B10" i="11" a="1"/>
  <c r="B10" i="11" s="1"/>
  <c r="B7" i="11" a="1"/>
  <c r="B7" i="11" s="1"/>
  <c r="E10" i="10" a="1"/>
  <c r="E10" i="10" s="1"/>
  <c r="E11" i="10" a="1"/>
  <c r="E11" i="10" s="1"/>
  <c r="E12" i="10" a="1"/>
  <c r="E12" i="10" s="1"/>
  <c r="E7" i="10" a="1"/>
  <c r="E7" i="10" s="1"/>
  <c r="B8" i="10" a="1"/>
  <c r="B8" i="10" s="1"/>
  <c r="B9" i="10" a="1"/>
  <c r="B9" i="10" s="1"/>
  <c r="B10" i="10" a="1"/>
  <c r="B10" i="10"/>
  <c r="B7" i="10" a="1"/>
  <c r="B7" i="10" s="1"/>
  <c r="E8" i="9" a="1"/>
  <c r="E8" i="9" s="1"/>
  <c r="E10" i="9" a="1"/>
  <c r="E10" i="9" s="1"/>
  <c r="E11" i="9" a="1"/>
  <c r="E11" i="9" s="1"/>
  <c r="B8" i="9" a="1"/>
  <c r="B8" i="9" s="1"/>
  <c r="B9" i="9" a="1"/>
  <c r="B9" i="9" s="1"/>
  <c r="B10" i="9" a="1"/>
  <c r="B10" i="9" s="1"/>
  <c r="B7" i="9" a="1"/>
  <c r="B7" i="9" s="1"/>
  <c r="E10" i="8" a="1"/>
  <c r="E10" i="8" s="1"/>
  <c r="E11" i="8" a="1"/>
  <c r="E11" i="8"/>
  <c r="E12" i="8" a="1"/>
  <c r="E12" i="8" s="1"/>
  <c r="B8" i="8" a="1"/>
  <c r="B8" i="8" s="1"/>
  <c r="B10" i="8" a="1"/>
  <c r="B10" i="8" s="1"/>
  <c r="B7" i="8" a="1"/>
  <c r="B7" i="8" s="1"/>
  <c r="E8" i="3" a="1"/>
  <c r="E8" i="3" s="1"/>
  <c r="E10" i="3" a="1"/>
  <c r="E10" i="3" s="1"/>
  <c r="E11" i="3" a="1"/>
  <c r="E11" i="3" s="1"/>
  <c r="E12" i="3" a="1"/>
  <c r="E12" i="3" s="1"/>
  <c r="E7" i="3" a="1"/>
  <c r="E7" i="3" s="1"/>
  <c r="B8" i="3" a="1"/>
  <c r="B8" i="3"/>
  <c r="B10" i="3" a="1"/>
  <c r="B10" i="3" s="1"/>
  <c r="B7" i="3" a="1"/>
  <c r="B7" i="3" s="1"/>
  <c r="E10" i="7" a="1"/>
  <c r="E10" i="7" s="1"/>
  <c r="E11" i="7" a="1"/>
  <c r="E11" i="7" s="1"/>
  <c r="E12" i="7" a="1"/>
  <c r="E12" i="7" s="1"/>
  <c r="B8" i="7" a="1"/>
  <c r="B8" i="7" s="1"/>
  <c r="B9" i="7" a="1"/>
  <c r="B9" i="7" s="1"/>
  <c r="B10" i="7" a="1"/>
  <c r="B10" i="7" s="1"/>
  <c r="B7" i="7" a="1"/>
  <c r="B7" i="7" s="1"/>
  <c r="E10" i="6" a="1"/>
  <c r="E10" i="6" s="1"/>
  <c r="E11" i="6" a="1"/>
  <c r="E11" i="6"/>
  <c r="E12" i="6" a="1"/>
  <c r="E12" i="6"/>
  <c r="B10" i="6" a="1"/>
  <c r="B10" i="6" s="1"/>
  <c r="B9" i="6" a="1"/>
  <c r="B9" i="6" s="1"/>
  <c r="B8" i="6" a="1"/>
  <c r="B8" i="6" s="1"/>
  <c r="B7" i="6" a="1"/>
  <c r="B7" i="6" s="1"/>
  <c r="E9" i="5" a="1"/>
  <c r="E9" i="5" s="1"/>
  <c r="E9" i="28" s="1" a="1"/>
  <c r="E9" i="28" s="1"/>
  <c r="E8" i="5" a="1"/>
  <c r="E8" i="5" s="1"/>
  <c r="E8" i="34" s="1" a="1"/>
  <c r="E8" i="34" s="1"/>
  <c r="E7" i="5" a="1"/>
  <c r="E7" i="5" s="1"/>
  <c r="E7" i="27" s="1" a="1"/>
  <c r="E7" i="27" s="1"/>
  <c r="B9" i="5" a="1"/>
  <c r="B9" i="5" s="1"/>
  <c r="B9" i="33" s="1" a="1"/>
  <c r="B9" i="33" s="1"/>
  <c r="C47" i="34"/>
  <c r="C48" i="34" s="1"/>
  <c r="C46" i="34"/>
  <c r="E40" i="1"/>
  <c r="B12" i="33" s="1"/>
  <c r="E12" i="1"/>
  <c r="B12" i="3" s="1"/>
  <c r="E13" i="1"/>
  <c r="B12" i="6" s="1"/>
  <c r="E14" i="1"/>
  <c r="B12" i="7" s="1"/>
  <c r="E15" i="1"/>
  <c r="B12" i="8" s="1"/>
  <c r="E16" i="1"/>
  <c r="B12" i="9" s="1"/>
  <c r="E17" i="1"/>
  <c r="B12" i="10" s="1"/>
  <c r="E18" i="1"/>
  <c r="B12" i="11" s="1"/>
  <c r="E19" i="1"/>
  <c r="B12" i="12" s="1"/>
  <c r="E20" i="1"/>
  <c r="B12" i="13" s="1"/>
  <c r="E21" i="1"/>
  <c r="B12" i="14" s="1"/>
  <c r="E22" i="1"/>
  <c r="B12" i="15" s="1"/>
  <c r="E23" i="1"/>
  <c r="B12" i="16" s="1"/>
  <c r="E24" i="1"/>
  <c r="B12" i="17" s="1"/>
  <c r="E25" i="1"/>
  <c r="B12" i="18" s="1"/>
  <c r="E26" i="1"/>
  <c r="B12" i="19" s="1"/>
  <c r="E27" i="1"/>
  <c r="B12" i="20" s="1"/>
  <c r="E28" i="1"/>
  <c r="B12" i="21" s="1"/>
  <c r="E29" i="1"/>
  <c r="B12" i="22" s="1"/>
  <c r="E30" i="1"/>
  <c r="B12" i="23" s="1"/>
  <c r="E31" i="1"/>
  <c r="B12" i="24" s="1"/>
  <c r="E32" i="1"/>
  <c r="B12" i="25" s="1"/>
  <c r="E33" i="1"/>
  <c r="B12" i="26" s="1"/>
  <c r="E34" i="1"/>
  <c r="B12" i="27" s="1"/>
  <c r="E35" i="1"/>
  <c r="B12" i="28" s="1"/>
  <c r="E36" i="1"/>
  <c r="B12" i="29" s="1"/>
  <c r="E37" i="1"/>
  <c r="B12" i="30" s="1"/>
  <c r="E38" i="1"/>
  <c r="B12" i="31" s="1"/>
  <c r="E39" i="1"/>
  <c r="B12" i="32" s="1"/>
  <c r="E11" i="1"/>
  <c r="B12" i="5" s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7"/>
  <c r="C48" i="27" s="1"/>
  <c r="C46" i="27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4"/>
  <c r="C48" i="14" s="1"/>
  <c r="C46" i="14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9"/>
  <c r="C48" i="9" s="1"/>
  <c r="C46" i="9"/>
  <c r="C47" i="8"/>
  <c r="C48" i="8" s="1"/>
  <c r="C46" i="8"/>
  <c r="C47" i="7"/>
  <c r="C48" i="7" s="1"/>
  <c r="C47" i="6"/>
  <c r="C48" i="6" s="1"/>
  <c r="C46" i="6"/>
  <c r="C47" i="5"/>
  <c r="C48" i="5" s="1"/>
  <c r="C46" i="5"/>
  <c r="C46" i="3"/>
  <c r="C47" i="3"/>
  <c r="C48" i="3" s="1"/>
  <c r="G22" i="1"/>
  <c r="G33" i="1"/>
  <c r="G18" i="1"/>
  <c r="G13" i="1"/>
  <c r="G35" i="1"/>
  <c r="G37" i="1"/>
  <c r="G39" i="1"/>
  <c r="G25" i="1"/>
  <c r="G11" i="1"/>
  <c r="G12" i="1"/>
  <c r="G31" i="1"/>
  <c r="G27" i="1"/>
  <c r="G26" i="1"/>
  <c r="G14" i="1"/>
  <c r="G40" i="1"/>
  <c r="G20" i="1"/>
  <c r="G16" i="1"/>
  <c r="G32" i="1"/>
  <c r="G17" i="1"/>
  <c r="G29" i="1"/>
  <c r="G15" i="1"/>
  <c r="G30" i="1"/>
  <c r="G24" i="1"/>
  <c r="G28" i="1"/>
  <c r="G23" i="1"/>
  <c r="G21" i="1"/>
  <c r="G19" i="1"/>
  <c r="G38" i="1"/>
  <c r="G36" i="1"/>
  <c r="G34" i="1"/>
  <c r="G41" i="1"/>
  <c r="E8" i="20" l="1" a="1"/>
  <c r="E8" i="20" s="1"/>
  <c r="E8" i="26" a="1"/>
  <c r="E8" i="26" s="1"/>
  <c r="E7" i="30" a="1"/>
  <c r="E7" i="30" s="1"/>
  <c r="E9" i="31" a="1"/>
  <c r="E9" i="31" s="1"/>
  <c r="E9" i="18" a="1"/>
  <c r="E9" i="18" s="1"/>
  <c r="E9" i="21" a="1"/>
  <c r="E9" i="21" s="1"/>
  <c r="E7" i="7" a="1"/>
  <c r="E7" i="7" s="1"/>
  <c r="E8" i="7" a="1"/>
  <c r="E8" i="7" s="1"/>
  <c r="E7" i="11" a="1"/>
  <c r="E7" i="11" s="1"/>
  <c r="E9" i="12" a="1"/>
  <c r="E9" i="12" s="1"/>
  <c r="E7" i="15" a="1"/>
  <c r="E7" i="15" s="1"/>
  <c r="E8" i="17" a="1"/>
  <c r="E8" i="17" s="1"/>
  <c r="B9" i="30" a="1"/>
  <c r="B9" i="30" s="1"/>
  <c r="B9" i="32" a="1"/>
  <c r="B9" i="32" s="1"/>
  <c r="E9" i="20" a="1"/>
  <c r="E9" i="20" s="1"/>
  <c r="E7" i="25" a="1"/>
  <c r="E7" i="25" s="1"/>
  <c r="E9" i="26" a="1"/>
  <c r="E9" i="26" s="1"/>
  <c r="E8" i="30" a="1"/>
  <c r="E8" i="30" s="1"/>
  <c r="E9" i="22" a="1"/>
  <c r="E9" i="22" s="1"/>
  <c r="E9" i="27" a="1"/>
  <c r="E9" i="27" s="1"/>
  <c r="E9" i="7" a="1"/>
  <c r="E9" i="7" s="1"/>
  <c r="E9" i="17" a="1"/>
  <c r="E9" i="17" s="1"/>
  <c r="E9" i="6" a="1"/>
  <c r="E9" i="6" s="1"/>
  <c r="B9" i="8" a="1"/>
  <c r="B9" i="8" s="1"/>
  <c r="E7" i="9" a="1"/>
  <c r="E7" i="9" s="1"/>
  <c r="E9" i="10" a="1"/>
  <c r="E9" i="10" s="1"/>
  <c r="E8" i="12" a="1"/>
  <c r="E8" i="12" s="1"/>
  <c r="B9" i="14" a="1"/>
  <c r="B9" i="14" s="1"/>
  <c r="E9" i="14" a="1"/>
  <c r="E9" i="14" s="1"/>
  <c r="E7" i="17" a="1"/>
  <c r="E7" i="17" s="1"/>
  <c r="E7" i="24" a="1"/>
  <c r="E7" i="24" s="1"/>
  <c r="E8" i="25" a="1"/>
  <c r="E8" i="25" s="1"/>
  <c r="E7" i="29" a="1"/>
  <c r="E7" i="29" s="1"/>
  <c r="E9" i="30" a="1"/>
  <c r="E9" i="30" s="1"/>
  <c r="E7" i="33" a="1"/>
  <c r="E7" i="33" s="1"/>
  <c r="B9" i="34" a="1"/>
  <c r="B9" i="34" s="1"/>
  <c r="E9" i="3" a="1"/>
  <c r="E9" i="3" s="1"/>
  <c r="E9" i="34" a="1"/>
  <c r="E9" i="34" s="1"/>
  <c r="E7" i="6" a="1"/>
  <c r="E7" i="6" s="1"/>
  <c r="E8" i="10" a="1"/>
  <c r="E8" i="10" s="1"/>
  <c r="B9" i="12" a="1"/>
  <c r="B9" i="12" s="1"/>
  <c r="E8" i="14" a="1"/>
  <c r="E8" i="14" s="1"/>
  <c r="E9" i="16" a="1"/>
  <c r="E9" i="16" s="1"/>
  <c r="E9" i="19" a="1"/>
  <c r="E9" i="19" s="1"/>
  <c r="B9" i="21" a="1"/>
  <c r="B9" i="21" s="1"/>
  <c r="B9" i="23" a="1"/>
  <c r="B9" i="23" s="1"/>
  <c r="B9" i="25" a="1"/>
  <c r="B9" i="25" s="1"/>
  <c r="E7" i="23" a="1"/>
  <c r="E7" i="23" s="1"/>
  <c r="E8" i="24" a="1"/>
  <c r="E8" i="24" s="1"/>
  <c r="E9" i="25" a="1"/>
  <c r="E9" i="25" s="1"/>
  <c r="E7" i="28" a="1"/>
  <c r="E7" i="28" s="1"/>
  <c r="E8" i="29" a="1"/>
  <c r="E8" i="29" s="1"/>
  <c r="E8" i="33" a="1"/>
  <c r="E8" i="33" s="1"/>
  <c r="E9" i="9" a="1"/>
  <c r="E9" i="9" s="1"/>
  <c r="E9" i="15" a="1"/>
  <c r="E9" i="15" s="1"/>
  <c r="E8" i="6" a="1"/>
  <c r="E8" i="6" s="1"/>
  <c r="E7" i="8" a="1"/>
  <c r="E7" i="8" s="1"/>
  <c r="E9" i="8" a="1"/>
  <c r="E9" i="8" s="1"/>
  <c r="B9" i="16" a="1"/>
  <c r="B9" i="16" s="1"/>
  <c r="B9" i="19" a="1"/>
  <c r="B9" i="19" s="1"/>
  <c r="E8" i="19" a="1"/>
  <c r="E8" i="19" s="1"/>
  <c r="B9" i="27" a="1"/>
  <c r="B9" i="27" s="1"/>
  <c r="B9" i="29" a="1"/>
  <c r="B9" i="29" s="1"/>
  <c r="E7" i="22" a="1"/>
  <c r="E7" i="22" s="1"/>
  <c r="E8" i="23" a="1"/>
  <c r="E8" i="23" s="1"/>
  <c r="E9" i="24" a="1"/>
  <c r="E9" i="24" s="1"/>
  <c r="E8" i="28" a="1"/>
  <c r="E8" i="28" s="1"/>
  <c r="E9" i="29" a="1"/>
  <c r="E9" i="29" s="1"/>
  <c r="E7" i="32" a="1"/>
  <c r="E7" i="32" s="1"/>
  <c r="E9" i="33" a="1"/>
  <c r="E9" i="33" s="1"/>
  <c r="E7" i="34" a="1"/>
  <c r="E7" i="34" s="1"/>
  <c r="E9" i="11" a="1"/>
  <c r="E9" i="11" s="1"/>
  <c r="E9" i="32" a="1"/>
  <c r="E9" i="32" s="1"/>
  <c r="B9" i="3" a="1"/>
  <c r="B9" i="3" s="1"/>
  <c r="E8" i="8" a="1"/>
  <c r="E8" i="8" s="1"/>
  <c r="E7" i="12" a="1"/>
  <c r="E7" i="12" s="1"/>
  <c r="E8" i="16" a="1"/>
  <c r="E8" i="16" s="1"/>
  <c r="B9" i="18" a="1"/>
  <c r="B9" i="18" s="1"/>
  <c r="B9" i="31" a="1"/>
  <c r="B9" i="31" s="1"/>
  <c r="E7" i="21" a="1"/>
  <c r="E7" i="21" s="1"/>
  <c r="E8" i="22" a="1"/>
  <c r="E8" i="22" s="1"/>
  <c r="E9" i="23" a="1"/>
  <c r="E9" i="23" s="1"/>
  <c r="E8" i="32" a="1"/>
  <c r="E8" i="32" s="1"/>
  <c r="H32" i="1" a="1"/>
  <c r="H27" i="1" a="1"/>
  <c r="H37" i="1" a="1"/>
  <c r="H35" i="1" a="1"/>
  <c r="H38" i="1" a="1"/>
  <c r="H25" i="1" a="1"/>
  <c r="H11" i="1" a="1"/>
  <c r="H28" i="1" a="1"/>
  <c r="H23" i="1" a="1"/>
  <c r="H26" i="1" a="1"/>
  <c r="H22" i="1" a="1"/>
  <c r="H19" i="1" a="1"/>
  <c r="H33" i="1" a="1"/>
  <c r="H12" i="1" a="1"/>
  <c r="H36" i="1" a="1"/>
  <c r="H31" i="1" a="1"/>
  <c r="H30" i="1" a="1"/>
  <c r="H15" i="1" a="1"/>
  <c r="H21" i="1" a="1"/>
  <c r="H39" i="1" a="1"/>
  <c r="H24" i="1" a="1"/>
  <c r="H20" i="1" a="1"/>
  <c r="H16" i="1" a="1"/>
  <c r="H41" i="1" a="1"/>
  <c r="H18" i="1" a="1"/>
  <c r="H14" i="1" a="1"/>
  <c r="H17" i="1" a="1"/>
  <c r="H29" i="1" a="1"/>
  <c r="H40" i="1" a="1"/>
  <c r="H34" i="1" a="1"/>
  <c r="H13" i="1" a="1"/>
  <c r="H41" i="1" l="1"/>
  <c r="H40" i="1"/>
  <c r="H39" i="1"/>
  <c r="H28" i="1"/>
  <c r="H32" i="1"/>
  <c r="H27" i="1"/>
  <c r="H25" i="1"/>
  <c r="H36" i="1"/>
  <c r="H26" i="1"/>
  <c r="H23" i="1"/>
  <c r="H31" i="1"/>
  <c r="H35" i="1"/>
  <c r="H30" i="1"/>
  <c r="H22" i="1"/>
  <c r="H24" i="1"/>
  <c r="H21" i="1"/>
  <c r="H33" i="1"/>
  <c r="H37" i="1"/>
  <c r="H34" i="1"/>
  <c r="H29" i="1"/>
  <c r="H38" i="1"/>
  <c r="H20" i="1"/>
  <c r="H19" i="1"/>
  <c r="H18" i="1"/>
  <c r="H15" i="1"/>
  <c r="H13" i="1"/>
  <c r="H17" i="1"/>
  <c r="H12" i="1"/>
  <c r="H14" i="1"/>
  <c r="H11" i="1"/>
  <c r="H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C405040-CC54-499B-B97A-994F3FEC0DD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C10" authorId="0" shapeId="0" xr:uid="{FBE0389A-C208-46ED-9986-DF27E4462A1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C11" authorId="0" shapeId="0" xr:uid="{00185C22-1622-453E-8938-AA6B44E63AA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2227087-2AAD-46B9-BE0F-B2DE0BBAE0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B677C97-601F-4CCC-BB84-DC156604416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B12" authorId="0" shapeId="0" xr:uid="{6F513217-7B15-4737-89EB-0417715A7B4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29303A3-2978-4D77-8873-5A0DDA6642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96151AB-B0CA-467E-A953-7B9E6CE301F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B2C22D-61BF-4387-AB00-112802EC09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94ABCC3-FCEC-4867-9861-EF08ACA2CDA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44164-F867-4878-B6DA-9E11C123E51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B4F4CAB-74DF-4369-9AF4-68A8A4A363A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BB2267F-4823-4C82-B91E-C427A814540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16B9FD1-A6FC-421B-875C-057499B1AA8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D4E7ECD-1862-429A-8004-196FAB9BBF0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D080292-643B-4725-966A-60173C1D583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D76DB8B-1958-48B2-8670-627F1432F8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7D00C-88EA-4D76-B75F-425E2678872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26F749D-425A-4A02-B840-B614C70A787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45BB10C-3DF5-4A11-A992-131659D027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A2E69A7-05C5-4A00-B04C-03B220EB09B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A27259F-DCA7-4ADE-B616-B099ACB3F0F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A315767-7F7A-4FE7-B1E9-574DA23979B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CA3CEB6-B8B9-458C-9771-96A37C646CC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03A0060-490C-45DC-9689-A9BBF00EE34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2338557-D53F-43F9-8CF4-830743FE4AA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A443D6C-6B4B-4A0E-BE05-CD221C83E64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91D3D13-2A79-4605-99AD-85A8FD6D22D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2003580-0B01-4D1D-A214-77983E7764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2D099671-8EEB-494A-B9D0-C35385D53F7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F4B2ECB-0202-4218-8B69-EBDE929B843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2529C07-2144-491F-BC46-B43056F2F79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6B0FC40-5F7C-4287-ADB4-45DACF1E594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39C7255-D6EC-4ABC-B7CD-B3A81C5862F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667554D-DE90-4FAC-9BBC-49436D83671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2F8429D-30E1-46B8-A608-DF1B1DEE7AB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6D0A630-6A32-4894-86C3-D1E2A08F2240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281EC74-C88E-43B3-A7DC-48ABC4AB99D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035B121-86CC-4560-B8FA-562912D208A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27F5CF41-5E15-4DF2-B935-73362070B68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DD47682-BCCF-4BDB-950D-7616CB8CA82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803B3CD-0728-428B-95A8-7753E4C7369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50910D1-2B59-4F10-878E-3160455870D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D44C84A-5535-407C-BE63-71E9334CABD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3D913AE-271A-4597-8C12-8AB3B58F222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FFB689D-EA2E-491F-9CD8-F589E35446A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8B18E86-43F9-40B9-8F84-47C3A003DF3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CBE7291-C12B-4514-AC44-6739E3BE315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9DAB15E-071C-4DB4-AFA8-96027E506B1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F6B03CB-EE3F-40B2-B9A6-3C22811761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69B1914-6585-4116-AECC-ADCBD881CB8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539EDC3-367B-407B-95CA-C6C491EE4FF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8A45A78-5AD0-4AEF-830A-ABE67D02AB1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625B55C-981D-4F89-878B-495F7B36423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C35EC96-A594-41E0-B8E8-C627001B86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A000798-E5DE-4A62-A5A0-FF888BDCF9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5F17604-B1C9-4741-A701-2671E874D07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4B2F789-6A2F-4F44-8B10-305F2E0F5F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<sst xmlns="http://schemas.openxmlformats.org/spreadsheetml/2006/main" count="757" uniqueCount="57">
  <si>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</si>
  <si>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</si>
  <si>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</si>
  <si>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</si>
  <si>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 xml:space="preserve">Aerocivil </t>
  </si>
  <si>
    <t>MUNICIPIO:</t>
  </si>
  <si>
    <t>Bogotá DC</t>
  </si>
  <si>
    <t>EQUIPO UTILIZADO:</t>
  </si>
  <si>
    <t>Cabina Analisadores</t>
  </si>
  <si>
    <t>COORDENADA NORTE:</t>
  </si>
  <si>
    <t>DEPARTAMENTO:</t>
  </si>
  <si>
    <t xml:space="preserve">Distrito Capital </t>
  </si>
  <si>
    <t>S/N:</t>
  </si>
  <si>
    <t>TAEEET-3595-22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</si>
  <si>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</si>
  <si>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</si>
  <si>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</si>
  <si>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</si>
  <si>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</si>
  <si>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</si>
  <si>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</si>
  <si>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</si>
  <si>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</si>
  <si>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CA4 Funza</t>
  </si>
  <si>
    <t>Elaboró:</t>
  </si>
  <si>
    <t>Alexander Diaz Herrera</t>
  </si>
  <si>
    <t xml:space="preserve">Revisó </t>
  </si>
  <si>
    <t>Verificó:</t>
  </si>
  <si>
    <t>Leonardo Perez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</si>
  <si>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</si>
  <si>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</si>
  <si>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</si>
  <si>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</si>
  <si>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</si>
  <si>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</si>
  <si>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AEROCIVIL</t>
  </si>
  <si>
    <t>ESTACION DE MUESTREO: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</si>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</sst>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9" xfId="0" applyFill="1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20" fontId="0" fillId="0" borderId="3" xfId="0" applyNumberFormat="1" applyBorder="1" applyAlignment="1">
      <alignment horizontal="center" vertic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23" xfId="0" applyFont="1" applyFill="1" applyBorder="1"/>
    <xf numFmtId="0" fontId="9" fillId="0" borderId="11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9" fillId="0" borderId="0" xfId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9" xfId="0" applyFill="1" applyBorder="1"/>
    <xf numFmtId="0" fontId="9" fillId="7" borderId="0" xfId="1" applyFont="1" applyFill="1" applyAlignment="1">
      <alignment vertical="center"/>
    </xf>
    <xf numFmtId="0" fontId="9" fillId="0" borderId="31" xfId="0" applyFont="1" applyBorder="1" applyAlignment="1" applyProtection="1">
      <alignment horizontal="center" vertical="center"/>
      <protection locked="0"/>
    </xf>
    <xf numFmtId="164" fontId="0" fillId="0" borderId="3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5" fillId="5" borderId="41" xfId="1" applyFont="1" applyFill="1" applyBorder="1" applyAlignment="1">
      <alignment horizontal="center" vertical="center"/>
    </xf>
    <xf numFmtId="0" fontId="13" fillId="6" borderId="41" xfId="1" applyFont="1" applyFill="1" applyBorder="1" applyAlignment="1">
      <alignment horizontal="center" vertical="center"/>
    </xf>
    <xf numFmtId="164" fontId="13" fillId="0" borderId="41" xfId="1" applyNumberFormat="1" applyFont="1" applyBorder="1" applyAlignment="1">
      <alignment horizontal="center" vertical="center"/>
    </xf>
    <xf numFmtId="0" fontId="13" fillId="6" borderId="41" xfId="1" applyFont="1" applyFill="1" applyBorder="1" applyAlignment="1">
      <alignment horizontal="center" vertical="center" wrapText="1"/>
    </xf>
    <xf numFmtId="1" fontId="14" fillId="6" borderId="41" xfId="1" applyNumberFormat="1" applyFont="1" applyFill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22" xfId="0" applyBorder="1"/>
    <xf numFmtId="0" fontId="0" fillId="0" borderId="18" xfId="0" applyBorder="1"/>
    <xf numFmtId="0" fontId="23" fillId="0" borderId="46" xfId="0" applyFont="1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20" fontId="0" fillId="0" borderId="45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0" fontId="0" fillId="0" borderId="13" xfId="0" applyBorder="1"/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0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14" fontId="14" fillId="3" borderId="5" xfId="1" applyNumberFormat="1" applyFont="1" applyFill="1" applyBorder="1" applyAlignment="1" applyProtection="1">
      <alignment horizontal="center" vertical="center"/>
      <protection locked="0"/>
    </xf>
    <xf numFmtId="14" fontId="14" fillId="3" borderId="40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164" fontId="14" fillId="3" borderId="41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1" xfId="1" applyFont="1" applyFill="1" applyBorder="1" applyAlignment="1">
      <alignment horizontal="center" vertical="center" wrapText="1"/>
    </xf>
    <xf numFmtId="164" fontId="13" fillId="0" borderId="41" xfId="1" applyNumberFormat="1" applyFont="1" applyBorder="1" applyAlignment="1">
      <alignment horizontal="center" vertical="center"/>
    </xf>
    <xf numFmtId="0" fontId="16" fillId="0" borderId="41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42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42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0" xfId="1" applyNumberFormat="1" applyFont="1" applyFill="1" applyBorder="1" applyAlignment="1" applyProtection="1">
      <alignment horizontal="center" vertical="center"/>
      <protection locked="0"/>
    </xf>
    <xf numFmtId="164" fontId="14" fillId="3" borderId="43" xfId="1" applyNumberFormat="1" applyFont="1" applyFill="1" applyBorder="1" applyAlignment="1" applyProtection="1">
      <alignment horizontal="center" vertical="center"/>
      <protection locked="0"/>
    </xf>
    <xf numFmtId="164" fontId="14" fillId="3" borderId="44" xfId="1" applyNumberFormat="1" applyFont="1" applyFill="1" applyBorder="1" applyAlignment="1" applyProtection="1">
      <alignment horizontal="center" vertical="center"/>
      <protection locked="0"/>
    </xf>
    <xf numFmtId="164" fontId="13" fillId="0" borderId="43" xfId="1" applyNumberFormat="1" applyFont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9CB2230-D100-4FED-A62D-4EC26870F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showGridLines="0" view="pageBreakPreview" topLeftCell="A26" zoomScaleNormal="100" zoomScaleSheetLayoutView="100" workbookViewId="0">
      <selection activeCell="C39" sqref="C39:C41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123"/>
      <c r="B1" s="124"/>
      <c r="C1" s="142" t="s">
        <v>0</v>
      </c>
      <c r="D1" s="143"/>
      <c r="E1" s="143"/>
      <c r="F1" s="143"/>
      <c r="G1" s="143"/>
      <c r="H1" s="144"/>
      <c r="I1" s="120" t="s">
        <v>1</v>
      </c>
      <c r="K1" s="1"/>
      <c r="L1" s="1"/>
    </row>
    <row r="2" spans="1:12" ht="22.5" customHeight="1" x14ac:dyDescent="0.25">
      <c r="A2" s="125"/>
      <c r="B2" s="126"/>
      <c r="C2" s="145"/>
      <c r="D2" s="146"/>
      <c r="E2" s="146"/>
      <c r="F2" s="146"/>
      <c r="G2" s="146"/>
      <c r="H2" s="147"/>
      <c r="I2" s="121"/>
      <c r="K2" s="1"/>
      <c r="L2" s="1"/>
    </row>
    <row r="3" spans="1:12" ht="22.5" customHeight="1" thickBot="1" x14ac:dyDescent="0.3">
      <c r="A3" s="127"/>
      <c r="B3" s="128"/>
      <c r="C3" s="148" t="s">
        <v>2</v>
      </c>
      <c r="D3" s="149"/>
      <c r="E3" s="149"/>
      <c r="F3" s="149"/>
      <c r="G3" s="149"/>
      <c r="H3" s="150"/>
      <c r="I3" s="122"/>
      <c r="K3" s="2"/>
      <c r="L3" s="2"/>
    </row>
    <row r="4" spans="1:12" ht="6.75" customHeight="1" thickBot="1" x14ac:dyDescent="0.3">
      <c r="A4" s="33"/>
      <c r="B4" s="34"/>
      <c r="C4" s="34"/>
      <c r="D4" s="34"/>
      <c r="E4" s="34"/>
      <c r="F4" s="34"/>
      <c r="G4" s="34"/>
      <c r="H4" s="34"/>
      <c r="I4" s="35"/>
    </row>
    <row r="5" spans="1:12" x14ac:dyDescent="0.25">
      <c r="A5" s="155" t="s">
        <v>3</v>
      </c>
      <c r="B5" s="156"/>
      <c r="C5" s="94" t="s">
        <v>4</v>
      </c>
      <c r="D5" s="94"/>
      <c r="E5" s="94"/>
      <c r="F5" s="94"/>
      <c r="G5" s="94"/>
      <c r="H5" s="94"/>
      <c r="I5" s="95"/>
    </row>
    <row r="6" spans="1:12" x14ac:dyDescent="0.25">
      <c r="A6" s="157" t="s">
        <v>5</v>
      </c>
      <c r="B6" s="158"/>
      <c r="C6" s="132" t="s">
        <v>6</v>
      </c>
      <c r="D6" s="132"/>
      <c r="E6" s="11" t="s">
        <v>7</v>
      </c>
      <c r="F6" s="39" t="s">
        <v>8</v>
      </c>
      <c r="G6" s="11" t="s">
        <v>9</v>
      </c>
      <c r="H6" s="132">
        <v>2078871.8419999999</v>
      </c>
      <c r="I6" s="153"/>
    </row>
    <row r="7" spans="1:12" ht="15.75" thickBot="1" x14ac:dyDescent="0.3">
      <c r="A7" s="116" t="s">
        <v>10</v>
      </c>
      <c r="B7" s="117"/>
      <c r="C7" s="133" t="s">
        <v>11</v>
      </c>
      <c r="D7" s="133"/>
      <c r="E7" s="12" t="s">
        <v>12</v>
      </c>
      <c r="F7" s="40" t="s">
        <v>13</v>
      </c>
      <c r="G7" s="12" t="s">
        <v>14</v>
      </c>
      <c r="H7" s="133">
        <v>-4870008.2280000001</v>
      </c>
      <c r="I7" s="154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134" t="s">
        <v>15</v>
      </c>
      <c r="B9" s="135"/>
      <c r="C9" s="131" t="s">
        <v>16</v>
      </c>
      <c r="D9" s="131"/>
      <c r="E9" s="138" t="s">
        <v>17</v>
      </c>
      <c r="F9" s="139"/>
      <c r="G9" s="140" t="s">
        <v>18</v>
      </c>
      <c r="H9" s="151" t="s">
        <v>19</v>
      </c>
      <c r="I9" s="129" t="s">
        <v>20</v>
      </c>
    </row>
    <row r="10" spans="1:12" ht="15.75" thickBot="1" x14ac:dyDescent="0.3">
      <c r="A10" s="136"/>
      <c r="B10" s="137"/>
      <c r="C10" s="49" t="s">
        <v>21</v>
      </c>
      <c r="D10" s="49" t="s">
        <v>22</v>
      </c>
      <c r="E10" s="49" t="s">
        <v>21</v>
      </c>
      <c r="F10" s="49" t="s">
        <v>22</v>
      </c>
      <c r="G10" s="141"/>
      <c r="H10" s="152"/>
      <c r="I10" s="130"/>
    </row>
    <row r="11" spans="1:12" ht="18" customHeight="1" thickBot="1" x14ac:dyDescent="0.3">
      <c r="A11" s="118" t="s">
        <v>23</v>
      </c>
      <c r="B11" s="119"/>
      <c r="C11" s="51">
        <v>46054</v>
      </c>
      <c r="D11" s="52">
        <v>0</v>
      </c>
      <c r="E11" s="51">
        <f>C11</f>
        <v>46054</v>
      </c>
      <c r="F11" s="52">
        <v>0.95833333333333337</v>
      </c>
      <c r="G11" s="50">
        <f ca="1">COUNT(INDIRECT("'Dia " &amp; ROW()-10 &amp; "'!C21:C45"))</f>
        <v>24</v>
      </c>
      <c r="H11" s="53" cm="1">
        <f t="array" aca="1" ref="H11" ca="1">IF(G11=24,INDIRECT("'" &amp; "Dia " &amp; ROW()-10 &amp; "'!C47"),"-")</f>
        <v>0.6253139675163305</v>
      </c>
      <c r="I11" s="54"/>
    </row>
    <row r="12" spans="1:12" ht="18" customHeight="1" thickBot="1" x14ac:dyDescent="0.3">
      <c r="A12" s="90" t="s">
        <v>23</v>
      </c>
      <c r="B12" s="91"/>
      <c r="C12" s="51">
        <v>46055</v>
      </c>
      <c r="D12" s="9">
        <v>0</v>
      </c>
      <c r="E12" s="32">
        <f t="shared" ref="E12:E40" si="0">C12</f>
        <v>46055</v>
      </c>
      <c r="F12" s="9">
        <v>0.95833333333333337</v>
      </c>
      <c r="G12" s="48">
        <f t="shared" ref="G12:G41" ca="1" si="1">COUNT(INDIRECT("'Dia " &amp; ROW()-10 &amp; "'!C21:C45"))</f>
        <v>24</v>
      </c>
      <c r="H12" s="38" cm="1">
        <f t="array" aca="1" ref="H12" ca="1">IF(G12=24,INDIRECT("'" &amp; "Dia " &amp; ROW()-10 &amp; "'!C47"),"-")</f>
        <v>1.0044959331476384</v>
      </c>
      <c r="I12" s="55"/>
    </row>
    <row r="13" spans="1:12" ht="18" customHeight="1" thickBot="1" x14ac:dyDescent="0.3">
      <c r="A13" s="90" t="s">
        <v>23</v>
      </c>
      <c r="B13" s="91"/>
      <c r="C13" s="51">
        <v>46056</v>
      </c>
      <c r="D13" s="9">
        <v>0</v>
      </c>
      <c r="E13" s="32">
        <f t="shared" si="0"/>
        <v>46056</v>
      </c>
      <c r="F13" s="9">
        <v>0.95833333333333304</v>
      </c>
      <c r="G13" s="48">
        <f t="shared" ca="1" si="1"/>
        <v>24</v>
      </c>
      <c r="H13" s="38" cm="1">
        <f t="array" aca="1" ref="H13" ca="1">IF(G13=24,INDIRECT("'" &amp; "Dia " &amp; ROW()-10 &amp; "'!C47"),"-")</f>
        <v>0.9523515432635794</v>
      </c>
      <c r="I13" s="55"/>
    </row>
    <row r="14" spans="1:12" ht="18" customHeight="1" thickBot="1" x14ac:dyDescent="0.3">
      <c r="A14" s="90" t="s">
        <v>23</v>
      </c>
      <c r="B14" s="91"/>
      <c r="C14" s="51">
        <v>46057</v>
      </c>
      <c r="D14" s="9">
        <v>0</v>
      </c>
      <c r="E14" s="32">
        <f t="shared" si="0"/>
        <v>46057</v>
      </c>
      <c r="F14" s="9">
        <v>0.95833333333333304</v>
      </c>
      <c r="G14" s="48">
        <f t="shared" ca="1" si="1"/>
        <v>24</v>
      </c>
      <c r="H14" s="38" cm="1">
        <f t="array" aca="1" ref="H14" ca="1">IF(G14=24,INDIRECT("'" &amp; "Dia " &amp; ROW()-10 &amp; "'!C47"),"-")</f>
        <v>1.1098474989900609</v>
      </c>
      <c r="I14" s="55"/>
    </row>
    <row r="15" spans="1:12" ht="18" customHeight="1" thickBot="1" x14ac:dyDescent="0.3">
      <c r="A15" s="90" t="s">
        <v>23</v>
      </c>
      <c r="B15" s="91"/>
      <c r="C15" s="51">
        <v>46058</v>
      </c>
      <c r="D15" s="9">
        <v>0</v>
      </c>
      <c r="E15" s="32">
        <f t="shared" si="0"/>
        <v>46058</v>
      </c>
      <c r="F15" s="9">
        <v>0.95833333333333304</v>
      </c>
      <c r="G15" s="48">
        <f t="shared" ca="1" si="1"/>
        <v>24</v>
      </c>
      <c r="H15" s="38" cm="1">
        <f t="array" aca="1" ref="H15" ca="1">IF(G15=24,INDIRECT("'" &amp; "Dia " &amp; ROW()-10 &amp; "'!C47"),"-")</f>
        <v>0.84328848086317543</v>
      </c>
      <c r="I15" s="55"/>
    </row>
    <row r="16" spans="1:12" ht="18" customHeight="1" thickBot="1" x14ac:dyDescent="0.3">
      <c r="A16" s="90" t="s">
        <v>23</v>
      </c>
      <c r="B16" s="91"/>
      <c r="C16" s="51">
        <v>46059</v>
      </c>
      <c r="D16" s="9">
        <v>0</v>
      </c>
      <c r="E16" s="32">
        <f t="shared" si="0"/>
        <v>46059</v>
      </c>
      <c r="F16" s="9">
        <v>0.95833333333333304</v>
      </c>
      <c r="G16" s="48">
        <f t="shared" ca="1" si="1"/>
        <v>24</v>
      </c>
      <c r="H16" s="38" cm="1">
        <f t="array" aca="1" ref="H16" ca="1">IF(G16=24,INDIRECT("'" &amp; "Dia " &amp; ROW()-10 &amp; "'!C47"),"-")</f>
        <v>0.92212094741778095</v>
      </c>
      <c r="I16" s="55"/>
    </row>
    <row r="17" spans="1:9" ht="18" customHeight="1" thickBot="1" x14ac:dyDescent="0.3">
      <c r="A17" s="90" t="s">
        <v>23</v>
      </c>
      <c r="B17" s="91"/>
      <c r="C17" s="51">
        <v>46060</v>
      </c>
      <c r="D17" s="9">
        <v>0</v>
      </c>
      <c r="E17" s="32">
        <f t="shared" si="0"/>
        <v>46060</v>
      </c>
      <c r="F17" s="9">
        <v>0.95833333333333304</v>
      </c>
      <c r="G17" s="48">
        <f t="shared" ca="1" si="1"/>
        <v>24</v>
      </c>
      <c r="H17" s="38" cm="1">
        <f t="array" aca="1" ref="H17" ca="1">IF(G17=24,INDIRECT("'" &amp; "Dia " &amp; ROW()-10 &amp; "'!C47"),"-")</f>
        <v>0.63185255572317889</v>
      </c>
      <c r="I17" s="55"/>
    </row>
    <row r="18" spans="1:9" ht="18" customHeight="1" thickBot="1" x14ac:dyDescent="0.3">
      <c r="A18" s="90" t="s">
        <v>23</v>
      </c>
      <c r="B18" s="91"/>
      <c r="C18" s="51">
        <v>46061</v>
      </c>
      <c r="D18" s="9">
        <v>0</v>
      </c>
      <c r="E18" s="32">
        <f t="shared" si="0"/>
        <v>46061</v>
      </c>
      <c r="F18" s="9">
        <v>0.95833333333333304</v>
      </c>
      <c r="G18" s="48">
        <f t="shared" ca="1" si="1"/>
        <v>24</v>
      </c>
      <c r="H18" s="38" cm="1">
        <f t="array" aca="1" ref="H18" ca="1">IF(G18=24,INDIRECT("'" &amp; "Dia " &amp; ROW()-10 &amp; "'!C47"),"-")</f>
        <v>0.5542457663935898</v>
      </c>
      <c r="I18" s="55"/>
    </row>
    <row r="19" spans="1:9" ht="18" customHeight="1" thickBot="1" x14ac:dyDescent="0.3">
      <c r="A19" s="90" t="s">
        <v>23</v>
      </c>
      <c r="B19" s="91"/>
      <c r="C19" s="51">
        <v>46062</v>
      </c>
      <c r="D19" s="9">
        <v>0</v>
      </c>
      <c r="E19" s="32">
        <f t="shared" si="0"/>
        <v>46062</v>
      </c>
      <c r="F19" s="9">
        <v>0.95833333333333304</v>
      </c>
      <c r="G19" s="48">
        <f t="shared" ca="1" si="1"/>
        <v>24</v>
      </c>
      <c r="H19" s="38" cm="1">
        <f t="array" aca="1" ref="H19" ca="1">IF(G19=24,INDIRECT("'" &amp; "Dia " &amp; ROW()-10 &amp; "'!C47"),"-")</f>
        <v>0.4729313287007601</v>
      </c>
      <c r="I19" s="55"/>
    </row>
    <row r="20" spans="1:9" ht="18" customHeight="1" thickBot="1" x14ac:dyDescent="0.3">
      <c r="A20" s="90" t="s">
        <v>23</v>
      </c>
      <c r="B20" s="91"/>
      <c r="C20" s="51">
        <v>46063</v>
      </c>
      <c r="D20" s="9">
        <v>0</v>
      </c>
      <c r="E20" s="32">
        <f t="shared" si="0"/>
        <v>46063</v>
      </c>
      <c r="F20" s="9">
        <v>0.95833333333333304</v>
      </c>
      <c r="G20" s="48">
        <f t="shared" ca="1" si="1"/>
        <v>24</v>
      </c>
      <c r="H20" s="38" cm="1">
        <f t="array" aca="1" ref="H20" ca="1">IF(G20=24,INDIRECT("'" &amp; "Dia " &amp; ROW()-10 &amp; "'!C47"),"-")</f>
        <v>0.45554856245368952</v>
      </c>
      <c r="I20" s="47"/>
    </row>
    <row r="21" spans="1:9" ht="18" customHeight="1" thickBot="1" x14ac:dyDescent="0.3">
      <c r="A21" s="90" t="s">
        <v>23</v>
      </c>
      <c r="B21" s="91"/>
      <c r="C21" s="51">
        <v>46064</v>
      </c>
      <c r="D21" s="9">
        <v>0</v>
      </c>
      <c r="E21" s="32">
        <f t="shared" si="0"/>
        <v>46064</v>
      </c>
      <c r="F21" s="9">
        <v>0.95833333333333304</v>
      </c>
      <c r="G21" s="48">
        <f t="shared" ca="1" si="1"/>
        <v>24</v>
      </c>
      <c r="H21" s="38" cm="1">
        <f t="array" aca="1" ref="H21" ca="1">IF(G21=24,INDIRECT("'" &amp; "Dia " &amp; ROW()-10 &amp; "'!C47"),"-")</f>
        <v>0.37192250001108107</v>
      </c>
      <c r="I21" s="56"/>
    </row>
    <row r="22" spans="1:9" ht="18" customHeight="1" thickBot="1" x14ac:dyDescent="0.3">
      <c r="A22" s="90" t="s">
        <v>23</v>
      </c>
      <c r="B22" s="91"/>
      <c r="C22" s="51">
        <v>46065</v>
      </c>
      <c r="D22" s="9">
        <v>0</v>
      </c>
      <c r="E22" s="32">
        <f t="shared" si="0"/>
        <v>46065</v>
      </c>
      <c r="F22" s="9">
        <v>0.95833333333333304</v>
      </c>
      <c r="G22" s="48">
        <f t="shared" ca="1" si="1"/>
        <v>24</v>
      </c>
      <c r="H22" s="38" cm="1">
        <f t="array" aca="1" ref="H22" ca="1">IF(G22=24,INDIRECT("'" &amp; "Dia " &amp; ROW()-10 &amp; "'!C47"),"-")</f>
        <v>0.48383679238630356</v>
      </c>
      <c r="I22" s="47"/>
    </row>
    <row r="23" spans="1:9" ht="18" customHeight="1" thickBot="1" x14ac:dyDescent="0.3">
      <c r="A23" s="90" t="s">
        <v>23</v>
      </c>
      <c r="B23" s="91"/>
      <c r="C23" s="51">
        <v>46066</v>
      </c>
      <c r="D23" s="9">
        <v>0</v>
      </c>
      <c r="E23" s="32">
        <f t="shared" si="0"/>
        <v>46066</v>
      </c>
      <c r="F23" s="9">
        <v>0.95833333333333304</v>
      </c>
      <c r="G23" s="48">
        <f t="shared" ca="1" si="1"/>
        <v>24</v>
      </c>
      <c r="H23" s="38" cm="1">
        <f t="array" aca="1" ref="H23" ca="1">IF(G23=24,INDIRECT("'" &amp; "Dia " &amp; ROW()-10 &amp; "'!C47"),"-")</f>
        <v>0.82400984938534472</v>
      </c>
      <c r="I23" s="47"/>
    </row>
    <row r="24" spans="1:9" ht="18" customHeight="1" thickBot="1" x14ac:dyDescent="0.3">
      <c r="A24" s="90" t="s">
        <v>23</v>
      </c>
      <c r="B24" s="91"/>
      <c r="C24" s="51">
        <v>46067</v>
      </c>
      <c r="D24" s="9">
        <v>0</v>
      </c>
      <c r="E24" s="32">
        <f t="shared" si="0"/>
        <v>46067</v>
      </c>
      <c r="F24" s="9">
        <v>0.95833333333333304</v>
      </c>
      <c r="G24" s="48">
        <f t="shared" ca="1" si="1"/>
        <v>24</v>
      </c>
      <c r="H24" s="38" cm="1">
        <f t="array" aca="1" ref="H24" ca="1">IF(G24=24,INDIRECT("'" &amp; "Dia " &amp; ROW()-10 &amp; "'!C47"),"-")</f>
        <v>0.46608321510841516</v>
      </c>
      <c r="I24" s="47"/>
    </row>
    <row r="25" spans="1:9" ht="18" customHeight="1" thickBot="1" x14ac:dyDescent="0.3">
      <c r="A25" s="90" t="s">
        <v>23</v>
      </c>
      <c r="B25" s="91"/>
      <c r="C25" s="51">
        <v>46068</v>
      </c>
      <c r="D25" s="9">
        <v>0</v>
      </c>
      <c r="E25" s="32">
        <f t="shared" si="0"/>
        <v>46068</v>
      </c>
      <c r="F25" s="9">
        <v>0.95833333333333304</v>
      </c>
      <c r="G25" s="48">
        <f t="shared" ca="1" si="1"/>
        <v>24</v>
      </c>
      <c r="H25" s="38" cm="1">
        <f t="array" aca="1" ref="H25" ca="1">IF(G25=24,INDIRECT("'" &amp; "Dia " &amp; ROW()-10 &amp; "'!C47"),"-")</f>
        <v>0.49163956508454598</v>
      </c>
      <c r="I25" s="57"/>
    </row>
    <row r="26" spans="1:9" ht="18" customHeight="1" thickBot="1" x14ac:dyDescent="0.3">
      <c r="A26" s="90" t="s">
        <v>23</v>
      </c>
      <c r="B26" s="91"/>
      <c r="C26" s="51">
        <v>46069</v>
      </c>
      <c r="D26" s="9">
        <v>0</v>
      </c>
      <c r="E26" s="32">
        <f t="shared" si="0"/>
        <v>46069</v>
      </c>
      <c r="F26" s="9">
        <v>0.95833333333333304</v>
      </c>
      <c r="G26" s="48">
        <f t="shared" ca="1" si="1"/>
        <v>24</v>
      </c>
      <c r="H26" s="38" cm="1">
        <f t="array" aca="1" ref="H26" ca="1">IF(G26=24,INDIRECT("'" &amp; "Dia " &amp; ROW()-10 &amp; "'!C47"),"-")</f>
        <v>0.4049044953594847</v>
      </c>
      <c r="I26" s="47"/>
    </row>
    <row r="27" spans="1:9" ht="18" customHeight="1" thickBot="1" x14ac:dyDescent="0.3">
      <c r="A27" s="90" t="s">
        <v>23</v>
      </c>
      <c r="B27" s="91"/>
      <c r="C27" s="51">
        <v>46070</v>
      </c>
      <c r="D27" s="9">
        <v>0</v>
      </c>
      <c r="E27" s="32">
        <f t="shared" si="0"/>
        <v>46070</v>
      </c>
      <c r="F27" s="9">
        <v>0.95833333333333304</v>
      </c>
      <c r="G27" s="48">
        <f t="shared" ca="1" si="1"/>
        <v>24</v>
      </c>
      <c r="H27" s="38" cm="1">
        <f t="array" aca="1" ref="H27" ca="1">IF(G27=24,INDIRECT("'" &amp; "Dia " &amp; ROW()-10 &amp; "'!C47"),"-")</f>
        <v>0.35699183758378716</v>
      </c>
      <c r="I27" s="47"/>
    </row>
    <row r="28" spans="1:9" ht="18" customHeight="1" thickBot="1" x14ac:dyDescent="0.3">
      <c r="A28" s="90" t="s">
        <v>23</v>
      </c>
      <c r="B28" s="91"/>
      <c r="C28" s="51">
        <v>46071</v>
      </c>
      <c r="D28" s="9">
        <v>0</v>
      </c>
      <c r="E28" s="32">
        <f t="shared" si="0"/>
        <v>46071</v>
      </c>
      <c r="F28" s="9">
        <v>0.95833333333333304</v>
      </c>
      <c r="G28" s="48">
        <f t="shared" ca="1" si="1"/>
        <v>0</v>
      </c>
      <c r="H28" s="38" t="str" cm="1">
        <f t="array" aca="1" ref="H28" ca="1">IF(G28=24,INDIRECT("'" &amp; "Dia " &amp; ROW()-10 &amp; "'!C47"),"-")</f>
        <v>-</v>
      </c>
      <c r="I28" s="47"/>
    </row>
    <row r="29" spans="1:9" ht="18" customHeight="1" thickBot="1" x14ac:dyDescent="0.3">
      <c r="A29" s="90" t="s">
        <v>23</v>
      </c>
      <c r="B29" s="91"/>
      <c r="C29" s="51">
        <v>46072</v>
      </c>
      <c r="D29" s="9">
        <v>0</v>
      </c>
      <c r="E29" s="32">
        <f t="shared" si="0"/>
        <v>46072</v>
      </c>
      <c r="F29" s="9">
        <v>0.95833333333333304</v>
      </c>
      <c r="G29" s="48">
        <f t="shared" ca="1" si="1"/>
        <v>0</v>
      </c>
      <c r="H29" s="38" t="str" cm="1">
        <f t="array" aca="1" ref="H29" ca="1">IF(G29=24,INDIRECT("'" &amp; "Dia " &amp; ROW()-10 &amp; "'!C47"),"-")</f>
        <v>-</v>
      </c>
      <c r="I29" s="47"/>
    </row>
    <row r="30" spans="1:9" ht="18" customHeight="1" thickBot="1" x14ac:dyDescent="0.3">
      <c r="A30" s="90" t="s">
        <v>23</v>
      </c>
      <c r="B30" s="91"/>
      <c r="C30" s="51">
        <v>46073</v>
      </c>
      <c r="D30" s="9">
        <v>0</v>
      </c>
      <c r="E30" s="32">
        <f t="shared" si="0"/>
        <v>46073</v>
      </c>
      <c r="F30" s="9">
        <v>0.95833333333333304</v>
      </c>
      <c r="G30" s="48">
        <f t="shared" ca="1" si="1"/>
        <v>0</v>
      </c>
      <c r="H30" s="38" t="str" cm="1">
        <f t="array" aca="1" ref="H30" ca="1">IF(G30=24,INDIRECT("'" &amp; "Dia " &amp; ROW()-10 &amp; "'!C47"),"-")</f>
        <v>-</v>
      </c>
      <c r="I30" s="47"/>
    </row>
    <row r="31" spans="1:9" ht="18" customHeight="1" thickBot="1" x14ac:dyDescent="0.3">
      <c r="A31" s="90" t="s">
        <v>23</v>
      </c>
      <c r="B31" s="91"/>
      <c r="C31" s="51">
        <v>46074</v>
      </c>
      <c r="D31" s="9">
        <v>0</v>
      </c>
      <c r="E31" s="32">
        <f t="shared" si="0"/>
        <v>46074</v>
      </c>
      <c r="F31" s="9">
        <v>0.95833333333333304</v>
      </c>
      <c r="G31" s="48">
        <f t="shared" ca="1" si="1"/>
        <v>0</v>
      </c>
      <c r="H31" s="38" t="str" cm="1">
        <f t="array" aca="1" ref="H31" ca="1">IF(G31=24,INDIRECT("'" &amp; "Dia " &amp; ROW()-10 &amp; "'!C47"),"-")</f>
        <v>-</v>
      </c>
      <c r="I31" s="47"/>
    </row>
    <row r="32" spans="1:9" ht="18" customHeight="1" thickBot="1" x14ac:dyDescent="0.3">
      <c r="A32" s="90" t="s">
        <v>23</v>
      </c>
      <c r="B32" s="91"/>
      <c r="C32" s="51">
        <v>46075</v>
      </c>
      <c r="D32" s="9">
        <v>0</v>
      </c>
      <c r="E32" s="32">
        <f t="shared" si="0"/>
        <v>46075</v>
      </c>
      <c r="F32" s="9">
        <v>0.95833333333333304</v>
      </c>
      <c r="G32" s="48">
        <f t="shared" ca="1" si="1"/>
        <v>0</v>
      </c>
      <c r="H32" s="38" t="str" cm="1">
        <f t="array" aca="1" ref="H32" ca="1">IF(G32=24,INDIRECT("'" &amp; "Dia " &amp; ROW()-10 &amp; "'!C47"),"-")</f>
        <v>-</v>
      </c>
      <c r="I32" s="47"/>
    </row>
    <row r="33" spans="1:9" ht="18" customHeight="1" thickBot="1" x14ac:dyDescent="0.3">
      <c r="A33" s="90" t="s">
        <v>23</v>
      </c>
      <c r="B33" s="91"/>
      <c r="C33" s="51">
        <v>46076</v>
      </c>
      <c r="D33" s="9">
        <v>0</v>
      </c>
      <c r="E33" s="32">
        <f t="shared" si="0"/>
        <v>46076</v>
      </c>
      <c r="F33" s="9">
        <v>0.95833333333333304</v>
      </c>
      <c r="G33" s="48">
        <f t="shared" ca="1" si="1"/>
        <v>0</v>
      </c>
      <c r="H33" s="38" t="str" cm="1">
        <f t="array" aca="1" ref="H33" ca="1">IF(G33=24,INDIRECT("'" &amp; "Dia " &amp; ROW()-10 &amp; "'!C47"),"-")</f>
        <v>-</v>
      </c>
      <c r="I33" s="47"/>
    </row>
    <row r="34" spans="1:9" ht="18" customHeight="1" thickBot="1" x14ac:dyDescent="0.3">
      <c r="A34" s="90" t="s">
        <v>23</v>
      </c>
      <c r="B34" s="91"/>
      <c r="C34" s="51">
        <v>46077</v>
      </c>
      <c r="D34" s="9">
        <v>0</v>
      </c>
      <c r="E34" s="32">
        <f t="shared" si="0"/>
        <v>46077</v>
      </c>
      <c r="F34" s="9">
        <v>0.95833333333333304</v>
      </c>
      <c r="G34" s="48">
        <f t="shared" ca="1" si="1"/>
        <v>0</v>
      </c>
      <c r="H34" s="38" t="str" cm="1">
        <f t="array" aca="1" ref="H34" ca="1">IF(G34=24,INDIRECT("'" &amp; "Dia " &amp; ROW()-10 &amp; "'!C47"),"-")</f>
        <v>-</v>
      </c>
      <c r="I34" s="47"/>
    </row>
    <row r="35" spans="1:9" ht="18" customHeight="1" thickBot="1" x14ac:dyDescent="0.3">
      <c r="A35" s="90" t="s">
        <v>23</v>
      </c>
      <c r="B35" s="91"/>
      <c r="C35" s="51">
        <v>46078</v>
      </c>
      <c r="D35" s="9">
        <v>0</v>
      </c>
      <c r="E35" s="32">
        <f t="shared" si="0"/>
        <v>46078</v>
      </c>
      <c r="F35" s="9">
        <v>0.95833333333333304</v>
      </c>
      <c r="G35" s="48">
        <f t="shared" ca="1" si="1"/>
        <v>0</v>
      </c>
      <c r="H35" s="38" t="str" cm="1">
        <f t="array" aca="1" ref="H35" ca="1">IF(G35=24,INDIRECT("'" &amp; "Dia " &amp; ROW()-10 &amp; "'!C47"),"-")</f>
        <v>-</v>
      </c>
      <c r="I35" s="47"/>
    </row>
    <row r="36" spans="1:9" ht="18" customHeight="1" thickBot="1" x14ac:dyDescent="0.3">
      <c r="A36" s="90" t="s">
        <v>23</v>
      </c>
      <c r="B36" s="91"/>
      <c r="C36" s="51">
        <v>46079</v>
      </c>
      <c r="D36" s="9">
        <v>0</v>
      </c>
      <c r="E36" s="32">
        <f t="shared" si="0"/>
        <v>46079</v>
      </c>
      <c r="F36" s="9">
        <v>0.95833333333333304</v>
      </c>
      <c r="G36" s="48">
        <f t="shared" ca="1" si="1"/>
        <v>0</v>
      </c>
      <c r="H36" s="38" t="str" cm="1">
        <f t="array" aca="1" ref="H36" ca="1">IF(G36=24,INDIRECT("'" &amp; "Dia " &amp; ROW()-10 &amp; "'!C47"),"-")</f>
        <v>-</v>
      </c>
      <c r="I36" s="47"/>
    </row>
    <row r="37" spans="1:9" ht="18" customHeight="1" thickBot="1" x14ac:dyDescent="0.3">
      <c r="A37" s="90" t="s">
        <v>23</v>
      </c>
      <c r="B37" s="91"/>
      <c r="C37" s="51">
        <v>46080</v>
      </c>
      <c r="D37" s="9">
        <v>0</v>
      </c>
      <c r="E37" s="32">
        <f t="shared" si="0"/>
        <v>46080</v>
      </c>
      <c r="F37" s="9">
        <v>0.95833333333333304</v>
      </c>
      <c r="G37" s="48">
        <f t="shared" ca="1" si="1"/>
        <v>0</v>
      </c>
      <c r="H37" s="38" t="str" cm="1">
        <f t="array" aca="1" ref="H37" ca="1">IF(G37=24,INDIRECT("'" &amp; "Dia " &amp; ROW()-10 &amp; "'!C47"),"-")</f>
        <v>-</v>
      </c>
      <c r="I37" s="47"/>
    </row>
    <row r="38" spans="1:9" ht="18" customHeight="1" thickBot="1" x14ac:dyDescent="0.3">
      <c r="A38" s="90" t="s">
        <v>23</v>
      </c>
      <c r="B38" s="91"/>
      <c r="C38" s="51">
        <v>46081</v>
      </c>
      <c r="D38" s="9">
        <v>0</v>
      </c>
      <c r="E38" s="32">
        <f t="shared" si="0"/>
        <v>46081</v>
      </c>
      <c r="F38" s="9">
        <v>0.95833333333333304</v>
      </c>
      <c r="G38" s="48">
        <f t="shared" ca="1" si="1"/>
        <v>0</v>
      </c>
      <c r="H38" s="38" t="str" cm="1">
        <f t="array" aca="1" ref="H38" ca="1">IF(G38=24,INDIRECT("'" &amp; "Dia " &amp; ROW()-10 &amp; "'!C47"),"-")</f>
        <v>-</v>
      </c>
      <c r="I38" s="47"/>
    </row>
    <row r="39" spans="1:9" ht="15.75" thickBot="1" x14ac:dyDescent="0.3">
      <c r="A39" s="90" t="s">
        <v>23</v>
      </c>
      <c r="B39" s="91"/>
      <c r="C39" s="51"/>
      <c r="D39" s="9">
        <v>0</v>
      </c>
      <c r="E39" s="32">
        <f t="shared" si="0"/>
        <v>0</v>
      </c>
      <c r="F39" s="9">
        <v>0.95833333333333304</v>
      </c>
      <c r="G39" s="48">
        <f t="shared" ca="1" si="1"/>
        <v>0</v>
      </c>
      <c r="H39" s="38" t="str" cm="1">
        <f t="array" aca="1" ref="H39" ca="1">IF(G39=24,INDIRECT("'" &amp; "Dia " &amp; ROW()-10 &amp; "'!C47"),"-")</f>
        <v>-</v>
      </c>
      <c r="I39" s="47"/>
    </row>
    <row r="40" spans="1:9" ht="15.75" thickBot="1" x14ac:dyDescent="0.3">
      <c r="A40" s="90" t="s">
        <v>23</v>
      </c>
      <c r="B40" s="91"/>
      <c r="C40" s="51"/>
      <c r="D40" s="9">
        <v>0</v>
      </c>
      <c r="E40" s="32">
        <f t="shared" si="0"/>
        <v>0</v>
      </c>
      <c r="F40" s="9">
        <v>0.95833333333333304</v>
      </c>
      <c r="G40" s="48">
        <f t="shared" ca="1" si="1"/>
        <v>0</v>
      </c>
      <c r="H40" s="38" t="str" cm="1">
        <f t="array" aca="1" ref="H40" ca="1">IF(G40=24,INDIRECT("'" &amp; "Dia " &amp; ROW()-10 &amp; "'!C47"),"-")</f>
        <v>-</v>
      </c>
      <c r="I40" s="47"/>
    </row>
    <row r="41" spans="1:9" ht="15.75" thickBot="1" x14ac:dyDescent="0.3">
      <c r="A41" s="92" t="s">
        <v>23</v>
      </c>
      <c r="B41" s="93"/>
      <c r="C41" s="51"/>
      <c r="D41" s="59">
        <v>0</v>
      </c>
      <c r="E41" s="60">
        <f t="shared" ref="E41" si="2">C41</f>
        <v>0</v>
      </c>
      <c r="F41" s="59">
        <v>0.95833333333333304</v>
      </c>
      <c r="G41" s="58">
        <f t="shared" ca="1" si="1"/>
        <v>0</v>
      </c>
      <c r="H41" s="61" t="str" cm="1">
        <f t="array" aca="1" ref="H41" ca="1">IF(G41=24,INDIRECT("'" &amp; "Dia " &amp; ROW()-10 &amp; "'!C47"),"-")</f>
        <v>-</v>
      </c>
      <c r="I41" s="62"/>
    </row>
    <row r="42" spans="1:9" ht="25.5" customHeight="1" x14ac:dyDescent="0.25">
      <c r="A42" s="104" t="s">
        <v>24</v>
      </c>
      <c r="B42" s="108" t="s">
        <v>25</v>
      </c>
      <c r="C42" s="109"/>
      <c r="D42" s="106" t="s">
        <v>26</v>
      </c>
      <c r="E42" s="112"/>
      <c r="F42" s="113"/>
      <c r="G42" s="106" t="s">
        <v>27</v>
      </c>
      <c r="H42" s="37"/>
      <c r="I42" s="46" t="s">
        <v>28</v>
      </c>
    </row>
    <row r="43" spans="1:9" x14ac:dyDescent="0.25">
      <c r="A43" s="105"/>
      <c r="B43" s="110" t="s">
        <v>29</v>
      </c>
      <c r="C43" s="111"/>
      <c r="D43" s="107"/>
      <c r="E43" s="114" t="s">
        <v>30</v>
      </c>
      <c r="F43" s="115"/>
      <c r="G43" s="107"/>
      <c r="H43" s="13"/>
      <c r="I43" s="10" t="s">
        <v>31</v>
      </c>
    </row>
    <row r="44" spans="1:9" x14ac:dyDescent="0.25">
      <c r="A44" s="102" t="s">
        <v>32</v>
      </c>
      <c r="B44" s="96" t="s">
        <v>33</v>
      </c>
      <c r="C44" s="96"/>
      <c r="D44" s="96"/>
      <c r="E44" s="96"/>
      <c r="F44" s="96"/>
      <c r="G44" s="96"/>
      <c r="H44" s="97"/>
      <c r="I44" s="98"/>
    </row>
    <row r="45" spans="1:9" ht="9.75" customHeight="1" thickBot="1" x14ac:dyDescent="0.3">
      <c r="A45" s="103"/>
      <c r="B45" s="99"/>
      <c r="C45" s="99"/>
      <c r="D45" s="99"/>
      <c r="E45" s="99"/>
      <c r="F45" s="99"/>
      <c r="G45" s="99"/>
      <c r="H45" s="100"/>
      <c r="I45" s="101"/>
    </row>
    <row r="46" spans="1:9" ht="15.75" thickBot="1" x14ac:dyDescent="0.3">
      <c r="A46" s="6"/>
      <c r="B46" s="7"/>
      <c r="C46" s="7"/>
      <c r="D46" s="7"/>
      <c r="E46" s="7"/>
      <c r="F46" s="7"/>
      <c r="G46" s="7"/>
      <c r="H46" s="7"/>
      <c r="I46" s="8"/>
    </row>
  </sheetData>
  <mergeCells count="58"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  <mergeCell ref="A7:B7"/>
    <mergeCell ref="A11:B11"/>
    <mergeCell ref="A12:B12"/>
    <mergeCell ref="A13:B13"/>
    <mergeCell ref="A14:B14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33:B33"/>
    <mergeCell ref="A34:B34"/>
    <mergeCell ref="A35:B35"/>
    <mergeCell ref="A40:B40"/>
    <mergeCell ref="A41:B41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">
        <v>35</v>
      </c>
      <c r="C7" s="64"/>
      <c r="D7" s="20" t="s">
        <v>5</v>
      </c>
      <c r="E7" s="65" t="str" cm="1">
        <f t="array" ref="E7">'FOM303-32-Imprimir'!C6:C6</f>
        <v>Bogotá DC</v>
      </c>
      <c r="F7" s="65"/>
      <c r="G7" s="65"/>
    </row>
    <row r="8" spans="1:12" ht="15.75" x14ac:dyDescent="0.25">
      <c r="A8" s="20" t="s">
        <v>36</v>
      </c>
      <c r="B8" s="63" t="s">
        <v>23</v>
      </c>
      <c r="C8" s="64"/>
      <c r="D8" s="21" t="s">
        <v>10</v>
      </c>
      <c r="E8" s="65" t="str" cm="1">
        <f t="array" ref="E8">'FOM303-32-Imprimir'!C7:C7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'FOM303-32-Imprimir'!H6:H6</f>
        <v>2078871.8419999999</v>
      </c>
      <c r="C9" s="64"/>
      <c r="D9" s="21" t="s">
        <v>14</v>
      </c>
      <c r="E9" s="65" cm="1">
        <f t="array" ref="E9">'FOM303-32-Imprimir'!H7:H7</f>
        <v>-4870008.2280000001</v>
      </c>
      <c r="F9" s="65"/>
      <c r="G9" s="65"/>
    </row>
    <row r="10" spans="1:12" ht="15.75" x14ac:dyDescent="0.25">
      <c r="A10" s="20" t="s">
        <v>37</v>
      </c>
      <c r="B10" s="63" t="s">
        <v>38</v>
      </c>
      <c r="C10" s="64"/>
      <c r="D10" s="20" t="s">
        <v>39</v>
      </c>
      <c r="E10" s="65">
        <v>2550</v>
      </c>
      <c r="F10" s="65"/>
      <c r="G10" s="65"/>
    </row>
    <row r="11" spans="1:12" ht="15.75" x14ac:dyDescent="0.25">
      <c r="A11" s="22" t="s">
        <v>40</v>
      </c>
      <c r="B11" s="81">
        <f>'FOM303-32-Imprimir'!C11</f>
        <v>46054</v>
      </c>
      <c r="C11" s="82"/>
      <c r="D11" s="23" t="s">
        <v>41</v>
      </c>
      <c r="E11" s="83">
        <v>0</v>
      </c>
      <c r="F11" s="83"/>
      <c r="G11" s="83"/>
    </row>
    <row r="12" spans="1:12" ht="15.75" x14ac:dyDescent="0.25">
      <c r="A12" s="22" t="s">
        <v>42</v>
      </c>
      <c r="B12" s="159">
        <f>'FOM303-32-Imprimir'!E11</f>
        <v>46054</v>
      </c>
      <c r="C12" s="160"/>
      <c r="D12" s="22" t="s">
        <v>43</v>
      </c>
      <c r="E12" s="83"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21.704999999999998</v>
      </c>
      <c r="D21" s="84">
        <v>21.704999999999998</v>
      </c>
    </row>
    <row r="22" spans="2:7" ht="18.75" x14ac:dyDescent="0.25">
      <c r="B22" s="41">
        <v>1</v>
      </c>
      <c r="C22" s="84">
        <v>21.725000000000001</v>
      </c>
      <c r="D22" s="84">
        <v>21.725000000000001</v>
      </c>
    </row>
    <row r="23" spans="2:7" ht="18.75" x14ac:dyDescent="0.25">
      <c r="B23" s="41">
        <v>2</v>
      </c>
      <c r="C23" s="84">
        <v>21.814</v>
      </c>
      <c r="D23" s="84">
        <v>21.814</v>
      </c>
    </row>
    <row r="24" spans="2:7" ht="18.75" x14ac:dyDescent="0.25">
      <c r="B24" s="41">
        <v>3</v>
      </c>
      <c r="C24" s="84">
        <v>21.847999999999999</v>
      </c>
      <c r="D24" s="84">
        <v>21.847999999999999</v>
      </c>
    </row>
    <row r="25" spans="2:7" ht="18.75" x14ac:dyDescent="0.25">
      <c r="B25" s="41">
        <v>4</v>
      </c>
      <c r="C25" s="84">
        <v>22.065999999999999</v>
      </c>
      <c r="D25" s="84">
        <v>22.065999999999999</v>
      </c>
    </row>
    <row r="26" spans="2:7" ht="18.75" x14ac:dyDescent="0.25">
      <c r="B26" s="41">
        <v>5</v>
      </c>
      <c r="C26" s="84">
        <v>22.081</v>
      </c>
      <c r="D26" s="84">
        <v>22.081</v>
      </c>
    </row>
    <row r="27" spans="2:7" ht="18.75" x14ac:dyDescent="0.25">
      <c r="B27" s="41">
        <v>6</v>
      </c>
      <c r="C27" s="84">
        <v>22.065999999999999</v>
      </c>
      <c r="D27" s="84">
        <v>22.065999999999999</v>
      </c>
    </row>
    <row r="28" spans="2:7" ht="18.75" x14ac:dyDescent="0.25">
      <c r="B28" s="41">
        <v>7</v>
      </c>
      <c r="C28" s="84">
        <v>21.544</v>
      </c>
      <c r="D28" s="84">
        <v>21.544</v>
      </c>
    </row>
    <row r="29" spans="2:7" ht="18.75" x14ac:dyDescent="0.25">
      <c r="B29" s="41">
        <v>8</v>
      </c>
      <c r="C29" s="84">
        <v>21.759</v>
      </c>
      <c r="D29" s="84">
        <v>21.759</v>
      </c>
    </row>
    <row r="30" spans="2:7" ht="18.75" x14ac:dyDescent="0.25">
      <c r="B30" s="41">
        <v>9</v>
      </c>
      <c r="C30" s="84">
        <v>20.923999999999999</v>
      </c>
      <c r="D30" s="84">
        <v>20.923999999999999</v>
      </c>
    </row>
    <row r="31" spans="2:7" ht="18.75" x14ac:dyDescent="0.25">
      <c r="B31" s="41">
        <v>10</v>
      </c>
      <c r="C31" s="84">
        <v>20.835000000000001</v>
      </c>
      <c r="D31" s="84">
        <v>20.835000000000001</v>
      </c>
    </row>
    <row r="32" spans="2:7" ht="18.75" x14ac:dyDescent="0.25">
      <c r="B32" s="41">
        <v>11</v>
      </c>
      <c r="C32" s="84">
        <v>20.79</v>
      </c>
      <c r="D32" s="84">
        <v>20.79</v>
      </c>
    </row>
    <row r="33" spans="2:4" ht="18.75" x14ac:dyDescent="0.25">
      <c r="B33" s="41">
        <v>12</v>
      </c>
      <c r="C33" s="84">
        <v>20.692</v>
      </c>
      <c r="D33" s="84">
        <v>20.692</v>
      </c>
    </row>
    <row r="34" spans="2:4" ht="18.75" x14ac:dyDescent="0.25">
      <c r="B34" s="41">
        <v>13</v>
      </c>
      <c r="C34" s="84">
        <v>20.692</v>
      </c>
      <c r="D34" s="84">
        <v>20.692</v>
      </c>
    </row>
    <row r="35" spans="2:4" ht="18.75" x14ac:dyDescent="0.25">
      <c r="B35" s="41">
        <v>14</v>
      </c>
      <c r="C35" s="84">
        <v>22.111000000000001</v>
      </c>
      <c r="D35" s="84">
        <v>22.111000000000001</v>
      </c>
    </row>
    <row r="36" spans="2:4" ht="18.75" x14ac:dyDescent="0.25">
      <c r="B36" s="41">
        <v>15</v>
      </c>
      <c r="C36" s="84">
        <v>20.821999999999999</v>
      </c>
      <c r="D36" s="84">
        <v>20.821999999999999</v>
      </c>
    </row>
    <row r="37" spans="2:4" ht="18.75" x14ac:dyDescent="0.25">
      <c r="B37" s="41">
        <v>16</v>
      </c>
      <c r="C37" s="84">
        <v>22.303000000000001</v>
      </c>
      <c r="D37" s="84">
        <v>22.303000000000001</v>
      </c>
    </row>
    <row r="38" spans="2:4" ht="18.75" x14ac:dyDescent="0.25">
      <c r="B38" s="41">
        <v>17</v>
      </c>
      <c r="C38" s="84">
        <v>21.596</v>
      </c>
      <c r="D38" s="84">
        <v>21.596</v>
      </c>
    </row>
    <row r="39" spans="2:4" ht="18.75" x14ac:dyDescent="0.25">
      <c r="B39" s="41">
        <v>18</v>
      </c>
      <c r="C39" s="84">
        <v>22.116</v>
      </c>
      <c r="D39" s="84">
        <v>22.116</v>
      </c>
    </row>
    <row r="40" spans="2:4" ht="18.75" x14ac:dyDescent="0.25">
      <c r="B40" s="41">
        <v>19</v>
      </c>
      <c r="C40" s="84">
        <v>21.885000000000002</v>
      </c>
      <c r="D40" s="84">
        <v>21.885000000000002</v>
      </c>
    </row>
    <row r="41" spans="2:4" ht="18.75" x14ac:dyDescent="0.25">
      <c r="B41" s="41">
        <v>20</v>
      </c>
      <c r="C41" s="84">
        <v>22.044</v>
      </c>
      <c r="D41" s="84">
        <v>22.044</v>
      </c>
    </row>
    <row r="42" spans="2:4" ht="18.75" x14ac:dyDescent="0.25">
      <c r="B42" s="41">
        <v>21</v>
      </c>
      <c r="C42" s="84">
        <v>22.318000000000001</v>
      </c>
      <c r="D42" s="84">
        <v>22.318000000000001</v>
      </c>
    </row>
    <row r="43" spans="2:4" ht="18.75" x14ac:dyDescent="0.25">
      <c r="B43" s="41">
        <v>22</v>
      </c>
      <c r="C43" s="84">
        <v>22.77</v>
      </c>
      <c r="D43" s="84">
        <v>22.77</v>
      </c>
    </row>
    <row r="44" spans="2:4" ht="18.75" x14ac:dyDescent="0.25">
      <c r="B44" s="41">
        <v>23</v>
      </c>
      <c r="C44" s="84">
        <v>22.771999999999998</v>
      </c>
      <c r="D44" s="84">
        <v>22.771999999999998</v>
      </c>
    </row>
    <row r="45" spans="2:4" ht="18.75" x14ac:dyDescent="0.25">
      <c r="B45" s="41"/>
      <c r="C45" s="84"/>
      <c r="D45" s="84"/>
    </row>
    <row r="46" spans="2:4" ht="33.75" customHeight="1" x14ac:dyDescent="0.25">
      <c r="B46" s="42" t="s">
        <v>47</v>
      </c>
      <c r="C46" s="87">
        <f>AVERAGE(C22:C45)</f>
        <v>21.7205652173913</v>
      </c>
      <c r="D46" s="87"/>
    </row>
    <row r="47" spans="2:4" ht="31.5" x14ac:dyDescent="0.25">
      <c r="B47" s="44" t="s">
        <v>48</v>
      </c>
      <c r="C47" s="43">
        <f>_xlfn.STDEV.S(C21:C45)</f>
        <v>0.6253139675163305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'FOM303-32-Imprimir'!C12</f>
        <v>46055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'FOM303-32-Imprimir'!E12</f>
        <v>46055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22.902000000000001</v>
      </c>
      <c r="D21" s="84">
        <v>22.902000000000001</v>
      </c>
    </row>
    <row r="22" spans="2:7" ht="18.75" x14ac:dyDescent="0.25">
      <c r="B22" s="41">
        <v>1</v>
      </c>
      <c r="C22" s="84">
        <v>22.209</v>
      </c>
      <c r="D22" s="84">
        <v>22.209</v>
      </c>
    </row>
    <row r="23" spans="2:7" ht="18.75" x14ac:dyDescent="0.25">
      <c r="B23" s="41">
        <v>2</v>
      </c>
      <c r="C23" s="84">
        <v>21.879000000000001</v>
      </c>
      <c r="D23" s="84">
        <v>21.879000000000001</v>
      </c>
    </row>
    <row r="24" spans="2:7" ht="18.75" x14ac:dyDescent="0.25">
      <c r="B24" s="41">
        <v>3</v>
      </c>
      <c r="C24" s="84">
        <v>21.728999999999999</v>
      </c>
      <c r="D24" s="84">
        <v>21.728999999999999</v>
      </c>
    </row>
    <row r="25" spans="2:7" ht="18.75" x14ac:dyDescent="0.25">
      <c r="B25" s="41">
        <v>4</v>
      </c>
      <c r="C25" s="84">
        <v>20.942</v>
      </c>
      <c r="D25" s="84">
        <v>20.942</v>
      </c>
    </row>
    <row r="26" spans="2:7" ht="18.75" x14ac:dyDescent="0.25">
      <c r="B26" s="41">
        <v>5</v>
      </c>
      <c r="C26" s="84">
        <v>20.286000000000001</v>
      </c>
      <c r="D26" s="84">
        <v>20.286000000000001</v>
      </c>
    </row>
    <row r="27" spans="2:7" ht="18.75" x14ac:dyDescent="0.25">
      <c r="B27" s="41">
        <v>6</v>
      </c>
      <c r="C27" s="84">
        <v>20.420000000000002</v>
      </c>
      <c r="D27" s="84">
        <v>20.420000000000002</v>
      </c>
    </row>
    <row r="28" spans="2:7" ht="18.75" x14ac:dyDescent="0.25">
      <c r="B28" s="41">
        <v>7</v>
      </c>
      <c r="C28" s="84">
        <v>22.635999999999999</v>
      </c>
      <c r="D28" s="84">
        <v>22.635999999999999</v>
      </c>
    </row>
    <row r="29" spans="2:7" ht="18.75" x14ac:dyDescent="0.25">
      <c r="B29" s="41">
        <v>8</v>
      </c>
      <c r="C29" s="84">
        <v>21.994</v>
      </c>
      <c r="D29" s="84">
        <v>21.994</v>
      </c>
    </row>
    <row r="30" spans="2:7" ht="18.75" x14ac:dyDescent="0.25">
      <c r="B30" s="41">
        <v>9</v>
      </c>
      <c r="C30" s="84">
        <v>22.97</v>
      </c>
      <c r="D30" s="84">
        <v>22.97</v>
      </c>
    </row>
    <row r="31" spans="2:7" ht="18.75" x14ac:dyDescent="0.25">
      <c r="B31" s="41">
        <v>10</v>
      </c>
      <c r="C31" s="84">
        <v>24.12</v>
      </c>
      <c r="D31" s="84">
        <v>24.12</v>
      </c>
    </row>
    <row r="32" spans="2:7" ht="18.75" x14ac:dyDescent="0.25">
      <c r="B32" s="41">
        <v>11</v>
      </c>
      <c r="C32" s="84">
        <v>24.398</v>
      </c>
      <c r="D32" s="84">
        <v>24.398</v>
      </c>
    </row>
    <row r="33" spans="2:4" ht="18.75" x14ac:dyDescent="0.25">
      <c r="B33" s="41">
        <v>12</v>
      </c>
      <c r="C33" s="84">
        <v>22.702999999999999</v>
      </c>
      <c r="D33" s="84">
        <v>22.702999999999999</v>
      </c>
    </row>
    <row r="34" spans="2:4" ht="18.75" x14ac:dyDescent="0.25">
      <c r="B34" s="41">
        <v>13</v>
      </c>
      <c r="C34" s="84">
        <v>22.899000000000001</v>
      </c>
      <c r="D34" s="84">
        <v>22.899000000000001</v>
      </c>
    </row>
    <row r="35" spans="2:4" ht="18.75" x14ac:dyDescent="0.25">
      <c r="B35" s="41">
        <v>14</v>
      </c>
      <c r="C35" s="84">
        <v>21.939</v>
      </c>
      <c r="D35" s="84">
        <v>21.939</v>
      </c>
    </row>
    <row r="36" spans="2:4" ht="18.75" x14ac:dyDescent="0.25">
      <c r="B36" s="41">
        <v>15</v>
      </c>
      <c r="C36" s="84">
        <v>21.286999999999999</v>
      </c>
      <c r="D36" s="84">
        <v>21.286999999999999</v>
      </c>
    </row>
    <row r="37" spans="2:4" ht="18.75" x14ac:dyDescent="0.25">
      <c r="B37" s="41">
        <v>16</v>
      </c>
      <c r="C37" s="84">
        <v>21.007999999999999</v>
      </c>
      <c r="D37" s="84">
        <v>21.007999999999999</v>
      </c>
    </row>
    <row r="38" spans="2:4" ht="18.75" x14ac:dyDescent="0.25">
      <c r="B38" s="41">
        <v>17</v>
      </c>
      <c r="C38" s="84">
        <v>21.244</v>
      </c>
      <c r="D38" s="84">
        <v>21.244</v>
      </c>
    </row>
    <row r="39" spans="2:4" ht="18.75" x14ac:dyDescent="0.25">
      <c r="B39" s="41">
        <v>18</v>
      </c>
      <c r="C39" s="84">
        <v>21.641999999999999</v>
      </c>
      <c r="D39" s="84">
        <v>21.641999999999999</v>
      </c>
    </row>
    <row r="40" spans="2:4" ht="18.75" x14ac:dyDescent="0.25">
      <c r="B40" s="41">
        <v>19</v>
      </c>
      <c r="C40" s="84">
        <v>21.555</v>
      </c>
      <c r="D40" s="84">
        <v>21.555</v>
      </c>
    </row>
    <row r="41" spans="2:4" ht="18.75" x14ac:dyDescent="0.25">
      <c r="B41" s="41">
        <v>20</v>
      </c>
      <c r="C41" s="84">
        <v>21.533000000000001</v>
      </c>
      <c r="D41" s="84">
        <v>21.533000000000001</v>
      </c>
    </row>
    <row r="42" spans="2:4" ht="18.75" x14ac:dyDescent="0.25">
      <c r="B42" s="41">
        <v>21</v>
      </c>
      <c r="C42" s="84">
        <v>21.713999999999999</v>
      </c>
      <c r="D42" s="84">
        <v>21.713999999999999</v>
      </c>
    </row>
    <row r="43" spans="2:4" ht="18.75" x14ac:dyDescent="0.25">
      <c r="B43" s="41">
        <v>22</v>
      </c>
      <c r="C43" s="84">
        <v>21.658999999999999</v>
      </c>
      <c r="D43" s="84">
        <v>21.658999999999999</v>
      </c>
    </row>
    <row r="44" spans="2:4" ht="18.75" x14ac:dyDescent="0.25">
      <c r="B44" s="41">
        <v>23</v>
      </c>
      <c r="C44" s="84">
        <v>22.09</v>
      </c>
      <c r="D44" s="84">
        <v>22.09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21.950260869565216</v>
      </c>
      <c r="D46" s="87"/>
    </row>
    <row r="47" spans="2:4" ht="31.5" x14ac:dyDescent="0.25">
      <c r="B47" s="44" t="s">
        <v>48</v>
      </c>
      <c r="C47" s="43">
        <f>_xlfn.STDEV.S(C21:C45)</f>
        <v>1.0044959331476384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E11:G11"/>
    <mergeCell ref="E12:G12"/>
    <mergeCell ref="B9:C9"/>
    <mergeCell ref="B10:C10"/>
    <mergeCell ref="B11:C11"/>
    <mergeCell ref="B12:C12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'FOM303-32-Imprimir'!C13</f>
        <v>46056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'FOM303-32-Imprimir'!E13</f>
        <v>46056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21.718</v>
      </c>
      <c r="D21" s="84">
        <v>21.718</v>
      </c>
    </row>
    <row r="22" spans="2:7" ht="18.75" x14ac:dyDescent="0.25">
      <c r="B22" s="41">
        <v>1</v>
      </c>
      <c r="C22" s="84">
        <v>21.692</v>
      </c>
      <c r="D22" s="84">
        <v>21.692</v>
      </c>
    </row>
    <row r="23" spans="2:7" ht="18.75" x14ac:dyDescent="0.25">
      <c r="B23" s="41">
        <v>2</v>
      </c>
      <c r="C23" s="84">
        <v>21.876000000000001</v>
      </c>
      <c r="D23" s="84">
        <v>21.876000000000001</v>
      </c>
    </row>
    <row r="24" spans="2:7" ht="18.75" x14ac:dyDescent="0.25">
      <c r="B24" s="41">
        <v>3</v>
      </c>
      <c r="C24" s="84">
        <v>21.873999999999999</v>
      </c>
      <c r="D24" s="84">
        <v>21.873999999999999</v>
      </c>
    </row>
    <row r="25" spans="2:7" ht="18.75" x14ac:dyDescent="0.25">
      <c r="B25" s="41">
        <v>4</v>
      </c>
      <c r="C25" s="84">
        <v>22.064</v>
      </c>
      <c r="D25" s="84">
        <v>22.064</v>
      </c>
    </row>
    <row r="26" spans="2:7" ht="18.75" x14ac:dyDescent="0.25">
      <c r="B26" s="41">
        <v>5</v>
      </c>
      <c r="C26" s="84">
        <v>22.265000000000001</v>
      </c>
      <c r="D26" s="84">
        <v>22.265000000000001</v>
      </c>
    </row>
    <row r="27" spans="2:7" ht="18.75" x14ac:dyDescent="0.25">
      <c r="B27" s="41">
        <v>6</v>
      </c>
      <c r="C27" s="84">
        <v>22.227</v>
      </c>
      <c r="D27" s="84">
        <v>22.227</v>
      </c>
    </row>
    <row r="28" spans="2:7" ht="18.75" x14ac:dyDescent="0.25">
      <c r="B28" s="41">
        <v>7</v>
      </c>
      <c r="C28" s="84">
        <v>22.788</v>
      </c>
      <c r="D28" s="84">
        <v>22.788</v>
      </c>
    </row>
    <row r="29" spans="2:7" ht="18.75" x14ac:dyDescent="0.25">
      <c r="B29" s="41">
        <v>8</v>
      </c>
      <c r="C29" s="84">
        <v>21.986000000000001</v>
      </c>
      <c r="D29" s="84">
        <v>21.986000000000001</v>
      </c>
    </row>
    <row r="30" spans="2:7" ht="18.75" x14ac:dyDescent="0.25">
      <c r="B30" s="41">
        <v>9</v>
      </c>
      <c r="C30" s="84">
        <v>23.882999999999999</v>
      </c>
      <c r="D30" s="84">
        <v>23.882999999999999</v>
      </c>
    </row>
    <row r="31" spans="2:7" ht="18.75" x14ac:dyDescent="0.25">
      <c r="B31" s="41">
        <v>10</v>
      </c>
      <c r="C31" s="84">
        <v>23.734000000000002</v>
      </c>
      <c r="D31" s="84">
        <v>23.734000000000002</v>
      </c>
    </row>
    <row r="32" spans="2:7" ht="18.75" x14ac:dyDescent="0.25">
      <c r="B32" s="41">
        <v>11</v>
      </c>
      <c r="C32" s="84">
        <v>23.844999999999999</v>
      </c>
      <c r="D32" s="84">
        <v>23.844999999999999</v>
      </c>
    </row>
    <row r="33" spans="2:4" ht="18.75" x14ac:dyDescent="0.25">
      <c r="B33" s="41">
        <v>12</v>
      </c>
      <c r="C33" s="84">
        <v>24.425000000000001</v>
      </c>
      <c r="D33" s="84">
        <v>24.425000000000001</v>
      </c>
    </row>
    <row r="34" spans="2:4" ht="18.75" x14ac:dyDescent="0.25">
      <c r="B34" s="41">
        <v>13</v>
      </c>
      <c r="C34" s="84">
        <v>23.757999999999999</v>
      </c>
      <c r="D34" s="84">
        <v>23.757999999999999</v>
      </c>
    </row>
    <row r="35" spans="2:4" ht="18.75" x14ac:dyDescent="0.25">
      <c r="B35" s="41">
        <v>14</v>
      </c>
      <c r="C35" s="84">
        <v>22.759</v>
      </c>
      <c r="D35" s="84">
        <v>22.759</v>
      </c>
    </row>
    <row r="36" spans="2:4" ht="18.75" x14ac:dyDescent="0.25">
      <c r="B36" s="41">
        <v>15</v>
      </c>
      <c r="C36" s="84">
        <v>22.815999999999999</v>
      </c>
      <c r="D36" s="84">
        <v>22.815999999999999</v>
      </c>
    </row>
    <row r="37" spans="2:4" ht="18.75" x14ac:dyDescent="0.25">
      <c r="B37" s="41">
        <v>16</v>
      </c>
      <c r="C37" s="84">
        <v>21.698</v>
      </c>
      <c r="D37" s="84">
        <v>21.698</v>
      </c>
    </row>
    <row r="38" spans="2:4" ht="18.75" x14ac:dyDescent="0.25">
      <c r="B38" s="41">
        <v>17</v>
      </c>
      <c r="C38" s="84">
        <v>21.14</v>
      </c>
      <c r="D38" s="84">
        <v>21.14</v>
      </c>
    </row>
    <row r="39" spans="2:4" ht="18.75" x14ac:dyDescent="0.25">
      <c r="B39" s="41">
        <v>18</v>
      </c>
      <c r="C39" s="84">
        <v>21.635000000000002</v>
      </c>
      <c r="D39" s="84">
        <v>21.635000000000002</v>
      </c>
    </row>
    <row r="40" spans="2:4" ht="18.75" x14ac:dyDescent="0.25">
      <c r="B40" s="41">
        <v>19</v>
      </c>
      <c r="C40" s="84">
        <v>21.187000000000001</v>
      </c>
      <c r="D40" s="84">
        <v>21.187000000000001</v>
      </c>
    </row>
    <row r="41" spans="2:4" ht="18.75" x14ac:dyDescent="0.25">
      <c r="B41" s="41">
        <v>20</v>
      </c>
      <c r="C41" s="84">
        <v>21.542000000000002</v>
      </c>
      <c r="D41" s="84">
        <v>21.542000000000002</v>
      </c>
    </row>
    <row r="42" spans="2:4" ht="18.75" x14ac:dyDescent="0.25">
      <c r="B42" s="41">
        <v>21</v>
      </c>
      <c r="C42" s="84">
        <v>21.797999999999998</v>
      </c>
      <c r="D42" s="84">
        <v>21.797999999999998</v>
      </c>
    </row>
    <row r="43" spans="2:4" ht="18.75" x14ac:dyDescent="0.25">
      <c r="B43" s="41">
        <v>22</v>
      </c>
      <c r="C43" s="84">
        <v>21.494</v>
      </c>
      <c r="D43" s="84">
        <v>21.494</v>
      </c>
    </row>
    <row r="44" spans="2:4" ht="18.75" x14ac:dyDescent="0.25">
      <c r="B44" s="41">
        <v>23</v>
      </c>
      <c r="C44" s="84">
        <v>21.611000000000001</v>
      </c>
      <c r="D44" s="84">
        <v>21.611000000000001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22.352043478260867</v>
      </c>
      <c r="D46" s="87"/>
    </row>
    <row r="47" spans="2:4" ht="31.5" x14ac:dyDescent="0.25">
      <c r="B47" s="44" t="s">
        <v>48</v>
      </c>
      <c r="C47" s="43">
        <f>_xlfn.STDEV.S(C21:C45)</f>
        <v>0.9523515432635794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'FOM303-32-Imprimir'!C14</f>
        <v>46057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'FOM303-32-Imprimir'!E14</f>
        <v>46057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21.626000000000001</v>
      </c>
      <c r="D21" s="84">
        <v>21.626000000000001</v>
      </c>
    </row>
    <row r="22" spans="2:7" ht="18.75" x14ac:dyDescent="0.25">
      <c r="B22" s="41">
        <v>1</v>
      </c>
      <c r="C22" s="84">
        <v>22.106999999999999</v>
      </c>
      <c r="D22" s="84">
        <v>22.106999999999999</v>
      </c>
    </row>
    <row r="23" spans="2:7" ht="18.75" x14ac:dyDescent="0.25">
      <c r="B23" s="41">
        <v>2</v>
      </c>
      <c r="C23" s="84">
        <v>22.238</v>
      </c>
      <c r="D23" s="84">
        <v>22.238</v>
      </c>
    </row>
    <row r="24" spans="2:7" ht="18.75" x14ac:dyDescent="0.25">
      <c r="B24" s="41">
        <v>3</v>
      </c>
      <c r="C24" s="84">
        <v>23.152999999999999</v>
      </c>
      <c r="D24" s="84">
        <v>23.152999999999999</v>
      </c>
    </row>
    <row r="25" spans="2:7" ht="18.75" x14ac:dyDescent="0.25">
      <c r="B25" s="41">
        <v>4</v>
      </c>
      <c r="C25" s="84">
        <v>23.088999999999999</v>
      </c>
      <c r="D25" s="84">
        <v>23.088999999999999</v>
      </c>
    </row>
    <row r="26" spans="2:7" ht="18.75" x14ac:dyDescent="0.25">
      <c r="B26" s="41">
        <v>5</v>
      </c>
      <c r="C26" s="84">
        <v>22.873999999999999</v>
      </c>
      <c r="D26" s="84">
        <v>22.873999999999999</v>
      </c>
    </row>
    <row r="27" spans="2:7" ht="18.75" x14ac:dyDescent="0.25">
      <c r="B27" s="41">
        <v>6</v>
      </c>
      <c r="C27" s="84">
        <v>22.1</v>
      </c>
      <c r="D27" s="84">
        <v>22.1</v>
      </c>
    </row>
    <row r="28" spans="2:7" ht="18.75" x14ac:dyDescent="0.25">
      <c r="B28" s="41">
        <v>7</v>
      </c>
      <c r="C28" s="84">
        <v>21.04</v>
      </c>
      <c r="D28" s="84">
        <v>21.04</v>
      </c>
    </row>
    <row r="29" spans="2:7" ht="18.75" x14ac:dyDescent="0.25">
      <c r="B29" s="41">
        <v>8</v>
      </c>
      <c r="C29" s="84">
        <v>21.396000000000001</v>
      </c>
      <c r="D29" s="84">
        <v>21.396000000000001</v>
      </c>
    </row>
    <row r="30" spans="2:7" ht="18.75" x14ac:dyDescent="0.25">
      <c r="B30" s="41">
        <v>9</v>
      </c>
      <c r="C30" s="84">
        <v>23.792999999999999</v>
      </c>
      <c r="D30" s="84">
        <v>23.792999999999999</v>
      </c>
    </row>
    <row r="31" spans="2:7" ht="18.75" x14ac:dyDescent="0.25">
      <c r="B31" s="41">
        <v>10</v>
      </c>
      <c r="C31" s="84">
        <v>24.187000000000001</v>
      </c>
      <c r="D31" s="84">
        <v>24.187000000000001</v>
      </c>
    </row>
    <row r="32" spans="2:7" ht="18.75" x14ac:dyDescent="0.25">
      <c r="B32" s="41">
        <v>11</v>
      </c>
      <c r="C32" s="84">
        <v>24.175999999999998</v>
      </c>
      <c r="D32" s="84">
        <v>24.175999999999998</v>
      </c>
    </row>
    <row r="33" spans="2:4" ht="18.75" x14ac:dyDescent="0.25">
      <c r="B33" s="41">
        <v>12</v>
      </c>
      <c r="C33" s="84">
        <v>23.895</v>
      </c>
      <c r="D33" s="84">
        <v>23.895</v>
      </c>
    </row>
    <row r="34" spans="2:4" ht="18.75" x14ac:dyDescent="0.25">
      <c r="B34" s="41">
        <v>13</v>
      </c>
      <c r="C34" s="84">
        <v>23.85</v>
      </c>
      <c r="D34" s="84">
        <v>23.85</v>
      </c>
    </row>
    <row r="35" spans="2:4" ht="18.75" x14ac:dyDescent="0.25">
      <c r="B35" s="41">
        <v>14</v>
      </c>
      <c r="C35" s="84">
        <v>23.643000000000001</v>
      </c>
      <c r="D35" s="84">
        <v>23.643000000000001</v>
      </c>
    </row>
    <row r="36" spans="2:4" ht="18.75" x14ac:dyDescent="0.25">
      <c r="B36" s="41">
        <v>15</v>
      </c>
      <c r="C36" s="84">
        <v>23.859000000000002</v>
      </c>
      <c r="D36" s="84">
        <v>23.859000000000002</v>
      </c>
    </row>
    <row r="37" spans="2:4" ht="18.75" x14ac:dyDescent="0.25">
      <c r="B37" s="41">
        <v>16</v>
      </c>
      <c r="C37" s="84">
        <v>22.373000000000001</v>
      </c>
      <c r="D37" s="84">
        <v>22.373000000000001</v>
      </c>
    </row>
    <row r="38" spans="2:4" ht="18.75" x14ac:dyDescent="0.25">
      <c r="B38" s="41">
        <v>17</v>
      </c>
      <c r="C38" s="84">
        <v>20.768000000000001</v>
      </c>
      <c r="D38" s="84">
        <v>20.768000000000001</v>
      </c>
    </row>
    <row r="39" spans="2:4" ht="18.75" x14ac:dyDescent="0.25">
      <c r="B39" s="41">
        <v>18</v>
      </c>
      <c r="C39" s="84">
        <v>21.501000000000001</v>
      </c>
      <c r="D39" s="84">
        <v>21.501000000000001</v>
      </c>
    </row>
    <row r="40" spans="2:4" ht="18.75" x14ac:dyDescent="0.25">
      <c r="B40" s="41">
        <v>19</v>
      </c>
      <c r="C40" s="84">
        <v>21.408999999999999</v>
      </c>
      <c r="D40" s="84">
        <v>21.408999999999999</v>
      </c>
    </row>
    <row r="41" spans="2:4" ht="18.75" x14ac:dyDescent="0.25">
      <c r="B41" s="41">
        <v>20</v>
      </c>
      <c r="C41" s="84">
        <v>21.324999999999999</v>
      </c>
      <c r="D41" s="84">
        <v>21.324999999999999</v>
      </c>
    </row>
    <row r="42" spans="2:4" ht="18.75" x14ac:dyDescent="0.25">
      <c r="B42" s="41">
        <v>21</v>
      </c>
      <c r="C42" s="84">
        <v>21.611000000000001</v>
      </c>
      <c r="D42" s="84">
        <v>21.611000000000001</v>
      </c>
    </row>
    <row r="43" spans="2:4" ht="18.75" x14ac:dyDescent="0.25">
      <c r="B43" s="41">
        <v>22</v>
      </c>
      <c r="C43" s="84">
        <v>21.751999999999999</v>
      </c>
      <c r="D43" s="84">
        <v>21.751999999999999</v>
      </c>
    </row>
    <row r="44" spans="2:4" ht="18.75" x14ac:dyDescent="0.25">
      <c r="B44" s="41">
        <v>23</v>
      </c>
      <c r="C44" s="84">
        <v>21.632999999999999</v>
      </c>
      <c r="D44" s="84">
        <v>21.632999999999999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/>
      <c r="D46" s="87"/>
    </row>
    <row r="47" spans="2:4" ht="31.5" x14ac:dyDescent="0.25">
      <c r="B47" s="44" t="s">
        <v>48</v>
      </c>
      <c r="C47" s="43">
        <f>_xlfn.STDEV.S(C21:C45)</f>
        <v>1.1098474989900609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'FOM303-32-Imprimir'!C15</f>
        <v>46058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'FOM303-32-Imprimir'!E15</f>
        <v>46058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21.442</v>
      </c>
      <c r="D21" s="84">
        <v>21.442</v>
      </c>
    </row>
    <row r="22" spans="2:7" ht="18.75" x14ac:dyDescent="0.25">
      <c r="B22" s="41">
        <v>1</v>
      </c>
      <c r="C22" s="84">
        <v>21.542000000000002</v>
      </c>
      <c r="D22" s="84">
        <v>21.542000000000002</v>
      </c>
    </row>
    <row r="23" spans="2:7" ht="18.75" x14ac:dyDescent="0.25">
      <c r="B23" s="41">
        <v>2</v>
      </c>
      <c r="C23" s="84">
        <v>21.641999999999999</v>
      </c>
      <c r="D23" s="84">
        <v>21.641999999999999</v>
      </c>
    </row>
    <row r="24" spans="2:7" ht="18.75" x14ac:dyDescent="0.25">
      <c r="B24" s="41">
        <v>3</v>
      </c>
      <c r="C24" s="84">
        <v>21.901</v>
      </c>
      <c r="D24" s="84">
        <v>21.901</v>
      </c>
    </row>
    <row r="25" spans="2:7" ht="18.75" x14ac:dyDescent="0.25">
      <c r="B25" s="41">
        <v>4</v>
      </c>
      <c r="C25" s="84">
        <v>21.905000000000001</v>
      </c>
      <c r="D25" s="84">
        <v>21.905000000000001</v>
      </c>
    </row>
    <row r="26" spans="2:7" ht="18.75" x14ac:dyDescent="0.25">
      <c r="B26" s="41">
        <v>5</v>
      </c>
      <c r="C26" s="84">
        <v>21.547999999999998</v>
      </c>
      <c r="D26" s="84">
        <v>21.547999999999998</v>
      </c>
    </row>
    <row r="27" spans="2:7" ht="18.75" x14ac:dyDescent="0.25">
      <c r="B27" s="41">
        <v>6</v>
      </c>
      <c r="C27" s="84">
        <v>21.286999999999999</v>
      </c>
      <c r="D27" s="84">
        <v>21.286999999999999</v>
      </c>
    </row>
    <row r="28" spans="2:7" ht="18.75" x14ac:dyDescent="0.25">
      <c r="B28" s="41">
        <v>7</v>
      </c>
      <c r="C28" s="84">
        <v>21.082999999999998</v>
      </c>
      <c r="D28" s="84">
        <v>21.082999999999998</v>
      </c>
    </row>
    <row r="29" spans="2:7" ht="18.75" x14ac:dyDescent="0.25">
      <c r="B29" s="41">
        <v>8</v>
      </c>
      <c r="C29" s="84">
        <v>21.224</v>
      </c>
      <c r="D29" s="84">
        <v>21.224</v>
      </c>
    </row>
    <row r="30" spans="2:7" ht="18.75" x14ac:dyDescent="0.25">
      <c r="B30" s="41">
        <v>9</v>
      </c>
      <c r="C30" s="84">
        <v>21.888000000000002</v>
      </c>
      <c r="D30" s="84">
        <v>21.888000000000002</v>
      </c>
    </row>
    <row r="31" spans="2:7" ht="18.75" x14ac:dyDescent="0.25">
      <c r="B31" s="41">
        <v>10</v>
      </c>
      <c r="C31" s="84">
        <v>23.218</v>
      </c>
      <c r="D31" s="84">
        <v>23.218</v>
      </c>
    </row>
    <row r="32" spans="2:7" ht="18.75" x14ac:dyDescent="0.25">
      <c r="B32" s="41">
        <v>11</v>
      </c>
      <c r="C32" s="84">
        <v>23.899000000000001</v>
      </c>
      <c r="D32" s="84">
        <v>23.899000000000001</v>
      </c>
    </row>
    <row r="33" spans="2:4" ht="18.75" x14ac:dyDescent="0.25">
      <c r="B33" s="41">
        <v>12</v>
      </c>
      <c r="C33" s="84">
        <v>23.872</v>
      </c>
      <c r="D33" s="84">
        <v>23.872</v>
      </c>
    </row>
    <row r="34" spans="2:4" ht="18.75" x14ac:dyDescent="0.25">
      <c r="B34" s="41">
        <v>13</v>
      </c>
      <c r="C34" s="84">
        <v>22.661000000000001</v>
      </c>
      <c r="D34" s="84">
        <v>22.661000000000001</v>
      </c>
    </row>
    <row r="35" spans="2:4" ht="18.75" x14ac:dyDescent="0.25">
      <c r="B35" s="41">
        <v>14</v>
      </c>
      <c r="C35" s="84">
        <v>21.388999999999999</v>
      </c>
      <c r="D35" s="84">
        <v>21.388999999999999</v>
      </c>
    </row>
    <row r="36" spans="2:4" ht="18.75" x14ac:dyDescent="0.25">
      <c r="B36" s="41">
        <v>15</v>
      </c>
      <c r="C36" s="84">
        <v>21.106999999999999</v>
      </c>
      <c r="D36" s="84">
        <v>21.106999999999999</v>
      </c>
    </row>
    <row r="37" spans="2:4" ht="18.75" x14ac:dyDescent="0.25">
      <c r="B37" s="41">
        <v>16</v>
      </c>
      <c r="C37" s="84">
        <v>20.542000000000002</v>
      </c>
      <c r="D37" s="84">
        <v>20.542000000000002</v>
      </c>
    </row>
    <row r="38" spans="2:4" ht="18.75" x14ac:dyDescent="0.25">
      <c r="B38" s="41">
        <v>17</v>
      </c>
      <c r="C38" s="84">
        <v>20.79</v>
      </c>
      <c r="D38" s="84">
        <v>20.79</v>
      </c>
    </row>
    <row r="39" spans="2:4" ht="18.75" x14ac:dyDescent="0.25">
      <c r="B39" s="41">
        <v>18</v>
      </c>
      <c r="C39" s="84">
        <v>21.818000000000001</v>
      </c>
      <c r="D39" s="84">
        <v>21.818000000000001</v>
      </c>
    </row>
    <row r="40" spans="2:4" ht="18.75" x14ac:dyDescent="0.25">
      <c r="B40" s="41">
        <v>19</v>
      </c>
      <c r="C40" s="84">
        <v>21.331</v>
      </c>
      <c r="D40" s="84">
        <v>21.331</v>
      </c>
    </row>
    <row r="41" spans="2:4" ht="18.75" x14ac:dyDescent="0.25">
      <c r="B41" s="41">
        <v>20</v>
      </c>
      <c r="C41" s="84">
        <v>21.785</v>
      </c>
      <c r="D41" s="84">
        <v>21.785</v>
      </c>
    </row>
    <row r="42" spans="2:4" ht="18.75" x14ac:dyDescent="0.25">
      <c r="B42" s="41">
        <v>21</v>
      </c>
      <c r="C42" s="84">
        <v>21.725999999999999</v>
      </c>
      <c r="D42" s="84">
        <v>21.725999999999999</v>
      </c>
    </row>
    <row r="43" spans="2:4" ht="18.75" x14ac:dyDescent="0.25">
      <c r="B43" s="41">
        <v>22</v>
      </c>
      <c r="C43" s="84">
        <v>21.725000000000001</v>
      </c>
      <c r="D43" s="84">
        <v>21.725000000000001</v>
      </c>
    </row>
    <row r="44" spans="2:4" ht="18.75" x14ac:dyDescent="0.25">
      <c r="B44" s="41">
        <v>23</v>
      </c>
      <c r="C44" s="84">
        <v>21.77</v>
      </c>
      <c r="D44" s="84">
        <v>21.77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21.811</v>
      </c>
      <c r="D46" s="87"/>
    </row>
    <row r="47" spans="2:4" ht="31.5" x14ac:dyDescent="0.25">
      <c r="B47" s="44" t="s">
        <v>48</v>
      </c>
      <c r="C47" s="43">
        <f>_xlfn.STDEV.S(C21:C45)</f>
        <v>0.84328848086317543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'FOM303-32-Imprimir'!C16</f>
        <v>46059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'FOM303-32-Imprimir'!E16</f>
        <v>46059</v>
      </c>
      <c r="C12" s="82"/>
      <c r="D12" s="22" t="s">
        <v>43</v>
      </c>
      <c r="E12" s="83"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22.373999999999999</v>
      </c>
      <c r="D21" s="84">
        <v>22.373999999999999</v>
      </c>
    </row>
    <row r="22" spans="2:7" ht="18.75" x14ac:dyDescent="0.25">
      <c r="B22" s="41">
        <v>1</v>
      </c>
      <c r="C22" s="84">
        <v>22.478999999999999</v>
      </c>
      <c r="D22" s="84">
        <v>22.478999999999999</v>
      </c>
    </row>
    <row r="23" spans="2:7" ht="18.75" x14ac:dyDescent="0.25">
      <c r="B23" s="41">
        <v>2</v>
      </c>
      <c r="C23" s="84">
        <v>23.143999999999998</v>
      </c>
      <c r="D23" s="84">
        <v>23.143999999999998</v>
      </c>
    </row>
    <row r="24" spans="2:7" ht="18.75" x14ac:dyDescent="0.25">
      <c r="B24" s="41">
        <v>3</v>
      </c>
      <c r="C24" s="84">
        <v>23.132999999999999</v>
      </c>
      <c r="D24" s="84">
        <v>23.132999999999999</v>
      </c>
    </row>
    <row r="25" spans="2:7" ht="18.75" x14ac:dyDescent="0.25">
      <c r="B25" s="41">
        <v>4</v>
      </c>
      <c r="C25" s="84">
        <v>22.864999999999998</v>
      </c>
      <c r="D25" s="84">
        <v>22.864999999999998</v>
      </c>
    </row>
    <row r="26" spans="2:7" ht="18.75" x14ac:dyDescent="0.25">
      <c r="B26" s="41">
        <v>5</v>
      </c>
      <c r="C26" s="84">
        <v>22.722000000000001</v>
      </c>
      <c r="D26" s="84">
        <v>22.722000000000001</v>
      </c>
    </row>
    <row r="27" spans="2:7" ht="18.75" x14ac:dyDescent="0.25">
      <c r="B27" s="41">
        <v>6</v>
      </c>
      <c r="C27" s="84">
        <v>22.306999999999999</v>
      </c>
      <c r="D27" s="84">
        <v>22.306999999999999</v>
      </c>
    </row>
    <row r="28" spans="2:7" ht="18.75" x14ac:dyDescent="0.25">
      <c r="B28" s="41">
        <v>7</v>
      </c>
      <c r="C28" s="84">
        <v>21.231000000000002</v>
      </c>
      <c r="D28" s="84">
        <v>21.231000000000002</v>
      </c>
    </row>
    <row r="29" spans="2:7" ht="18.75" x14ac:dyDescent="0.25">
      <c r="B29" s="41">
        <v>8</v>
      </c>
      <c r="C29" s="84">
        <v>21.329000000000001</v>
      </c>
      <c r="D29" s="84">
        <v>21.329000000000001</v>
      </c>
    </row>
    <row r="30" spans="2:7" ht="18.75" x14ac:dyDescent="0.25">
      <c r="B30" s="41">
        <v>9</v>
      </c>
      <c r="C30" s="84">
        <v>22.7</v>
      </c>
      <c r="D30" s="84">
        <v>22.7</v>
      </c>
    </row>
    <row r="31" spans="2:7" ht="18.75" x14ac:dyDescent="0.25">
      <c r="B31" s="41">
        <v>10</v>
      </c>
      <c r="C31" s="84">
        <v>23.35</v>
      </c>
      <c r="D31" s="84">
        <v>23.35</v>
      </c>
    </row>
    <row r="32" spans="2:7" ht="18.75" x14ac:dyDescent="0.25">
      <c r="B32" s="41">
        <v>11</v>
      </c>
      <c r="C32" s="84">
        <v>22.462</v>
      </c>
      <c r="D32" s="84">
        <v>22.462</v>
      </c>
    </row>
    <row r="33" spans="2:4" ht="18.75" x14ac:dyDescent="0.25">
      <c r="B33" s="41">
        <v>12</v>
      </c>
      <c r="C33" s="84">
        <v>21.388000000000002</v>
      </c>
      <c r="D33" s="84">
        <v>21.388000000000002</v>
      </c>
    </row>
    <row r="34" spans="2:4" ht="18.75" x14ac:dyDescent="0.25">
      <c r="B34" s="41">
        <v>13</v>
      </c>
      <c r="C34" s="84">
        <v>21.574000000000002</v>
      </c>
      <c r="D34" s="84">
        <v>21.574000000000002</v>
      </c>
    </row>
    <row r="35" spans="2:4" ht="18.75" x14ac:dyDescent="0.25">
      <c r="B35" s="41">
        <v>14</v>
      </c>
      <c r="C35" s="84">
        <v>21.497</v>
      </c>
      <c r="D35" s="84">
        <v>21.497</v>
      </c>
    </row>
    <row r="36" spans="2:4" ht="18.75" x14ac:dyDescent="0.25">
      <c r="B36" s="41">
        <v>15</v>
      </c>
      <c r="C36" s="84">
        <v>21.446999999999999</v>
      </c>
      <c r="D36" s="84">
        <v>21.446999999999999</v>
      </c>
    </row>
    <row r="37" spans="2:4" ht="18.75" x14ac:dyDescent="0.25">
      <c r="B37" s="41">
        <v>16</v>
      </c>
      <c r="C37" s="84">
        <v>21.437999999999999</v>
      </c>
      <c r="D37" s="84">
        <v>21.437999999999999</v>
      </c>
    </row>
    <row r="38" spans="2:4" ht="18.75" x14ac:dyDescent="0.25">
      <c r="B38" s="41">
        <v>17</v>
      </c>
      <c r="C38" s="84">
        <v>22.428000000000001</v>
      </c>
      <c r="D38" s="84">
        <v>22.428000000000001</v>
      </c>
    </row>
    <row r="39" spans="2:4" ht="18.75" x14ac:dyDescent="0.25">
      <c r="B39" s="41">
        <v>18</v>
      </c>
      <c r="C39" s="84">
        <v>23.103999999999999</v>
      </c>
      <c r="D39" s="84">
        <v>23.103999999999999</v>
      </c>
    </row>
    <row r="40" spans="2:4" ht="18.75" x14ac:dyDescent="0.25">
      <c r="B40" s="41">
        <v>19</v>
      </c>
      <c r="C40" s="84">
        <v>22.562000000000001</v>
      </c>
      <c r="D40" s="84">
        <v>22.562000000000001</v>
      </c>
    </row>
    <row r="41" spans="2:4" ht="18.75" x14ac:dyDescent="0.25">
      <c r="B41" s="41">
        <v>20</v>
      </c>
      <c r="C41" s="84">
        <v>23.492999999999999</v>
      </c>
      <c r="D41" s="84">
        <v>23.492999999999999</v>
      </c>
    </row>
    <row r="42" spans="2:4" ht="18.75" x14ac:dyDescent="0.25">
      <c r="B42" s="41">
        <v>21</v>
      </c>
      <c r="C42" s="84">
        <v>24.388999999999999</v>
      </c>
      <c r="D42" s="84">
        <v>24.388999999999999</v>
      </c>
    </row>
    <row r="43" spans="2:4" ht="18.75" x14ac:dyDescent="0.25">
      <c r="B43" s="41">
        <v>22</v>
      </c>
      <c r="C43" s="84">
        <v>24.324999999999999</v>
      </c>
      <c r="D43" s="84">
        <v>24.324999999999999</v>
      </c>
    </row>
    <row r="44" spans="2:4" ht="18.75" x14ac:dyDescent="0.25">
      <c r="B44" s="41">
        <v>23</v>
      </c>
      <c r="C44" s="84">
        <v>23.614000000000001</v>
      </c>
      <c r="D44" s="84">
        <v>23.614000000000001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22.564391304347826</v>
      </c>
      <c r="D46" s="87"/>
    </row>
    <row r="47" spans="2:4" ht="31.5" x14ac:dyDescent="0.25">
      <c r="B47" s="44" t="s">
        <v>48</v>
      </c>
      <c r="C47" s="43">
        <f>_xlfn.STDEV.S(C21:C45)</f>
        <v>0.92212094741778095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'FOM303-32-Imprimir'!C17</f>
        <v>46060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'FOM303-32-Imprimir'!E17</f>
        <v>46060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23.704000000000001</v>
      </c>
      <c r="D21" s="84">
        <v>23.704000000000001</v>
      </c>
    </row>
    <row r="22" spans="2:7" ht="18.75" x14ac:dyDescent="0.25">
      <c r="B22" s="41">
        <v>1</v>
      </c>
      <c r="C22" s="84">
        <v>23.056000000000001</v>
      </c>
      <c r="D22" s="84">
        <v>23.056000000000001</v>
      </c>
    </row>
    <row r="23" spans="2:7" ht="18.75" x14ac:dyDescent="0.25">
      <c r="B23" s="41">
        <v>2</v>
      </c>
      <c r="C23" s="84">
        <v>22.856000000000002</v>
      </c>
      <c r="D23" s="84">
        <v>22.856000000000002</v>
      </c>
    </row>
    <row r="24" spans="2:7" ht="18.75" x14ac:dyDescent="0.25">
      <c r="B24" s="41">
        <v>3</v>
      </c>
      <c r="C24" s="84">
        <v>22.795000000000002</v>
      </c>
      <c r="D24" s="84">
        <v>22.795000000000002</v>
      </c>
    </row>
    <row r="25" spans="2:7" ht="18.75" x14ac:dyDescent="0.25">
      <c r="B25" s="41">
        <v>4</v>
      </c>
      <c r="C25" s="84">
        <v>23.638000000000002</v>
      </c>
      <c r="D25" s="84">
        <v>23.638000000000002</v>
      </c>
    </row>
    <row r="26" spans="2:7" ht="18.75" x14ac:dyDescent="0.25">
      <c r="B26" s="41">
        <v>5</v>
      </c>
      <c r="C26" s="84">
        <v>23.669</v>
      </c>
      <c r="D26" s="84">
        <v>23.669</v>
      </c>
    </row>
    <row r="27" spans="2:7" ht="18.75" x14ac:dyDescent="0.25">
      <c r="B27" s="41">
        <v>6</v>
      </c>
      <c r="C27" s="84">
        <v>23.516999999999999</v>
      </c>
      <c r="D27" s="84">
        <v>23.516999999999999</v>
      </c>
    </row>
    <row r="28" spans="2:7" ht="18.75" x14ac:dyDescent="0.25">
      <c r="B28" s="41">
        <v>7</v>
      </c>
      <c r="C28" s="84">
        <v>23.66</v>
      </c>
      <c r="D28" s="84">
        <v>23.66</v>
      </c>
    </row>
    <row r="29" spans="2:7" ht="18.75" x14ac:dyDescent="0.25">
      <c r="B29" s="41">
        <v>8</v>
      </c>
      <c r="C29" s="84">
        <v>23.791</v>
      </c>
      <c r="D29" s="84">
        <v>23.791</v>
      </c>
    </row>
    <row r="30" spans="2:7" ht="18.75" x14ac:dyDescent="0.25">
      <c r="B30" s="41">
        <v>9</v>
      </c>
      <c r="C30" s="84">
        <v>23.713000000000001</v>
      </c>
      <c r="D30" s="84">
        <v>23.713000000000001</v>
      </c>
    </row>
    <row r="31" spans="2:7" ht="18.75" x14ac:dyDescent="0.25">
      <c r="B31" s="41">
        <v>10</v>
      </c>
      <c r="C31" s="84">
        <v>23.971</v>
      </c>
      <c r="D31" s="84">
        <v>23.971</v>
      </c>
    </row>
    <row r="32" spans="2:7" ht="18.75" x14ac:dyDescent="0.25">
      <c r="B32" s="41">
        <v>11</v>
      </c>
      <c r="C32" s="84">
        <v>23.957999999999998</v>
      </c>
      <c r="D32" s="84">
        <v>23.957999999999998</v>
      </c>
    </row>
    <row r="33" spans="2:4" ht="18.75" x14ac:dyDescent="0.25">
      <c r="B33" s="41">
        <v>12</v>
      </c>
      <c r="C33" s="84">
        <v>23.731999999999999</v>
      </c>
      <c r="D33" s="84">
        <v>23.731999999999999</v>
      </c>
    </row>
    <row r="34" spans="2:4" ht="18.75" x14ac:dyDescent="0.25">
      <c r="B34" s="41">
        <v>13</v>
      </c>
      <c r="C34" s="84">
        <v>23.497</v>
      </c>
      <c r="D34" s="84">
        <v>23.497</v>
      </c>
    </row>
    <row r="35" spans="2:4" ht="18.75" x14ac:dyDescent="0.25">
      <c r="B35" s="41">
        <v>14</v>
      </c>
      <c r="C35" s="84">
        <v>22.738</v>
      </c>
      <c r="D35" s="84">
        <v>22.738</v>
      </c>
    </row>
    <row r="36" spans="2:4" ht="18.75" x14ac:dyDescent="0.25">
      <c r="B36" s="41">
        <v>15</v>
      </c>
      <c r="C36" s="84">
        <v>22.042999999999999</v>
      </c>
      <c r="D36" s="84">
        <v>22.042999999999999</v>
      </c>
    </row>
    <row r="37" spans="2:4" ht="18.75" x14ac:dyDescent="0.25">
      <c r="B37" s="41">
        <v>16</v>
      </c>
      <c r="C37" s="84">
        <v>21.87</v>
      </c>
      <c r="D37" s="84">
        <v>21.87</v>
      </c>
    </row>
    <row r="38" spans="2:4" ht="18.75" x14ac:dyDescent="0.25">
      <c r="B38" s="41">
        <v>17</v>
      </c>
      <c r="C38" s="84">
        <v>23.321999999999999</v>
      </c>
      <c r="D38" s="84">
        <v>23.321999999999999</v>
      </c>
    </row>
    <row r="39" spans="2:4" ht="18.75" x14ac:dyDescent="0.25">
      <c r="B39" s="41">
        <v>18</v>
      </c>
      <c r="C39" s="84">
        <v>23.472999999999999</v>
      </c>
      <c r="D39" s="84">
        <v>23.472999999999999</v>
      </c>
    </row>
    <row r="40" spans="2:4" ht="18.75" x14ac:dyDescent="0.25">
      <c r="B40" s="41">
        <v>19</v>
      </c>
      <c r="C40" s="84">
        <v>24.106000000000002</v>
      </c>
      <c r="D40" s="84">
        <v>24.106000000000002</v>
      </c>
    </row>
    <row r="41" spans="2:4" ht="18.75" x14ac:dyDescent="0.25">
      <c r="B41" s="41">
        <v>20</v>
      </c>
      <c r="C41" s="84">
        <v>23.792000000000002</v>
      </c>
      <c r="D41" s="84">
        <v>23.792000000000002</v>
      </c>
    </row>
    <row r="42" spans="2:4" ht="18.75" x14ac:dyDescent="0.25">
      <c r="B42" s="41">
        <v>21</v>
      </c>
      <c r="C42" s="84">
        <v>23.31</v>
      </c>
      <c r="D42" s="84">
        <v>23.31</v>
      </c>
    </row>
    <row r="43" spans="2:4" ht="18.75" x14ac:dyDescent="0.25">
      <c r="B43" s="41">
        <v>22</v>
      </c>
      <c r="C43" s="84">
        <v>24.422999999999998</v>
      </c>
      <c r="D43" s="84">
        <v>24.422999999999998</v>
      </c>
    </row>
    <row r="44" spans="2:4" ht="18.75" x14ac:dyDescent="0.25">
      <c r="B44" s="41">
        <v>23</v>
      </c>
      <c r="C44" s="84">
        <v>24.31</v>
      </c>
      <c r="D44" s="84">
        <v>24.31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23.445217391304343</v>
      </c>
      <c r="D46" s="87"/>
    </row>
    <row r="47" spans="2:4" ht="31.5" x14ac:dyDescent="0.25">
      <c r="B47" s="44" t="s">
        <v>48</v>
      </c>
      <c r="C47" s="43">
        <f>_xlfn.STDEV.S(C21:C45)</f>
        <v>0.63185255572317889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'FOM303-32-Imprimir'!C18</f>
        <v>46061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'FOM303-32-Imprimir'!E18</f>
        <v>46061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23.032</v>
      </c>
      <c r="D21" s="84">
        <v>23.032</v>
      </c>
    </row>
    <row r="22" spans="2:7" ht="18.75" x14ac:dyDescent="0.25">
      <c r="B22" s="41">
        <v>1</v>
      </c>
      <c r="C22" s="84">
        <v>23.277000000000001</v>
      </c>
      <c r="D22" s="84">
        <v>23.277000000000001</v>
      </c>
    </row>
    <row r="23" spans="2:7" ht="18.75" x14ac:dyDescent="0.25">
      <c r="B23" s="41">
        <v>2</v>
      </c>
      <c r="C23" s="84">
        <v>23.213999999999999</v>
      </c>
      <c r="D23" s="84">
        <v>23.213999999999999</v>
      </c>
    </row>
    <row r="24" spans="2:7" ht="18.75" x14ac:dyDescent="0.25">
      <c r="B24" s="41">
        <v>3</v>
      </c>
      <c r="C24" s="84">
        <v>23.928000000000001</v>
      </c>
      <c r="D24" s="84">
        <v>23.928000000000001</v>
      </c>
    </row>
    <row r="25" spans="2:7" ht="18.75" x14ac:dyDescent="0.25">
      <c r="B25" s="41">
        <v>4</v>
      </c>
      <c r="C25" s="84">
        <v>24.195</v>
      </c>
      <c r="D25" s="84">
        <v>24.195</v>
      </c>
    </row>
    <row r="26" spans="2:7" ht="18.75" x14ac:dyDescent="0.25">
      <c r="B26" s="41">
        <v>5</v>
      </c>
      <c r="C26" s="84">
        <v>23.867000000000001</v>
      </c>
      <c r="D26" s="84">
        <v>23.867000000000001</v>
      </c>
    </row>
    <row r="27" spans="2:7" ht="18.75" x14ac:dyDescent="0.25">
      <c r="B27" s="41">
        <v>6</v>
      </c>
      <c r="C27" s="84">
        <v>24.466999999999999</v>
      </c>
      <c r="D27" s="84">
        <v>24.466999999999999</v>
      </c>
    </row>
    <row r="28" spans="2:7" ht="18.75" x14ac:dyDescent="0.25">
      <c r="B28" s="41">
        <v>7</v>
      </c>
      <c r="C28" s="84">
        <v>24.513000000000002</v>
      </c>
      <c r="D28" s="84">
        <v>24.513000000000002</v>
      </c>
    </row>
    <row r="29" spans="2:7" ht="18.75" x14ac:dyDescent="0.25">
      <c r="B29" s="41">
        <v>8</v>
      </c>
      <c r="C29" s="84">
        <v>24.401</v>
      </c>
      <c r="D29" s="84">
        <v>24.401</v>
      </c>
    </row>
    <row r="30" spans="2:7" ht="18.75" x14ac:dyDescent="0.25">
      <c r="B30" s="41">
        <v>9</v>
      </c>
      <c r="C30" s="84">
        <v>24.32</v>
      </c>
      <c r="D30" s="84">
        <v>24.32</v>
      </c>
    </row>
    <row r="31" spans="2:7" ht="18.75" x14ac:dyDescent="0.25">
      <c r="B31" s="41">
        <v>10</v>
      </c>
      <c r="C31" s="84">
        <v>24.073</v>
      </c>
      <c r="D31" s="84">
        <v>24.073</v>
      </c>
    </row>
    <row r="32" spans="2:7" ht="18.75" x14ac:dyDescent="0.25">
      <c r="B32" s="41">
        <v>11</v>
      </c>
      <c r="C32" s="84">
        <v>24.123000000000001</v>
      </c>
      <c r="D32" s="84">
        <v>24.123000000000001</v>
      </c>
    </row>
    <row r="33" spans="2:4" ht="18.75" x14ac:dyDescent="0.25">
      <c r="B33" s="41">
        <v>12</v>
      </c>
      <c r="C33" s="84">
        <v>23.620999999999999</v>
      </c>
      <c r="D33" s="84">
        <v>23.620999999999999</v>
      </c>
    </row>
    <row r="34" spans="2:4" ht="18.75" x14ac:dyDescent="0.25">
      <c r="B34" s="41">
        <v>13</v>
      </c>
      <c r="C34" s="84">
        <v>23.721</v>
      </c>
      <c r="D34" s="84">
        <v>23.721</v>
      </c>
    </row>
    <row r="35" spans="2:4" ht="18.75" x14ac:dyDescent="0.25">
      <c r="B35" s="41">
        <v>14</v>
      </c>
      <c r="C35" s="84">
        <v>24.312999999999999</v>
      </c>
      <c r="D35" s="84">
        <v>24.312999999999999</v>
      </c>
    </row>
    <row r="36" spans="2:4" ht="18.75" x14ac:dyDescent="0.25">
      <c r="B36" s="41">
        <v>15</v>
      </c>
      <c r="C36" s="84">
        <v>24.302</v>
      </c>
      <c r="D36" s="84">
        <v>24.302</v>
      </c>
    </row>
    <row r="37" spans="2:4" ht="18.75" x14ac:dyDescent="0.25">
      <c r="B37" s="41">
        <v>16</v>
      </c>
      <c r="C37" s="84">
        <v>23.963999999999999</v>
      </c>
      <c r="D37" s="84">
        <v>23.963999999999999</v>
      </c>
    </row>
    <row r="38" spans="2:4" ht="18.75" x14ac:dyDescent="0.25">
      <c r="B38" s="41">
        <v>17</v>
      </c>
      <c r="C38" s="84">
        <v>23.684000000000001</v>
      </c>
      <c r="D38" s="84">
        <v>23.684000000000001</v>
      </c>
    </row>
    <row r="39" spans="2:4" ht="18.75" x14ac:dyDescent="0.25">
      <c r="B39" s="41">
        <v>18</v>
      </c>
      <c r="C39" s="84">
        <v>23.06</v>
      </c>
      <c r="D39" s="84">
        <v>23.06</v>
      </c>
    </row>
    <row r="40" spans="2:4" ht="18.75" x14ac:dyDescent="0.25">
      <c r="B40" s="41">
        <v>19</v>
      </c>
      <c r="C40" s="84">
        <v>23.048999999999999</v>
      </c>
      <c r="D40" s="84">
        <v>23.048999999999999</v>
      </c>
    </row>
    <row r="41" spans="2:4" ht="18.75" x14ac:dyDescent="0.25">
      <c r="B41" s="41">
        <v>20</v>
      </c>
      <c r="C41" s="84">
        <v>22.763999999999999</v>
      </c>
      <c r="D41" s="84">
        <v>22.763999999999999</v>
      </c>
    </row>
    <row r="42" spans="2:4" ht="18.75" x14ac:dyDescent="0.25">
      <c r="B42" s="41">
        <v>21</v>
      </c>
      <c r="C42" s="84">
        <v>23.047000000000001</v>
      </c>
      <c r="D42" s="84">
        <v>23.047000000000001</v>
      </c>
    </row>
    <row r="43" spans="2:4" ht="18.75" x14ac:dyDescent="0.25">
      <c r="B43" s="41">
        <v>22</v>
      </c>
      <c r="C43" s="84">
        <v>22.992999999999999</v>
      </c>
      <c r="D43" s="84">
        <v>22.992999999999999</v>
      </c>
    </row>
    <row r="44" spans="2:4" ht="18.75" x14ac:dyDescent="0.25">
      <c r="B44" s="41">
        <v>23</v>
      </c>
      <c r="C44" s="84">
        <v>23.61</v>
      </c>
      <c r="D44" s="84">
        <v>23.61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23.761130434782611</v>
      </c>
      <c r="D46" s="87"/>
    </row>
    <row r="47" spans="2:4" ht="31.5" x14ac:dyDescent="0.25">
      <c r="B47" s="44" t="s">
        <v>48</v>
      </c>
      <c r="C47" s="43">
        <f>_xlfn.STDEV.S(C21:C45)</f>
        <v>0.5542457663935898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'FOM303-32-Imprimir'!C19</f>
        <v>46062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'FOM303-32-Imprimir'!E19</f>
        <v>46062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23.332000000000001</v>
      </c>
      <c r="D21" s="84">
        <v>23.332000000000001</v>
      </c>
    </row>
    <row r="22" spans="2:7" ht="18.75" x14ac:dyDescent="0.25">
      <c r="B22" s="41">
        <v>1</v>
      </c>
      <c r="C22" s="84">
        <v>22.734000000000002</v>
      </c>
      <c r="D22" s="84">
        <v>22.734000000000002</v>
      </c>
    </row>
    <row r="23" spans="2:7" ht="18.75" x14ac:dyDescent="0.25">
      <c r="B23" s="41">
        <v>2</v>
      </c>
      <c r="C23" s="84">
        <v>23.427</v>
      </c>
      <c r="D23" s="84">
        <v>23.427</v>
      </c>
    </row>
    <row r="24" spans="2:7" ht="18.75" x14ac:dyDescent="0.25">
      <c r="B24" s="41">
        <v>3</v>
      </c>
      <c r="C24" s="84">
        <v>23.550999999999998</v>
      </c>
      <c r="D24" s="84">
        <v>23.550999999999998</v>
      </c>
    </row>
    <row r="25" spans="2:7" ht="18.75" x14ac:dyDescent="0.25">
      <c r="B25" s="41">
        <v>4</v>
      </c>
      <c r="C25" s="84">
        <v>23.291</v>
      </c>
      <c r="D25" s="84">
        <v>23.291</v>
      </c>
    </row>
    <row r="26" spans="2:7" ht="18.75" x14ac:dyDescent="0.25">
      <c r="B26" s="41">
        <v>5</v>
      </c>
      <c r="C26" s="84">
        <v>23.696999999999999</v>
      </c>
      <c r="D26" s="84">
        <v>23.696999999999999</v>
      </c>
    </row>
    <row r="27" spans="2:7" ht="18.75" x14ac:dyDescent="0.25">
      <c r="B27" s="41">
        <v>6</v>
      </c>
      <c r="C27" s="84">
        <v>23.466999999999999</v>
      </c>
      <c r="D27" s="84">
        <v>23.466999999999999</v>
      </c>
    </row>
    <row r="28" spans="2:7" ht="18.75" x14ac:dyDescent="0.25">
      <c r="B28" s="41">
        <v>7</v>
      </c>
      <c r="C28" s="84">
        <v>23.303999999999998</v>
      </c>
      <c r="D28" s="84">
        <v>23.303999999999998</v>
      </c>
    </row>
    <row r="29" spans="2:7" ht="18.75" x14ac:dyDescent="0.25">
      <c r="B29" s="41">
        <v>8</v>
      </c>
      <c r="C29" s="84">
        <v>23.431999999999999</v>
      </c>
      <c r="D29" s="84">
        <v>23.431999999999999</v>
      </c>
    </row>
    <row r="30" spans="2:7" ht="18.75" x14ac:dyDescent="0.25">
      <c r="B30" s="41">
        <v>9</v>
      </c>
      <c r="C30" s="84">
        <v>23.326000000000001</v>
      </c>
      <c r="D30" s="84">
        <v>23.326000000000001</v>
      </c>
    </row>
    <row r="31" spans="2:7" ht="18.75" x14ac:dyDescent="0.25">
      <c r="B31" s="41">
        <v>10</v>
      </c>
      <c r="C31" s="84">
        <v>24.204000000000001</v>
      </c>
      <c r="D31" s="84">
        <v>24.204000000000001</v>
      </c>
    </row>
    <row r="32" spans="2:7" ht="18.75" x14ac:dyDescent="0.25">
      <c r="B32" s="41">
        <v>11</v>
      </c>
      <c r="C32" s="84">
        <v>23.763999999999999</v>
      </c>
      <c r="D32" s="84">
        <v>23.763999999999999</v>
      </c>
    </row>
    <row r="33" spans="2:4" ht="18.75" x14ac:dyDescent="0.25">
      <c r="B33" s="41">
        <v>12</v>
      </c>
      <c r="C33" s="84">
        <v>23.873000000000001</v>
      </c>
      <c r="D33" s="84">
        <v>23.873000000000001</v>
      </c>
    </row>
    <row r="34" spans="2:4" ht="18.75" x14ac:dyDescent="0.25">
      <c r="B34" s="41">
        <v>13</v>
      </c>
      <c r="C34" s="84">
        <v>23.634</v>
      </c>
      <c r="D34" s="84">
        <v>23.634</v>
      </c>
    </row>
    <row r="35" spans="2:4" ht="18.75" x14ac:dyDescent="0.25">
      <c r="B35" s="41">
        <v>14</v>
      </c>
      <c r="C35" s="84">
        <v>23.774999999999999</v>
      </c>
      <c r="D35" s="84">
        <v>23.774999999999999</v>
      </c>
    </row>
    <row r="36" spans="2:4" ht="18.75" x14ac:dyDescent="0.25">
      <c r="B36" s="41">
        <v>15</v>
      </c>
      <c r="C36" s="84">
        <v>24.201000000000001</v>
      </c>
      <c r="D36" s="84">
        <v>24.201000000000001</v>
      </c>
    </row>
    <row r="37" spans="2:4" ht="18.75" x14ac:dyDescent="0.25">
      <c r="B37" s="41">
        <v>16</v>
      </c>
      <c r="C37" s="84">
        <v>24.466999999999999</v>
      </c>
      <c r="D37" s="84">
        <v>24.466999999999999</v>
      </c>
    </row>
    <row r="38" spans="2:4" ht="18.75" x14ac:dyDescent="0.25">
      <c r="B38" s="41">
        <v>17</v>
      </c>
      <c r="C38" s="84">
        <v>23.957999999999998</v>
      </c>
      <c r="D38" s="84">
        <v>23.957999999999998</v>
      </c>
    </row>
    <row r="39" spans="2:4" ht="18.75" x14ac:dyDescent="0.25">
      <c r="B39" s="41">
        <v>18</v>
      </c>
      <c r="C39" s="84">
        <v>22.919</v>
      </c>
      <c r="D39" s="84">
        <v>22.919</v>
      </c>
    </row>
    <row r="40" spans="2:4" ht="18.75" x14ac:dyDescent="0.25">
      <c r="B40" s="41">
        <v>19</v>
      </c>
      <c r="C40" s="84">
        <v>23.048999999999999</v>
      </c>
      <c r="D40" s="84">
        <v>23.048999999999999</v>
      </c>
    </row>
    <row r="41" spans="2:4" ht="18.75" x14ac:dyDescent="0.25">
      <c r="B41" s="41">
        <v>20</v>
      </c>
      <c r="C41" s="84">
        <v>23.521000000000001</v>
      </c>
      <c r="D41" s="84">
        <v>23.521000000000001</v>
      </c>
    </row>
    <row r="42" spans="2:4" ht="18.75" x14ac:dyDescent="0.25">
      <c r="B42" s="41">
        <v>21</v>
      </c>
      <c r="C42" s="84">
        <v>23.18</v>
      </c>
      <c r="D42" s="84">
        <v>23.18</v>
      </c>
    </row>
    <row r="43" spans="2:4" ht="18.75" x14ac:dyDescent="0.25">
      <c r="B43" s="41">
        <v>22</v>
      </c>
      <c r="C43" s="84">
        <v>22.536000000000001</v>
      </c>
      <c r="D43" s="84">
        <v>22.536000000000001</v>
      </c>
    </row>
    <row r="44" spans="2:4" ht="18.75" x14ac:dyDescent="0.25">
      <c r="B44" s="41">
        <v>23</v>
      </c>
      <c r="C44" s="84">
        <v>22.895</v>
      </c>
      <c r="D44" s="84">
        <v>22.895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23.487173913043474</v>
      </c>
      <c r="D46" s="87"/>
    </row>
    <row r="47" spans="2:4" ht="31.5" x14ac:dyDescent="0.25">
      <c r="B47" s="44" t="s">
        <v>48</v>
      </c>
      <c r="C47" s="43">
        <f>_xlfn.STDEV.S(C21:C45)</f>
        <v>0.4729313287007601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'FOM303-32-Imprimir'!C20</f>
        <v>46063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'FOM303-32-Imprimir'!E20</f>
        <v>46063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22.847000000000001</v>
      </c>
      <c r="D21" s="84">
        <v>22.847000000000001</v>
      </c>
    </row>
    <row r="22" spans="2:7" ht="18.75" x14ac:dyDescent="0.25">
      <c r="B22" s="41">
        <v>1</v>
      </c>
      <c r="C22" s="84">
        <v>22.812000000000001</v>
      </c>
      <c r="D22" s="84">
        <v>22.812000000000001</v>
      </c>
    </row>
    <row r="23" spans="2:7" ht="18.75" x14ac:dyDescent="0.25">
      <c r="B23" s="41">
        <v>2</v>
      </c>
      <c r="C23" s="84">
        <v>22.91</v>
      </c>
      <c r="D23" s="84">
        <v>22.91</v>
      </c>
    </row>
    <row r="24" spans="2:7" ht="18.75" x14ac:dyDescent="0.25">
      <c r="B24" s="41">
        <v>3</v>
      </c>
      <c r="C24" s="84">
        <v>23.527000000000001</v>
      </c>
      <c r="D24" s="84">
        <v>23.527000000000001</v>
      </c>
    </row>
    <row r="25" spans="2:7" ht="18.75" x14ac:dyDescent="0.25">
      <c r="B25" s="41">
        <v>4</v>
      </c>
      <c r="C25" s="84">
        <v>23.727</v>
      </c>
      <c r="D25" s="84">
        <v>23.727</v>
      </c>
    </row>
    <row r="26" spans="2:7" ht="18.75" x14ac:dyDescent="0.25">
      <c r="B26" s="41">
        <v>5</v>
      </c>
      <c r="C26" s="84">
        <v>24.13</v>
      </c>
      <c r="D26" s="84">
        <v>24.13</v>
      </c>
    </row>
    <row r="27" spans="2:7" ht="18.75" x14ac:dyDescent="0.25">
      <c r="B27" s="41">
        <v>6</v>
      </c>
      <c r="C27" s="84">
        <v>23.73</v>
      </c>
      <c r="D27" s="84">
        <v>23.73</v>
      </c>
    </row>
    <row r="28" spans="2:7" ht="18.75" x14ac:dyDescent="0.25">
      <c r="B28" s="41">
        <v>7</v>
      </c>
      <c r="C28" s="84">
        <v>23.388000000000002</v>
      </c>
      <c r="D28" s="84">
        <v>23.388000000000002</v>
      </c>
    </row>
    <row r="29" spans="2:7" ht="18.75" x14ac:dyDescent="0.25">
      <c r="B29" s="41">
        <v>8</v>
      </c>
      <c r="C29" s="84">
        <v>23.574999999999999</v>
      </c>
      <c r="D29" s="84">
        <v>23.574999999999999</v>
      </c>
    </row>
    <row r="30" spans="2:7" ht="18.75" x14ac:dyDescent="0.25">
      <c r="B30" s="41">
        <v>9</v>
      </c>
      <c r="C30" s="84">
        <v>23.338000000000001</v>
      </c>
      <c r="D30" s="84">
        <v>23.338000000000001</v>
      </c>
    </row>
    <row r="31" spans="2:7" ht="18.75" x14ac:dyDescent="0.25">
      <c r="B31" s="41">
        <v>10</v>
      </c>
      <c r="C31" s="84">
        <v>23.428000000000001</v>
      </c>
      <c r="D31" s="84">
        <v>23.428000000000001</v>
      </c>
    </row>
    <row r="32" spans="2:7" ht="18.75" x14ac:dyDescent="0.25">
      <c r="B32" s="41">
        <v>11</v>
      </c>
      <c r="C32" s="84">
        <v>23.186</v>
      </c>
      <c r="D32" s="84">
        <v>23.186</v>
      </c>
    </row>
    <row r="33" spans="2:4" ht="18.75" x14ac:dyDescent="0.25">
      <c r="B33" s="41">
        <v>12</v>
      </c>
      <c r="C33" s="84">
        <v>23.253</v>
      </c>
      <c r="D33" s="84">
        <v>23.253</v>
      </c>
    </row>
    <row r="34" spans="2:4" ht="18.75" x14ac:dyDescent="0.25">
      <c r="B34" s="41">
        <v>13</v>
      </c>
      <c r="C34" s="84">
        <v>23.291</v>
      </c>
      <c r="D34" s="84">
        <v>23.291</v>
      </c>
    </row>
    <row r="35" spans="2:4" ht="18.75" x14ac:dyDescent="0.25">
      <c r="B35" s="41">
        <v>14</v>
      </c>
      <c r="C35" s="84">
        <v>23.145</v>
      </c>
      <c r="D35" s="84">
        <v>23.145</v>
      </c>
    </row>
    <row r="36" spans="2:4" ht="18.75" x14ac:dyDescent="0.25">
      <c r="B36" s="41">
        <v>15</v>
      </c>
      <c r="C36" s="84">
        <v>23.486000000000001</v>
      </c>
      <c r="D36" s="84">
        <v>23.486000000000001</v>
      </c>
    </row>
    <row r="37" spans="2:4" ht="18.75" x14ac:dyDescent="0.25">
      <c r="B37" s="41">
        <v>16</v>
      </c>
      <c r="C37" s="84">
        <v>23.962</v>
      </c>
      <c r="D37" s="84">
        <v>23.962</v>
      </c>
    </row>
    <row r="38" spans="2:4" ht="18.75" x14ac:dyDescent="0.25">
      <c r="B38" s="41">
        <v>17</v>
      </c>
      <c r="C38" s="84">
        <v>23.695</v>
      </c>
      <c r="D38" s="84">
        <v>23.695</v>
      </c>
    </row>
    <row r="39" spans="2:4" ht="18.75" x14ac:dyDescent="0.25">
      <c r="B39" s="41">
        <v>18</v>
      </c>
      <c r="C39" s="84">
        <v>22.649000000000001</v>
      </c>
      <c r="D39" s="84">
        <v>22.649000000000001</v>
      </c>
    </row>
    <row r="40" spans="2:4" ht="18.75" x14ac:dyDescent="0.25">
      <c r="B40" s="41">
        <v>19</v>
      </c>
      <c r="C40" s="84">
        <v>22.202999999999999</v>
      </c>
      <c r="D40" s="84">
        <v>22.202999999999999</v>
      </c>
    </row>
    <row r="41" spans="2:4" ht="18.75" x14ac:dyDescent="0.25">
      <c r="B41" s="41">
        <v>20</v>
      </c>
      <c r="C41" s="84">
        <v>22.992999999999999</v>
      </c>
      <c r="D41" s="84">
        <v>22.992999999999999</v>
      </c>
    </row>
    <row r="42" spans="2:4" ht="18.75" x14ac:dyDescent="0.25">
      <c r="B42" s="41">
        <v>21</v>
      </c>
      <c r="C42" s="84">
        <v>22.571000000000002</v>
      </c>
      <c r="D42" s="84">
        <v>22.571000000000002</v>
      </c>
    </row>
    <row r="43" spans="2:4" ht="18.75" x14ac:dyDescent="0.25">
      <c r="B43" s="41">
        <v>22</v>
      </c>
      <c r="C43" s="84">
        <v>22.991</v>
      </c>
      <c r="D43" s="84">
        <v>22.991</v>
      </c>
    </row>
    <row r="44" spans="2:4" ht="18.75" x14ac:dyDescent="0.25">
      <c r="B44" s="41">
        <v>23</v>
      </c>
      <c r="C44" s="84">
        <v>23.291</v>
      </c>
      <c r="D44" s="84">
        <v>23.291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23.273086956521738</v>
      </c>
      <c r="D46" s="87"/>
    </row>
    <row r="47" spans="2:4" ht="31.5" x14ac:dyDescent="0.25">
      <c r="B47" s="44" t="s">
        <v>48</v>
      </c>
      <c r="C47" s="43">
        <f>_xlfn.STDEV.S(C21:C45)</f>
        <v>0.45554856245368952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'FOM303-32-Imprimir'!C21</f>
        <v>46064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'FOM303-32-Imprimir'!E21</f>
        <v>46064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161">
        <v>24.094999999999999</v>
      </c>
      <c r="D21" s="162">
        <v>24.094999999999999</v>
      </c>
    </row>
    <row r="22" spans="2:7" ht="18.75" x14ac:dyDescent="0.25">
      <c r="B22" s="41">
        <v>1</v>
      </c>
      <c r="C22" s="161">
        <v>23.49</v>
      </c>
      <c r="D22" s="162">
        <v>23.49</v>
      </c>
    </row>
    <row r="23" spans="2:7" ht="18.75" x14ac:dyDescent="0.25">
      <c r="B23" s="41">
        <v>2</v>
      </c>
      <c r="C23" s="161">
        <v>23.456</v>
      </c>
      <c r="D23" s="162">
        <v>23.456</v>
      </c>
    </row>
    <row r="24" spans="2:7" ht="18.75" x14ac:dyDescent="0.25">
      <c r="B24" s="41">
        <v>3</v>
      </c>
      <c r="C24" s="161">
        <v>23.934999999999999</v>
      </c>
      <c r="D24" s="162">
        <v>23.934999999999999</v>
      </c>
    </row>
    <row r="25" spans="2:7" ht="18.75" x14ac:dyDescent="0.25">
      <c r="B25" s="41">
        <v>4</v>
      </c>
      <c r="C25" s="161">
        <v>24.138000000000002</v>
      </c>
      <c r="D25" s="162">
        <v>24.138000000000002</v>
      </c>
    </row>
    <row r="26" spans="2:7" ht="18.75" x14ac:dyDescent="0.25">
      <c r="B26" s="41">
        <v>5</v>
      </c>
      <c r="C26" s="161">
        <v>24.206</v>
      </c>
      <c r="D26" s="162">
        <v>24.206</v>
      </c>
    </row>
    <row r="27" spans="2:7" ht="18.75" x14ac:dyDescent="0.25">
      <c r="B27" s="41">
        <v>6</v>
      </c>
      <c r="C27" s="161">
        <v>24.106000000000002</v>
      </c>
      <c r="D27" s="162">
        <v>24.106000000000002</v>
      </c>
    </row>
    <row r="28" spans="2:7" ht="18.75" x14ac:dyDescent="0.25">
      <c r="B28" s="41">
        <v>7</v>
      </c>
      <c r="C28" s="161">
        <v>23.875</v>
      </c>
      <c r="D28" s="162">
        <v>23.875</v>
      </c>
    </row>
    <row r="29" spans="2:7" ht="18.75" x14ac:dyDescent="0.25">
      <c r="B29" s="41">
        <v>8</v>
      </c>
      <c r="C29" s="161">
        <v>23.715</v>
      </c>
      <c r="D29" s="162">
        <v>23.715</v>
      </c>
    </row>
    <row r="30" spans="2:7" ht="18.75" x14ac:dyDescent="0.25">
      <c r="B30" s="41">
        <v>9</v>
      </c>
      <c r="C30" s="161">
        <v>23.658000000000001</v>
      </c>
      <c r="D30" s="162">
        <v>23.658000000000001</v>
      </c>
    </row>
    <row r="31" spans="2:7" ht="18.75" x14ac:dyDescent="0.25">
      <c r="B31" s="41">
        <v>10</v>
      </c>
      <c r="C31" s="161">
        <v>24.355</v>
      </c>
      <c r="D31" s="162">
        <v>24.355</v>
      </c>
    </row>
    <row r="32" spans="2:7" ht="18.75" x14ac:dyDescent="0.25">
      <c r="B32" s="41">
        <v>11</v>
      </c>
      <c r="C32" s="161">
        <v>23.875</v>
      </c>
      <c r="D32" s="162">
        <v>23.875</v>
      </c>
    </row>
    <row r="33" spans="2:4" ht="18.75" x14ac:dyDescent="0.25">
      <c r="B33" s="41">
        <v>12</v>
      </c>
      <c r="C33" s="161">
        <v>23.625</v>
      </c>
      <c r="D33" s="162">
        <v>23.625</v>
      </c>
    </row>
    <row r="34" spans="2:4" ht="18.75" x14ac:dyDescent="0.25">
      <c r="B34" s="41">
        <v>13</v>
      </c>
      <c r="C34" s="161">
        <v>23.96</v>
      </c>
      <c r="D34" s="162">
        <v>23.96</v>
      </c>
    </row>
    <row r="35" spans="2:4" ht="18.75" x14ac:dyDescent="0.25">
      <c r="B35" s="41">
        <v>14</v>
      </c>
      <c r="C35" s="161">
        <v>23.835999999999999</v>
      </c>
      <c r="D35" s="162">
        <v>23.835999999999999</v>
      </c>
    </row>
    <row r="36" spans="2:4" ht="18.75" x14ac:dyDescent="0.25">
      <c r="B36" s="41">
        <v>15</v>
      </c>
      <c r="C36" s="161">
        <v>23.754999999999999</v>
      </c>
      <c r="D36" s="162">
        <v>23.754999999999999</v>
      </c>
    </row>
    <row r="37" spans="2:4" ht="18.75" x14ac:dyDescent="0.25">
      <c r="B37" s="41">
        <v>16</v>
      </c>
      <c r="C37" s="161">
        <v>23.806000000000001</v>
      </c>
      <c r="D37" s="162">
        <v>23.806000000000001</v>
      </c>
    </row>
    <row r="38" spans="2:4" ht="18.75" x14ac:dyDescent="0.25">
      <c r="B38" s="41">
        <v>17</v>
      </c>
      <c r="C38" s="161">
        <v>24.204000000000001</v>
      </c>
      <c r="D38" s="162">
        <v>24.204000000000001</v>
      </c>
    </row>
    <row r="39" spans="2:4" ht="18.75" x14ac:dyDescent="0.25">
      <c r="B39" s="41">
        <v>18</v>
      </c>
      <c r="C39" s="161">
        <v>23.347000000000001</v>
      </c>
      <c r="D39" s="162">
        <v>23.347000000000001</v>
      </c>
    </row>
    <row r="40" spans="2:4" ht="18.75" x14ac:dyDescent="0.25">
      <c r="B40" s="41">
        <v>19</v>
      </c>
      <c r="C40" s="161">
        <v>23.099</v>
      </c>
      <c r="D40" s="162">
        <v>23.099</v>
      </c>
    </row>
    <row r="41" spans="2:4" ht="18.75" x14ac:dyDescent="0.25">
      <c r="B41" s="41">
        <v>20</v>
      </c>
      <c r="C41" s="161">
        <v>23.893999999999998</v>
      </c>
      <c r="D41" s="162">
        <v>23.893999999999998</v>
      </c>
    </row>
    <row r="42" spans="2:4" ht="18.75" x14ac:dyDescent="0.25">
      <c r="B42" s="41">
        <v>21</v>
      </c>
      <c r="C42" s="161">
        <v>23.748999999999999</v>
      </c>
      <c r="D42" s="162">
        <v>23.748999999999999</v>
      </c>
    </row>
    <row r="43" spans="2:4" ht="18.75" x14ac:dyDescent="0.25">
      <c r="B43" s="41">
        <v>22</v>
      </c>
      <c r="C43" s="161">
        <v>23.669</v>
      </c>
      <c r="D43" s="162">
        <v>23.669</v>
      </c>
    </row>
    <row r="44" spans="2:4" ht="18.75" x14ac:dyDescent="0.25">
      <c r="B44" s="41">
        <v>23</v>
      </c>
      <c r="C44" s="161">
        <v>22.699000000000002</v>
      </c>
      <c r="D44" s="162">
        <v>22.699000000000002</v>
      </c>
    </row>
    <row r="45" spans="2:4" ht="18.75" x14ac:dyDescent="0.25">
      <c r="B45" s="41">
        <v>24</v>
      </c>
      <c r="C45" s="161"/>
      <c r="D45" s="162"/>
    </row>
    <row r="46" spans="2:4" ht="33.75" customHeight="1" x14ac:dyDescent="0.25">
      <c r="B46" s="42" t="s">
        <v>47</v>
      </c>
      <c r="C46" s="87">
        <f>AVERAGE(C22:C45)</f>
        <v>23.758782608695647</v>
      </c>
      <c r="D46" s="87"/>
    </row>
    <row r="47" spans="2:4" ht="31.5" x14ac:dyDescent="0.25">
      <c r="B47" s="44" t="s">
        <v>48</v>
      </c>
      <c r="C47" s="43">
        <f>_xlfn.STDEV.S(C21:C45)</f>
        <v>0.37192250001108107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'FOM303-32-Imprimir'!C22</f>
        <v>46065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'FOM303-32-Imprimir'!E22</f>
        <v>46065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ht="12.95" customHeight="1" x14ac:dyDescent="0.25">
      <c r="B17" s="86" t="s">
        <v>45</v>
      </c>
      <c r="C17" s="86" t="s">
        <v>46</v>
      </c>
      <c r="D17" s="86"/>
      <c r="E17" s="25"/>
      <c r="G17" s="25"/>
    </row>
    <row r="18" spans="2:7" ht="12.95" customHeight="1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23.268999999999998</v>
      </c>
      <c r="D21" s="84">
        <v>23.268999999999998</v>
      </c>
    </row>
    <row r="22" spans="2:7" ht="18.75" x14ac:dyDescent="0.25">
      <c r="B22" s="41">
        <v>1</v>
      </c>
      <c r="C22" s="84">
        <v>24.228999999999999</v>
      </c>
      <c r="D22" s="84">
        <v>24.228999999999999</v>
      </c>
    </row>
    <row r="23" spans="2:7" ht="18.75" x14ac:dyDescent="0.25">
      <c r="B23" s="41">
        <v>2</v>
      </c>
      <c r="C23" s="84">
        <v>23.164999999999999</v>
      </c>
      <c r="D23" s="84">
        <v>23.164999999999999</v>
      </c>
    </row>
    <row r="24" spans="2:7" ht="18.75" x14ac:dyDescent="0.25">
      <c r="B24" s="41">
        <v>3</v>
      </c>
      <c r="C24" s="84">
        <v>23.370999999999999</v>
      </c>
      <c r="D24" s="84">
        <v>23.370999999999999</v>
      </c>
    </row>
    <row r="25" spans="2:7" ht="18.75" x14ac:dyDescent="0.25">
      <c r="B25" s="41">
        <v>4</v>
      </c>
      <c r="C25" s="84">
        <v>23.687999999999999</v>
      </c>
      <c r="D25" s="84">
        <v>23.687999999999999</v>
      </c>
    </row>
    <row r="26" spans="2:7" ht="18.75" x14ac:dyDescent="0.25">
      <c r="B26" s="41">
        <v>5</v>
      </c>
      <c r="C26" s="84">
        <v>24.512</v>
      </c>
      <c r="D26" s="84">
        <v>24.512</v>
      </c>
    </row>
    <row r="27" spans="2:7" ht="18.75" x14ac:dyDescent="0.25">
      <c r="B27" s="41">
        <v>6</v>
      </c>
      <c r="C27" s="84">
        <v>24.547000000000001</v>
      </c>
      <c r="D27" s="84">
        <v>24.547000000000001</v>
      </c>
    </row>
    <row r="28" spans="2:7" ht="18.75" x14ac:dyDescent="0.25">
      <c r="B28" s="41">
        <v>7</v>
      </c>
      <c r="C28" s="84">
        <v>24.478000000000002</v>
      </c>
      <c r="D28" s="84">
        <v>24.478000000000002</v>
      </c>
    </row>
    <row r="29" spans="2:7" ht="18.75" x14ac:dyDescent="0.25">
      <c r="B29" s="41">
        <v>8</v>
      </c>
      <c r="C29" s="84">
        <v>24.576000000000001</v>
      </c>
      <c r="D29" s="84">
        <v>24.576000000000001</v>
      </c>
    </row>
    <row r="30" spans="2:7" ht="18.75" x14ac:dyDescent="0.25">
      <c r="B30" s="41">
        <v>9</v>
      </c>
      <c r="C30" s="84">
        <v>24.576000000000001</v>
      </c>
      <c r="D30" s="84">
        <v>24.576000000000001</v>
      </c>
    </row>
    <row r="31" spans="2:7" ht="18.75" x14ac:dyDescent="0.25">
      <c r="B31" s="41">
        <v>10</v>
      </c>
      <c r="C31" s="84">
        <v>24.108000000000001</v>
      </c>
      <c r="D31" s="84">
        <v>24.108000000000001</v>
      </c>
    </row>
    <row r="32" spans="2:7" ht="18.75" x14ac:dyDescent="0.25">
      <c r="B32" s="41">
        <v>11</v>
      </c>
      <c r="C32" s="84">
        <v>23.884</v>
      </c>
      <c r="D32" s="84">
        <v>23.884</v>
      </c>
    </row>
    <row r="33" spans="2:4" ht="18.75" x14ac:dyDescent="0.25">
      <c r="B33" s="41">
        <v>12</v>
      </c>
      <c r="C33" s="84">
        <v>23.962</v>
      </c>
      <c r="D33" s="84">
        <v>23.962</v>
      </c>
    </row>
    <row r="34" spans="2:4" ht="18.75" x14ac:dyDescent="0.25">
      <c r="B34" s="41">
        <v>13</v>
      </c>
      <c r="C34" s="84">
        <v>24.036000000000001</v>
      </c>
      <c r="D34" s="84">
        <v>24.036000000000001</v>
      </c>
    </row>
    <row r="35" spans="2:4" ht="18.75" x14ac:dyDescent="0.25">
      <c r="B35" s="41">
        <v>14</v>
      </c>
      <c r="C35" s="84">
        <v>24.321000000000002</v>
      </c>
      <c r="D35" s="84">
        <v>24.321000000000002</v>
      </c>
    </row>
    <row r="36" spans="2:4" ht="18.75" x14ac:dyDescent="0.25">
      <c r="B36" s="41">
        <v>15</v>
      </c>
      <c r="C36" s="84">
        <v>24.254999999999999</v>
      </c>
      <c r="D36" s="84">
        <v>24.254999999999999</v>
      </c>
    </row>
    <row r="37" spans="2:4" ht="18.75" x14ac:dyDescent="0.25">
      <c r="B37" s="41">
        <v>16</v>
      </c>
      <c r="C37" s="84">
        <v>24.343</v>
      </c>
      <c r="D37" s="84">
        <v>24.343</v>
      </c>
    </row>
    <row r="38" spans="2:4" ht="18.75" x14ac:dyDescent="0.25">
      <c r="B38" s="41">
        <v>17</v>
      </c>
      <c r="C38" s="84">
        <v>24.413</v>
      </c>
      <c r="D38" s="84">
        <v>24.413</v>
      </c>
    </row>
    <row r="39" spans="2:4" ht="18.75" x14ac:dyDescent="0.25">
      <c r="B39" s="41">
        <v>18</v>
      </c>
      <c r="C39" s="84">
        <v>23.864000000000001</v>
      </c>
      <c r="D39" s="84">
        <v>23.864000000000001</v>
      </c>
    </row>
    <row r="40" spans="2:4" ht="18.75" x14ac:dyDescent="0.25">
      <c r="B40" s="41">
        <v>19</v>
      </c>
      <c r="C40" s="84">
        <v>22.997</v>
      </c>
      <c r="D40" s="84">
        <v>22.997</v>
      </c>
    </row>
    <row r="41" spans="2:4" ht="18.75" x14ac:dyDescent="0.25">
      <c r="B41" s="41">
        <v>20</v>
      </c>
      <c r="C41" s="84">
        <v>23.341000000000001</v>
      </c>
      <c r="D41" s="84">
        <v>23.341000000000001</v>
      </c>
    </row>
    <row r="42" spans="2:4" ht="18.75" x14ac:dyDescent="0.25">
      <c r="B42" s="41">
        <v>21</v>
      </c>
      <c r="C42" s="84">
        <v>23.815999999999999</v>
      </c>
      <c r="D42" s="84">
        <v>23.815999999999999</v>
      </c>
    </row>
    <row r="43" spans="2:4" ht="18.75" x14ac:dyDescent="0.25">
      <c r="B43" s="41">
        <v>22</v>
      </c>
      <c r="C43" s="84">
        <v>23.594000000000001</v>
      </c>
      <c r="D43" s="84">
        <v>23.594000000000001</v>
      </c>
    </row>
    <row r="44" spans="2:4" ht="18.75" x14ac:dyDescent="0.25">
      <c r="B44" s="41">
        <v>23</v>
      </c>
      <c r="C44" s="84">
        <v>23.792000000000002</v>
      </c>
      <c r="D44" s="84">
        <v>23.792000000000002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23.99426086956522</v>
      </c>
      <c r="D46" s="87"/>
    </row>
    <row r="47" spans="2:4" ht="31.5" x14ac:dyDescent="0.25">
      <c r="B47" s="44" t="s">
        <v>48</v>
      </c>
      <c r="C47" s="43">
        <f>_xlfn.STDEV.S(C21:C45)</f>
        <v>0.48383679238630356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dimension ref="A1:L50"/>
  <sheetViews>
    <sheetView showGridLines="0" view="pageBreakPreview" topLeftCell="A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'FOM303-32-Imprimir'!C23</f>
        <v>46066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'FOM303-32-Imprimir'!E23</f>
        <v>46066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24.486000000000001</v>
      </c>
      <c r="D21" s="84">
        <v>24.486000000000001</v>
      </c>
    </row>
    <row r="22" spans="2:7" ht="18.75" x14ac:dyDescent="0.25">
      <c r="B22" s="41">
        <v>1</v>
      </c>
      <c r="C22" s="84">
        <v>24.445</v>
      </c>
      <c r="D22" s="84">
        <v>24.445</v>
      </c>
    </row>
    <row r="23" spans="2:7" ht="18.75" x14ac:dyDescent="0.25">
      <c r="B23" s="41">
        <v>2</v>
      </c>
      <c r="C23" s="84">
        <v>24.523</v>
      </c>
      <c r="D23" s="84">
        <v>24.523</v>
      </c>
    </row>
    <row r="24" spans="2:7" ht="18.75" x14ac:dyDescent="0.25">
      <c r="B24" s="41">
        <v>3</v>
      </c>
      <c r="C24" s="84">
        <v>23.61</v>
      </c>
      <c r="D24" s="84">
        <v>23.61</v>
      </c>
    </row>
    <row r="25" spans="2:7" ht="18.75" x14ac:dyDescent="0.25">
      <c r="B25" s="41">
        <v>4</v>
      </c>
      <c r="C25" s="84">
        <v>23.405999999999999</v>
      </c>
      <c r="D25" s="84">
        <v>23.405999999999999</v>
      </c>
    </row>
    <row r="26" spans="2:7" ht="18.75" x14ac:dyDescent="0.25">
      <c r="B26" s="41">
        <v>5</v>
      </c>
      <c r="C26" s="84">
        <v>23.832000000000001</v>
      </c>
      <c r="D26" s="84">
        <v>23.832000000000001</v>
      </c>
    </row>
    <row r="27" spans="2:7" ht="18.75" x14ac:dyDescent="0.25">
      <c r="B27" s="41">
        <v>6</v>
      </c>
      <c r="C27" s="84">
        <v>24.125</v>
      </c>
      <c r="D27" s="84">
        <v>24.125</v>
      </c>
    </row>
    <row r="28" spans="2:7" ht="18.75" x14ac:dyDescent="0.25">
      <c r="B28" s="41">
        <v>7</v>
      </c>
      <c r="C28" s="84">
        <v>23.954000000000001</v>
      </c>
      <c r="D28" s="84">
        <v>23.954000000000001</v>
      </c>
    </row>
    <row r="29" spans="2:7" ht="18.75" x14ac:dyDescent="0.25">
      <c r="B29" s="41">
        <v>8</v>
      </c>
      <c r="C29" s="84">
        <v>23.111000000000001</v>
      </c>
      <c r="D29" s="84">
        <v>23.111000000000001</v>
      </c>
    </row>
    <row r="30" spans="2:7" ht="18.75" x14ac:dyDescent="0.25">
      <c r="B30" s="41">
        <v>9</v>
      </c>
      <c r="C30" s="84">
        <v>23.29</v>
      </c>
      <c r="D30" s="84">
        <v>23.29</v>
      </c>
    </row>
    <row r="31" spans="2:7" ht="18.75" x14ac:dyDescent="0.25">
      <c r="B31" s="41">
        <v>10</v>
      </c>
      <c r="C31" s="84">
        <v>23.664000000000001</v>
      </c>
      <c r="D31" s="84">
        <v>23.664000000000001</v>
      </c>
    </row>
    <row r="32" spans="2:7" ht="18.75" x14ac:dyDescent="0.25">
      <c r="B32" s="41">
        <v>11</v>
      </c>
      <c r="C32" s="84">
        <v>23.375</v>
      </c>
      <c r="D32" s="84">
        <v>23.375</v>
      </c>
    </row>
    <row r="33" spans="2:4" ht="18.75" x14ac:dyDescent="0.25">
      <c r="B33" s="41">
        <v>12</v>
      </c>
      <c r="C33" s="84">
        <v>22.568999999999999</v>
      </c>
      <c r="D33" s="84">
        <v>22.568999999999999</v>
      </c>
    </row>
    <row r="34" spans="2:4" ht="18.75" x14ac:dyDescent="0.25">
      <c r="B34" s="41">
        <v>13</v>
      </c>
      <c r="C34" s="84">
        <v>23.495000000000001</v>
      </c>
      <c r="D34" s="84">
        <v>23.495000000000001</v>
      </c>
    </row>
    <row r="35" spans="2:4" ht="18.75" x14ac:dyDescent="0.25">
      <c r="B35" s="41">
        <v>14</v>
      </c>
      <c r="C35" s="84">
        <v>23.78</v>
      </c>
      <c r="D35" s="84">
        <v>23.78</v>
      </c>
    </row>
    <row r="36" spans="2:4" ht="18.75" x14ac:dyDescent="0.25">
      <c r="B36" s="41">
        <v>15</v>
      </c>
      <c r="C36" s="84">
        <v>22.187999999999999</v>
      </c>
      <c r="D36" s="84">
        <v>22.187999999999999</v>
      </c>
    </row>
    <row r="37" spans="2:4" ht="18.75" x14ac:dyDescent="0.25">
      <c r="B37" s="41">
        <v>16</v>
      </c>
      <c r="C37" s="84">
        <v>22.175000000000001</v>
      </c>
      <c r="D37" s="84">
        <v>22.175000000000001</v>
      </c>
    </row>
    <row r="38" spans="2:4" ht="18.75" x14ac:dyDescent="0.25">
      <c r="B38" s="41">
        <v>17</v>
      </c>
      <c r="C38" s="84">
        <v>22.77</v>
      </c>
      <c r="D38" s="84">
        <v>22.77</v>
      </c>
    </row>
    <row r="39" spans="2:4" ht="18.75" x14ac:dyDescent="0.25">
      <c r="B39" s="41">
        <v>18</v>
      </c>
      <c r="C39" s="84">
        <v>22.375</v>
      </c>
      <c r="D39" s="84">
        <v>22.375</v>
      </c>
    </row>
    <row r="40" spans="2:4" ht="18.75" x14ac:dyDescent="0.25">
      <c r="B40" s="41">
        <v>19</v>
      </c>
      <c r="C40" s="84">
        <v>22.321000000000002</v>
      </c>
      <c r="D40" s="84">
        <v>22.321000000000002</v>
      </c>
    </row>
    <row r="41" spans="2:4" ht="18.75" x14ac:dyDescent="0.25">
      <c r="B41" s="41">
        <v>20</v>
      </c>
      <c r="C41" s="84">
        <v>22.218</v>
      </c>
      <c r="D41" s="84">
        <v>22.218</v>
      </c>
    </row>
    <row r="42" spans="2:4" ht="18.75" x14ac:dyDescent="0.25">
      <c r="B42" s="41">
        <v>21</v>
      </c>
      <c r="C42" s="84">
        <v>22.227</v>
      </c>
      <c r="D42" s="84">
        <v>22.227</v>
      </c>
    </row>
    <row r="43" spans="2:4" ht="18.75" x14ac:dyDescent="0.25">
      <c r="B43" s="41">
        <v>22</v>
      </c>
      <c r="C43" s="84">
        <v>22.187999999999999</v>
      </c>
      <c r="D43" s="84">
        <v>22.187999999999999</v>
      </c>
    </row>
    <row r="44" spans="2:4" ht="18.75" x14ac:dyDescent="0.25">
      <c r="B44" s="41">
        <v>23</v>
      </c>
      <c r="C44" s="84">
        <v>22.248999999999999</v>
      </c>
      <c r="D44" s="84">
        <v>22.248999999999999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23.125652173913043</v>
      </c>
      <c r="D46" s="87"/>
    </row>
    <row r="47" spans="2:4" ht="31.5" x14ac:dyDescent="0.25">
      <c r="B47" s="44" t="s">
        <v>48</v>
      </c>
      <c r="C47" s="43">
        <f>_xlfn.STDEV.S(C21:C45)</f>
        <v>0.82400984938534472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'FOM303-32-Imprimir'!C24</f>
        <v>46067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'FOM303-32-Imprimir'!E24</f>
        <v>46067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22.294</v>
      </c>
      <c r="D21" s="84">
        <v>22.294</v>
      </c>
    </row>
    <row r="22" spans="2:7" ht="18.75" x14ac:dyDescent="0.25">
      <c r="B22" s="41">
        <v>1</v>
      </c>
      <c r="C22" s="84">
        <v>22.402999999999999</v>
      </c>
      <c r="D22" s="84">
        <v>22.402999999999999</v>
      </c>
    </row>
    <row r="23" spans="2:7" ht="18.75" x14ac:dyDescent="0.25">
      <c r="B23" s="41">
        <v>2</v>
      </c>
      <c r="C23" s="84">
        <v>22.564</v>
      </c>
      <c r="D23" s="84">
        <v>22.564</v>
      </c>
    </row>
    <row r="24" spans="2:7" ht="18.75" x14ac:dyDescent="0.25">
      <c r="B24" s="41">
        <v>3</v>
      </c>
      <c r="C24" s="84">
        <v>22.488</v>
      </c>
      <c r="D24" s="84">
        <v>22.488</v>
      </c>
    </row>
    <row r="25" spans="2:7" ht="18.75" x14ac:dyDescent="0.25">
      <c r="B25" s="41">
        <v>4</v>
      </c>
      <c r="C25" s="84">
        <v>22.853999999999999</v>
      </c>
      <c r="D25" s="84">
        <v>22.853999999999999</v>
      </c>
    </row>
    <row r="26" spans="2:7" ht="18.75" x14ac:dyDescent="0.25">
      <c r="B26" s="41">
        <v>5</v>
      </c>
      <c r="C26" s="84">
        <v>22.686</v>
      </c>
      <c r="D26" s="84">
        <v>22.686</v>
      </c>
    </row>
    <row r="27" spans="2:7" ht="18.75" x14ac:dyDescent="0.25">
      <c r="B27" s="41">
        <v>6</v>
      </c>
      <c r="C27" s="84">
        <v>22.556999999999999</v>
      </c>
      <c r="D27" s="84">
        <v>22.556999999999999</v>
      </c>
    </row>
    <row r="28" spans="2:7" ht="18.75" x14ac:dyDescent="0.25">
      <c r="B28" s="41">
        <v>7</v>
      </c>
      <c r="C28" s="84">
        <v>22.242999999999999</v>
      </c>
      <c r="D28" s="84">
        <v>22.242999999999999</v>
      </c>
    </row>
    <row r="29" spans="2:7" ht="18.75" x14ac:dyDescent="0.25">
      <c r="B29" s="41">
        <v>8</v>
      </c>
      <c r="C29" s="84">
        <v>22.018000000000001</v>
      </c>
      <c r="D29" s="84">
        <v>22.018000000000001</v>
      </c>
    </row>
    <row r="30" spans="2:7" ht="18.75" x14ac:dyDescent="0.25">
      <c r="B30" s="41">
        <v>9</v>
      </c>
      <c r="C30" s="84">
        <v>23.074999999999999</v>
      </c>
      <c r="D30" s="84">
        <v>23.074999999999999</v>
      </c>
    </row>
    <row r="31" spans="2:7" ht="18.75" x14ac:dyDescent="0.25">
      <c r="B31" s="41">
        <v>10</v>
      </c>
      <c r="C31" s="84">
        <v>22.992000000000001</v>
      </c>
      <c r="D31" s="84">
        <v>22.992000000000001</v>
      </c>
    </row>
    <row r="32" spans="2:7" ht="18.75" x14ac:dyDescent="0.25">
      <c r="B32" s="41">
        <v>11</v>
      </c>
      <c r="C32" s="84">
        <v>22.751000000000001</v>
      </c>
      <c r="D32" s="84">
        <v>22.751000000000001</v>
      </c>
    </row>
    <row r="33" spans="2:4" ht="18.75" x14ac:dyDescent="0.25">
      <c r="B33" s="41">
        <v>12</v>
      </c>
      <c r="C33" s="84">
        <v>23.803000000000001</v>
      </c>
      <c r="D33" s="84">
        <v>23.803000000000001</v>
      </c>
    </row>
    <row r="34" spans="2:4" ht="18.75" x14ac:dyDescent="0.25">
      <c r="B34" s="41">
        <v>13</v>
      </c>
      <c r="C34" s="84">
        <v>23.562000000000001</v>
      </c>
      <c r="D34" s="84">
        <v>23.562000000000001</v>
      </c>
    </row>
    <row r="35" spans="2:4" ht="18.75" x14ac:dyDescent="0.25">
      <c r="B35" s="41">
        <v>14</v>
      </c>
      <c r="C35" s="84">
        <v>23.300999999999998</v>
      </c>
      <c r="D35" s="84">
        <v>23.300999999999998</v>
      </c>
    </row>
    <row r="36" spans="2:4" ht="18.75" x14ac:dyDescent="0.25">
      <c r="B36" s="41">
        <v>15</v>
      </c>
      <c r="C36" s="84">
        <v>22.96</v>
      </c>
      <c r="D36" s="84">
        <v>22.96</v>
      </c>
    </row>
    <row r="37" spans="2:4" ht="18.75" x14ac:dyDescent="0.25">
      <c r="B37" s="41">
        <v>16</v>
      </c>
      <c r="C37" s="84">
        <v>22.271000000000001</v>
      </c>
      <c r="D37" s="84">
        <v>22.271000000000001</v>
      </c>
    </row>
    <row r="38" spans="2:4" ht="18.75" x14ac:dyDescent="0.25">
      <c r="B38" s="41">
        <v>17</v>
      </c>
      <c r="C38" s="84">
        <v>22.071000000000002</v>
      </c>
      <c r="D38" s="84">
        <v>22.071000000000002</v>
      </c>
    </row>
    <row r="39" spans="2:4" ht="18.75" x14ac:dyDescent="0.25">
      <c r="B39" s="41">
        <v>18</v>
      </c>
      <c r="C39" s="84">
        <v>22.507999999999999</v>
      </c>
      <c r="D39" s="84">
        <v>22.507999999999999</v>
      </c>
    </row>
    <row r="40" spans="2:4" ht="18.75" x14ac:dyDescent="0.25">
      <c r="B40" s="41">
        <v>19</v>
      </c>
      <c r="C40" s="84">
        <v>22.314</v>
      </c>
      <c r="D40" s="84">
        <v>22.314</v>
      </c>
    </row>
    <row r="41" spans="2:4" ht="18.75" x14ac:dyDescent="0.25">
      <c r="B41" s="41">
        <v>20</v>
      </c>
      <c r="C41" s="84">
        <v>22.257999999999999</v>
      </c>
      <c r="D41" s="84">
        <v>22.257999999999999</v>
      </c>
    </row>
    <row r="42" spans="2:4" ht="18.75" x14ac:dyDescent="0.25">
      <c r="B42" s="41">
        <v>21</v>
      </c>
      <c r="C42" s="84">
        <v>22.254999999999999</v>
      </c>
      <c r="D42" s="84">
        <v>22.254999999999999</v>
      </c>
    </row>
    <row r="43" spans="2:4" ht="18.75" x14ac:dyDescent="0.25">
      <c r="B43" s="41">
        <v>22</v>
      </c>
      <c r="C43" s="84">
        <v>22.222999999999999</v>
      </c>
      <c r="D43" s="84">
        <v>22.222999999999999</v>
      </c>
    </row>
    <row r="44" spans="2:4" ht="18.75" x14ac:dyDescent="0.25">
      <c r="B44" s="41">
        <v>23</v>
      </c>
      <c r="C44" s="84">
        <v>22.346</v>
      </c>
      <c r="D44" s="84">
        <v>22.346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22.6305652173913</v>
      </c>
      <c r="D46" s="87"/>
    </row>
    <row r="47" spans="2:4" ht="31.5" x14ac:dyDescent="0.25">
      <c r="B47" s="44" t="s">
        <v>48</v>
      </c>
      <c r="C47" s="43">
        <f>_xlfn.STDEV.S(C21:C45)</f>
        <v>0.46608321510841516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'FOM303-32-Imprimir'!C25</f>
        <v>46068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'FOM303-32-Imprimir'!E25</f>
        <v>46068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22.384</v>
      </c>
      <c r="D21" s="84">
        <v>22.384</v>
      </c>
    </row>
    <row r="22" spans="2:7" ht="18.75" x14ac:dyDescent="0.25">
      <c r="B22" s="41">
        <v>1</v>
      </c>
      <c r="C22" s="84">
        <v>22.832000000000001</v>
      </c>
      <c r="D22" s="84">
        <v>22.832000000000001</v>
      </c>
    </row>
    <row r="23" spans="2:7" ht="18.75" x14ac:dyDescent="0.25">
      <c r="B23" s="41">
        <v>2</v>
      </c>
      <c r="C23" s="84">
        <v>22.664999999999999</v>
      </c>
      <c r="D23" s="84">
        <v>22.664999999999999</v>
      </c>
    </row>
    <row r="24" spans="2:7" ht="18.75" x14ac:dyDescent="0.25">
      <c r="B24" s="41">
        <v>3</v>
      </c>
      <c r="C24" s="84">
        <v>22.231999999999999</v>
      </c>
      <c r="D24" s="84">
        <v>22.231999999999999</v>
      </c>
    </row>
    <row r="25" spans="2:7" ht="18.75" x14ac:dyDescent="0.25">
      <c r="B25" s="41">
        <v>4</v>
      </c>
      <c r="C25" s="84">
        <v>22.195</v>
      </c>
      <c r="D25" s="84">
        <v>22.195</v>
      </c>
    </row>
    <row r="26" spans="2:7" ht="18.75" x14ac:dyDescent="0.25">
      <c r="B26" s="41">
        <v>5</v>
      </c>
      <c r="C26" s="84">
        <v>22.303000000000001</v>
      </c>
      <c r="D26" s="84">
        <v>22.303000000000001</v>
      </c>
    </row>
    <row r="27" spans="2:7" ht="18.75" x14ac:dyDescent="0.25">
      <c r="B27" s="41">
        <v>6</v>
      </c>
      <c r="C27" s="84">
        <v>22.376999999999999</v>
      </c>
      <c r="D27" s="84">
        <v>22.376999999999999</v>
      </c>
    </row>
    <row r="28" spans="2:7" ht="18.75" x14ac:dyDescent="0.25">
      <c r="B28" s="41">
        <v>7</v>
      </c>
      <c r="C28" s="84">
        <v>21.867999999999999</v>
      </c>
      <c r="D28" s="84">
        <v>21.867999999999999</v>
      </c>
    </row>
    <row r="29" spans="2:7" ht="18.75" x14ac:dyDescent="0.25">
      <c r="B29" s="41">
        <v>8</v>
      </c>
      <c r="C29" s="84">
        <v>21.71</v>
      </c>
      <c r="D29" s="84">
        <v>21.71</v>
      </c>
    </row>
    <row r="30" spans="2:7" ht="18.75" x14ac:dyDescent="0.25">
      <c r="B30" s="41">
        <v>9</v>
      </c>
      <c r="C30" s="84">
        <v>21.797000000000001</v>
      </c>
      <c r="D30" s="84">
        <v>21.797000000000001</v>
      </c>
    </row>
    <row r="31" spans="2:7" ht="18.75" x14ac:dyDescent="0.25">
      <c r="B31" s="41">
        <v>10</v>
      </c>
      <c r="C31" s="84">
        <v>22.047000000000001</v>
      </c>
      <c r="D31" s="84">
        <v>22.047000000000001</v>
      </c>
    </row>
    <row r="32" spans="2:7" ht="18.75" x14ac:dyDescent="0.25">
      <c r="B32" s="41">
        <v>11</v>
      </c>
      <c r="C32" s="84">
        <v>21.99</v>
      </c>
      <c r="D32" s="84">
        <v>21.99</v>
      </c>
    </row>
    <row r="33" spans="2:4" ht="18.75" x14ac:dyDescent="0.25">
      <c r="B33" s="41">
        <v>12</v>
      </c>
      <c r="C33" s="84">
        <v>21.318000000000001</v>
      </c>
      <c r="D33" s="84">
        <v>21.318000000000001</v>
      </c>
    </row>
    <row r="34" spans="2:4" ht="18.75" x14ac:dyDescent="0.25">
      <c r="B34" s="41">
        <v>13</v>
      </c>
      <c r="C34" s="84">
        <v>21.867999999999999</v>
      </c>
      <c r="D34" s="84">
        <v>21.867999999999999</v>
      </c>
    </row>
    <row r="35" spans="2:4" ht="18.75" x14ac:dyDescent="0.25">
      <c r="B35" s="41">
        <v>14</v>
      </c>
      <c r="C35" s="84">
        <v>23.216999999999999</v>
      </c>
      <c r="D35" s="84">
        <v>23.216999999999999</v>
      </c>
    </row>
    <row r="36" spans="2:4" ht="18.75" x14ac:dyDescent="0.25">
      <c r="B36" s="41">
        <v>15</v>
      </c>
      <c r="C36" s="84">
        <v>23.744</v>
      </c>
      <c r="D36" s="84">
        <v>23.744</v>
      </c>
    </row>
    <row r="37" spans="2:4" ht="18.75" x14ac:dyDescent="0.25">
      <c r="B37" s="41">
        <v>16</v>
      </c>
      <c r="C37" s="84">
        <v>22.43</v>
      </c>
      <c r="D37" s="84">
        <v>22.43</v>
      </c>
    </row>
    <row r="38" spans="2:4" ht="18.75" x14ac:dyDescent="0.25">
      <c r="B38" s="41">
        <v>17</v>
      </c>
      <c r="C38" s="84">
        <v>22.219000000000001</v>
      </c>
      <c r="D38" s="84">
        <v>22.219000000000001</v>
      </c>
    </row>
    <row r="39" spans="2:4" ht="18.75" x14ac:dyDescent="0.25">
      <c r="B39" s="41">
        <v>18</v>
      </c>
      <c r="C39" s="84">
        <v>22.234000000000002</v>
      </c>
      <c r="D39" s="84">
        <v>22.234000000000002</v>
      </c>
    </row>
    <row r="40" spans="2:4" ht="18.75" x14ac:dyDescent="0.25">
      <c r="B40" s="41">
        <v>19</v>
      </c>
      <c r="C40" s="84">
        <v>22.442</v>
      </c>
      <c r="D40" s="84">
        <v>22.442</v>
      </c>
    </row>
    <row r="41" spans="2:4" ht="18.75" x14ac:dyDescent="0.25">
      <c r="B41" s="41">
        <v>20</v>
      </c>
      <c r="C41" s="84">
        <v>22.477</v>
      </c>
      <c r="D41" s="84">
        <v>22.477</v>
      </c>
    </row>
    <row r="42" spans="2:4" ht="18.75" x14ac:dyDescent="0.25">
      <c r="B42" s="41">
        <v>21</v>
      </c>
      <c r="C42" s="84">
        <v>22.37</v>
      </c>
      <c r="D42" s="84">
        <v>22.37</v>
      </c>
    </row>
    <row r="43" spans="2:4" ht="18.75" x14ac:dyDescent="0.25">
      <c r="B43" s="41">
        <v>22</v>
      </c>
      <c r="C43" s="84">
        <v>22.248999999999999</v>
      </c>
      <c r="D43" s="84">
        <v>22.248999999999999</v>
      </c>
    </row>
    <row r="44" spans="2:4" ht="18.75" x14ac:dyDescent="0.25">
      <c r="B44" s="41">
        <v>23</v>
      </c>
      <c r="C44" s="84">
        <v>22.247</v>
      </c>
      <c r="D44" s="84">
        <v>22.247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22.297000000000001</v>
      </c>
      <c r="D46" s="87"/>
    </row>
    <row r="47" spans="2:4" ht="31.5" x14ac:dyDescent="0.25">
      <c r="B47" s="44" t="s">
        <v>48</v>
      </c>
      <c r="C47" s="43">
        <f>_xlfn.STDEV.S(C21:C45)</f>
        <v>0.49163956508454598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'FOM303-32-Imprimir'!C26</f>
        <v>46069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'FOM303-32-Imprimir'!E26</f>
        <v>46069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22.21</v>
      </c>
      <c r="D21" s="84">
        <v>22.21</v>
      </c>
    </row>
    <row r="22" spans="2:7" ht="18.75" x14ac:dyDescent="0.25">
      <c r="B22" s="41">
        <v>1</v>
      </c>
      <c r="C22" s="84">
        <v>22.256</v>
      </c>
      <c r="D22" s="84">
        <v>22.256</v>
      </c>
    </row>
    <row r="23" spans="2:7" ht="18.75" x14ac:dyDescent="0.25">
      <c r="B23" s="41">
        <v>2</v>
      </c>
      <c r="C23" s="84">
        <v>22.414000000000001</v>
      </c>
      <c r="D23" s="84">
        <v>22.414000000000001</v>
      </c>
    </row>
    <row r="24" spans="2:7" ht="18.75" x14ac:dyDescent="0.25">
      <c r="B24" s="41">
        <v>3</v>
      </c>
      <c r="C24" s="84">
        <v>22.38</v>
      </c>
      <c r="D24" s="84">
        <v>22.38</v>
      </c>
    </row>
    <row r="25" spans="2:7" ht="18.75" x14ac:dyDescent="0.25">
      <c r="B25" s="41">
        <v>4</v>
      </c>
      <c r="C25" s="84">
        <v>22.257999999999999</v>
      </c>
      <c r="D25" s="84">
        <v>22.257999999999999</v>
      </c>
    </row>
    <row r="26" spans="2:7" ht="18.75" x14ac:dyDescent="0.25">
      <c r="B26" s="41">
        <v>5</v>
      </c>
      <c r="C26" s="84">
        <v>22.245000000000001</v>
      </c>
      <c r="D26" s="84">
        <v>22.245000000000001</v>
      </c>
    </row>
    <row r="27" spans="2:7" ht="18.75" x14ac:dyDescent="0.25">
      <c r="B27" s="41">
        <v>6</v>
      </c>
      <c r="C27" s="84">
        <v>22.257999999999999</v>
      </c>
      <c r="D27" s="84">
        <v>22.257999999999999</v>
      </c>
    </row>
    <row r="28" spans="2:7" ht="18.75" x14ac:dyDescent="0.25">
      <c r="B28" s="41">
        <v>7</v>
      </c>
      <c r="C28" s="84">
        <v>22.192</v>
      </c>
      <c r="D28" s="84">
        <v>22.192</v>
      </c>
    </row>
    <row r="29" spans="2:7" ht="18.75" x14ac:dyDescent="0.25">
      <c r="B29" s="41">
        <v>8</v>
      </c>
      <c r="C29" s="84">
        <v>21.754000000000001</v>
      </c>
      <c r="D29" s="84">
        <v>21.754000000000001</v>
      </c>
    </row>
    <row r="30" spans="2:7" ht="18.75" x14ac:dyDescent="0.25">
      <c r="B30" s="41">
        <v>9</v>
      </c>
      <c r="C30" s="84">
        <v>22.350999999999999</v>
      </c>
      <c r="D30" s="84">
        <v>22.350999999999999</v>
      </c>
    </row>
    <row r="31" spans="2:7" ht="18.75" x14ac:dyDescent="0.25">
      <c r="B31" s="41">
        <v>10</v>
      </c>
      <c r="C31" s="84">
        <v>22.263000000000002</v>
      </c>
      <c r="D31" s="84">
        <v>22.263000000000002</v>
      </c>
    </row>
    <row r="32" spans="2:7" ht="18.75" x14ac:dyDescent="0.25">
      <c r="B32" s="41">
        <v>11</v>
      </c>
      <c r="C32" s="84">
        <v>22.315999999999999</v>
      </c>
      <c r="D32" s="84">
        <v>22.315999999999999</v>
      </c>
    </row>
    <row r="33" spans="2:4" ht="18.75" x14ac:dyDescent="0.25">
      <c r="B33" s="41">
        <v>12</v>
      </c>
      <c r="C33" s="84">
        <v>23.693000000000001</v>
      </c>
      <c r="D33" s="84">
        <v>23.693000000000001</v>
      </c>
    </row>
    <row r="34" spans="2:4" ht="18.75" x14ac:dyDescent="0.25">
      <c r="B34" s="41">
        <v>13</v>
      </c>
      <c r="C34" s="84">
        <v>21.390999999999998</v>
      </c>
      <c r="D34" s="84">
        <v>21.390999999999998</v>
      </c>
    </row>
    <row r="35" spans="2:4" ht="18.75" x14ac:dyDescent="0.25">
      <c r="B35" s="41">
        <v>14</v>
      </c>
      <c r="C35" s="84">
        <v>22.992999999999999</v>
      </c>
      <c r="D35" s="84">
        <v>22.992999999999999</v>
      </c>
    </row>
    <row r="36" spans="2:4" ht="18.75" x14ac:dyDescent="0.25">
      <c r="B36" s="41">
        <v>15</v>
      </c>
      <c r="C36" s="84">
        <v>22.748999999999999</v>
      </c>
      <c r="D36" s="84">
        <v>22.748999999999999</v>
      </c>
    </row>
    <row r="37" spans="2:4" ht="18.75" x14ac:dyDescent="0.25">
      <c r="B37" s="41">
        <v>16</v>
      </c>
      <c r="C37" s="84">
        <v>22.42</v>
      </c>
      <c r="D37" s="84">
        <v>22.42</v>
      </c>
    </row>
    <row r="38" spans="2:4" ht="18.75" x14ac:dyDescent="0.25">
      <c r="B38" s="41">
        <v>17</v>
      </c>
      <c r="C38" s="84">
        <v>22.350999999999999</v>
      </c>
      <c r="D38" s="84">
        <v>22.350999999999999</v>
      </c>
    </row>
    <row r="39" spans="2:4" ht="18.75" x14ac:dyDescent="0.25">
      <c r="B39" s="41">
        <v>18</v>
      </c>
      <c r="C39" s="84">
        <v>22.314</v>
      </c>
      <c r="D39" s="84">
        <v>22.314</v>
      </c>
    </row>
    <row r="40" spans="2:4" ht="18.75" x14ac:dyDescent="0.25">
      <c r="B40" s="41">
        <v>19</v>
      </c>
      <c r="C40" s="84">
        <v>22.305</v>
      </c>
      <c r="D40" s="84">
        <v>22.305</v>
      </c>
    </row>
    <row r="41" spans="2:4" ht="18.75" x14ac:dyDescent="0.25">
      <c r="B41" s="41">
        <v>20</v>
      </c>
      <c r="C41" s="84">
        <v>22.416</v>
      </c>
      <c r="D41" s="84">
        <v>22.416</v>
      </c>
    </row>
    <row r="42" spans="2:4" ht="18.75" x14ac:dyDescent="0.25">
      <c r="B42" s="41">
        <v>21</v>
      </c>
      <c r="C42" s="84">
        <v>22.428999999999998</v>
      </c>
      <c r="D42" s="84">
        <v>22.428999999999998</v>
      </c>
    </row>
    <row r="43" spans="2:4" ht="18.75" x14ac:dyDescent="0.25">
      <c r="B43" s="41">
        <v>22</v>
      </c>
      <c r="C43" s="84">
        <v>22.436</v>
      </c>
      <c r="D43" s="84">
        <v>22.436</v>
      </c>
    </row>
    <row r="44" spans="2:4" ht="18.75" x14ac:dyDescent="0.25">
      <c r="B44" s="41">
        <v>23</v>
      </c>
      <c r="C44" s="84">
        <v>22.425000000000001</v>
      </c>
      <c r="D44" s="84">
        <v>22.425000000000001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22.37430434782609</v>
      </c>
      <c r="D46" s="87"/>
    </row>
    <row r="47" spans="2:4" ht="31.5" x14ac:dyDescent="0.25">
      <c r="B47" s="44" t="s">
        <v>48</v>
      </c>
      <c r="C47" s="43">
        <f>_xlfn.STDEV.S(C21:C45)</f>
        <v>0.4049044953594847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'FOM303-32-Imprimir'!C27</f>
        <v>46070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'FOM303-32-Imprimir'!E27</f>
        <v>46070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>
        <v>22.536000000000001</v>
      </c>
      <c r="D21" s="84">
        <v>22.536000000000001</v>
      </c>
    </row>
    <row r="22" spans="2:7" ht="18.75" x14ac:dyDescent="0.25">
      <c r="B22" s="41">
        <v>1</v>
      </c>
      <c r="C22" s="84">
        <v>22.931999999999999</v>
      </c>
      <c r="D22" s="84">
        <v>22.931999999999999</v>
      </c>
    </row>
    <row r="23" spans="2:7" ht="18.75" x14ac:dyDescent="0.25">
      <c r="B23" s="41">
        <v>2</v>
      </c>
      <c r="C23" s="84">
        <v>22.666</v>
      </c>
      <c r="D23" s="84">
        <v>22.666</v>
      </c>
    </row>
    <row r="24" spans="2:7" ht="18.75" x14ac:dyDescent="0.25">
      <c r="B24" s="41">
        <v>3</v>
      </c>
      <c r="C24" s="84">
        <v>22.687999999999999</v>
      </c>
      <c r="D24" s="84">
        <v>22.687999999999999</v>
      </c>
    </row>
    <row r="25" spans="2:7" ht="18.75" x14ac:dyDescent="0.25">
      <c r="B25" s="41">
        <v>4</v>
      </c>
      <c r="C25" s="84">
        <v>22.649000000000001</v>
      </c>
      <c r="D25" s="84">
        <v>22.649000000000001</v>
      </c>
    </row>
    <row r="26" spans="2:7" ht="18.75" x14ac:dyDescent="0.25">
      <c r="B26" s="41">
        <v>5</v>
      </c>
      <c r="C26" s="84">
        <v>22.486000000000001</v>
      </c>
      <c r="D26" s="84">
        <v>22.486000000000001</v>
      </c>
    </row>
    <row r="27" spans="2:7" ht="18.75" x14ac:dyDescent="0.25">
      <c r="B27" s="41">
        <v>6</v>
      </c>
      <c r="C27" s="84">
        <v>22.486000000000001</v>
      </c>
      <c r="D27" s="84">
        <v>22.486000000000001</v>
      </c>
    </row>
    <row r="28" spans="2:7" ht="18.75" x14ac:dyDescent="0.25">
      <c r="B28" s="41">
        <v>7</v>
      </c>
      <c r="C28" s="84">
        <v>22.547000000000001</v>
      </c>
      <c r="D28" s="84">
        <v>22.547000000000001</v>
      </c>
    </row>
    <row r="29" spans="2:7" ht="18.75" x14ac:dyDescent="0.25">
      <c r="B29" s="41">
        <v>8</v>
      </c>
      <c r="C29" s="84">
        <v>22.295000000000002</v>
      </c>
      <c r="D29" s="84">
        <v>22.295000000000002</v>
      </c>
    </row>
    <row r="30" spans="2:7" ht="18.75" x14ac:dyDescent="0.25">
      <c r="B30" s="41">
        <v>9</v>
      </c>
      <c r="C30" s="84">
        <v>22.132000000000001</v>
      </c>
      <c r="D30" s="84">
        <v>22.132000000000001</v>
      </c>
    </row>
    <row r="31" spans="2:7" ht="18.75" x14ac:dyDescent="0.25">
      <c r="B31" s="41">
        <v>10</v>
      </c>
      <c r="C31" s="84">
        <v>22.54</v>
      </c>
      <c r="D31" s="84">
        <v>22.54</v>
      </c>
    </row>
    <row r="32" spans="2:7" ht="18.75" x14ac:dyDescent="0.25">
      <c r="B32" s="41">
        <v>11</v>
      </c>
      <c r="C32" s="84">
        <v>22.812000000000001</v>
      </c>
      <c r="D32" s="84">
        <v>22.812000000000001</v>
      </c>
    </row>
    <row r="33" spans="2:4" ht="18.75" x14ac:dyDescent="0.25">
      <c r="B33" s="41">
        <v>12</v>
      </c>
      <c r="C33" s="84">
        <v>22.731999999999999</v>
      </c>
      <c r="D33" s="84">
        <v>22.731999999999999</v>
      </c>
    </row>
    <row r="34" spans="2:4" ht="18.75" x14ac:dyDescent="0.25">
      <c r="B34" s="41">
        <v>13</v>
      </c>
      <c r="C34" s="84">
        <v>22.152999999999999</v>
      </c>
      <c r="D34" s="84">
        <v>22.152999999999999</v>
      </c>
    </row>
    <row r="35" spans="2:4" ht="18.75" x14ac:dyDescent="0.25">
      <c r="B35" s="41">
        <v>14</v>
      </c>
      <c r="C35" s="84">
        <v>22.332000000000001</v>
      </c>
      <c r="D35" s="84">
        <v>22.332000000000001</v>
      </c>
    </row>
    <row r="36" spans="2:4" ht="18.75" x14ac:dyDescent="0.25">
      <c r="B36" s="41">
        <v>15</v>
      </c>
      <c r="C36" s="84">
        <v>23.396999999999998</v>
      </c>
      <c r="D36" s="84">
        <v>23.396999999999998</v>
      </c>
    </row>
    <row r="37" spans="2:4" ht="18.75" x14ac:dyDescent="0.25">
      <c r="B37" s="41">
        <v>16</v>
      </c>
      <c r="C37" s="84">
        <v>22.718</v>
      </c>
      <c r="D37" s="84">
        <v>22.718</v>
      </c>
    </row>
    <row r="38" spans="2:4" ht="18.75" x14ac:dyDescent="0.25">
      <c r="B38" s="41">
        <v>17</v>
      </c>
      <c r="C38" s="84">
        <v>22.058</v>
      </c>
      <c r="D38" s="84">
        <v>22.058</v>
      </c>
    </row>
    <row r="39" spans="2:4" ht="18.75" x14ac:dyDescent="0.25">
      <c r="B39" s="41">
        <v>18</v>
      </c>
      <c r="C39" s="84">
        <v>22.053000000000001</v>
      </c>
      <c r="D39" s="84">
        <v>22.053000000000001</v>
      </c>
    </row>
    <row r="40" spans="2:4" ht="18.75" x14ac:dyDescent="0.25">
      <c r="B40" s="41">
        <v>19</v>
      </c>
      <c r="C40" s="84">
        <v>22.036000000000001</v>
      </c>
      <c r="D40" s="84">
        <v>22.036000000000001</v>
      </c>
    </row>
    <row r="41" spans="2:4" ht="18.75" x14ac:dyDescent="0.25">
      <c r="B41" s="41">
        <v>20</v>
      </c>
      <c r="C41" s="84">
        <v>22.021000000000001</v>
      </c>
      <c r="D41" s="84">
        <v>22.021000000000001</v>
      </c>
    </row>
    <row r="42" spans="2:4" ht="18.75" x14ac:dyDescent="0.25">
      <c r="B42" s="41">
        <v>21</v>
      </c>
      <c r="C42" s="84">
        <v>22.04</v>
      </c>
      <c r="D42" s="84">
        <v>22.04</v>
      </c>
    </row>
    <row r="43" spans="2:4" ht="18.75" x14ac:dyDescent="0.25">
      <c r="B43" s="41">
        <v>22</v>
      </c>
      <c r="C43" s="84">
        <v>22.036999999999999</v>
      </c>
      <c r="D43" s="84">
        <v>22.036999999999999</v>
      </c>
    </row>
    <row r="44" spans="2:4" ht="18.75" x14ac:dyDescent="0.25">
      <c r="B44" s="41">
        <v>23</v>
      </c>
      <c r="C44" s="84">
        <v>22.100999999999999</v>
      </c>
      <c r="D44" s="84">
        <v>22.100999999999999</v>
      </c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>
        <f>AVERAGE(C22:C45)</f>
        <v>22.430913043478263</v>
      </c>
      <c r="D46" s="87"/>
    </row>
    <row r="47" spans="2:4" ht="31.5" x14ac:dyDescent="0.25">
      <c r="B47" s="44" t="s">
        <v>48</v>
      </c>
      <c r="C47" s="43">
        <f>_xlfn.STDEV.S(C21:C45)</f>
        <v>0.35699183758378716</v>
      </c>
      <c r="D47" s="45" t="s">
        <v>49</v>
      </c>
    </row>
    <row r="48" spans="2:4" ht="15.75" x14ac:dyDescent="0.25">
      <c r="B48" s="42" t="s">
        <v>50</v>
      </c>
      <c r="C48" s="88" t="str">
        <f>IF(ABS(C47)&gt;=2.5,"NO CUMPLE CON DS T°C DEL SHELTER"," CUMPLE CON DS T°C DEL SHELTER")</f>
        <v xml:space="preserve"> CUMPLE CON DS T°C DEL SHELTER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'FOM303-32-Imprimir'!C28</f>
        <v>46071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'FOM303-32-Imprimir'!E28</f>
        <v>46071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161"/>
      <c r="D21" s="162"/>
    </row>
    <row r="22" spans="2:7" ht="18.75" x14ac:dyDescent="0.25">
      <c r="B22" s="41">
        <v>1</v>
      </c>
      <c r="C22" s="161"/>
      <c r="D22" s="162"/>
    </row>
    <row r="23" spans="2:7" ht="18.75" x14ac:dyDescent="0.25">
      <c r="B23" s="41">
        <v>2</v>
      </c>
      <c r="C23" s="161"/>
      <c r="D23" s="162"/>
    </row>
    <row r="24" spans="2:7" ht="18.75" x14ac:dyDescent="0.25">
      <c r="B24" s="41">
        <v>3</v>
      </c>
      <c r="C24" s="161"/>
      <c r="D24" s="162"/>
    </row>
    <row r="25" spans="2:7" ht="18.75" x14ac:dyDescent="0.25">
      <c r="B25" s="41">
        <v>4</v>
      </c>
      <c r="C25" s="161"/>
      <c r="D25" s="162"/>
    </row>
    <row r="26" spans="2:7" ht="18.75" x14ac:dyDescent="0.25">
      <c r="B26" s="41">
        <v>5</v>
      </c>
      <c r="C26" s="161"/>
      <c r="D26" s="162"/>
    </row>
    <row r="27" spans="2:7" ht="18.75" x14ac:dyDescent="0.25">
      <c r="B27" s="41">
        <v>6</v>
      </c>
      <c r="C27" s="161"/>
      <c r="D27" s="162"/>
    </row>
    <row r="28" spans="2:7" ht="18.75" x14ac:dyDescent="0.25">
      <c r="B28" s="41">
        <v>7</v>
      </c>
      <c r="C28" s="161"/>
      <c r="D28" s="162"/>
    </row>
    <row r="29" spans="2:7" ht="18.75" x14ac:dyDescent="0.25">
      <c r="B29" s="41">
        <v>8</v>
      </c>
      <c r="C29" s="161"/>
      <c r="D29" s="162"/>
    </row>
    <row r="30" spans="2:7" ht="18.75" x14ac:dyDescent="0.25">
      <c r="B30" s="41">
        <v>9</v>
      </c>
      <c r="C30" s="161"/>
      <c r="D30" s="162"/>
    </row>
    <row r="31" spans="2:7" ht="18.75" x14ac:dyDescent="0.25">
      <c r="B31" s="41">
        <v>10</v>
      </c>
      <c r="C31" s="161"/>
      <c r="D31" s="162"/>
    </row>
    <row r="32" spans="2:7" ht="18.75" x14ac:dyDescent="0.25">
      <c r="B32" s="41">
        <v>11</v>
      </c>
      <c r="C32" s="161"/>
      <c r="D32" s="162"/>
    </row>
    <row r="33" spans="2:4" ht="18.75" x14ac:dyDescent="0.25">
      <c r="B33" s="41">
        <v>12</v>
      </c>
      <c r="C33" s="161"/>
      <c r="D33" s="162"/>
    </row>
    <row r="34" spans="2:4" ht="18.75" x14ac:dyDescent="0.25">
      <c r="B34" s="41">
        <v>13</v>
      </c>
      <c r="C34" s="161"/>
      <c r="D34" s="162"/>
    </row>
    <row r="35" spans="2:4" ht="18.75" x14ac:dyDescent="0.25">
      <c r="B35" s="41">
        <v>14</v>
      </c>
      <c r="C35" s="161"/>
      <c r="D35" s="162"/>
    </row>
    <row r="36" spans="2:4" ht="18.75" x14ac:dyDescent="0.25">
      <c r="B36" s="41">
        <v>15</v>
      </c>
      <c r="C36" s="161"/>
      <c r="D36" s="162"/>
    </row>
    <row r="37" spans="2:4" ht="18.75" x14ac:dyDescent="0.25">
      <c r="B37" s="41">
        <v>16</v>
      </c>
      <c r="C37" s="161"/>
      <c r="D37" s="162"/>
    </row>
    <row r="38" spans="2:4" ht="18.75" x14ac:dyDescent="0.25">
      <c r="B38" s="41">
        <v>17</v>
      </c>
      <c r="C38" s="161"/>
      <c r="D38" s="162"/>
    </row>
    <row r="39" spans="2:4" ht="18.75" x14ac:dyDescent="0.25">
      <c r="B39" s="41">
        <v>18</v>
      </c>
      <c r="C39" s="161"/>
      <c r="D39" s="162"/>
    </row>
    <row r="40" spans="2:4" ht="18.75" x14ac:dyDescent="0.25">
      <c r="B40" s="41">
        <v>19</v>
      </c>
      <c r="C40" s="161"/>
      <c r="D40" s="162"/>
    </row>
    <row r="41" spans="2:4" ht="18.75" x14ac:dyDescent="0.25">
      <c r="B41" s="41">
        <v>20</v>
      </c>
      <c r="C41" s="161"/>
      <c r="D41" s="162"/>
    </row>
    <row r="42" spans="2:4" ht="18.75" x14ac:dyDescent="0.25">
      <c r="B42" s="41">
        <v>21</v>
      </c>
      <c r="C42" s="161"/>
      <c r="D42" s="162"/>
    </row>
    <row r="43" spans="2:4" ht="18.75" x14ac:dyDescent="0.25">
      <c r="B43" s="41">
        <v>22</v>
      </c>
      <c r="C43" s="161"/>
      <c r="D43" s="162"/>
    </row>
    <row r="44" spans="2:4" ht="18.75" x14ac:dyDescent="0.25">
      <c r="B44" s="41">
        <v>23</v>
      </c>
      <c r="C44" s="161"/>
      <c r="D44" s="162"/>
    </row>
    <row r="45" spans="2:4" ht="18.75" x14ac:dyDescent="0.25">
      <c r="B45" s="41">
        <v>24</v>
      </c>
      <c r="C45" s="161"/>
      <c r="D45" s="162"/>
    </row>
    <row r="46" spans="2:4" ht="33.75" customHeight="1" x14ac:dyDescent="0.25">
      <c r="B46" s="42" t="s">
        <v>47</v>
      </c>
      <c r="C46" s="163" t="e">
        <f>AVERAGE(C22:C45)</f>
        <v>#DIV/0!</v>
      </c>
      <c r="D46" s="164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165" t="e">
        <f>IF(ABS(C47)&gt;=2.5,"NO CUMPLE CON DS T°C DEL SHELTER"," CUMPLE CON DS T°C DEL SHELTER")</f>
        <v>#DIV/0!</v>
      </c>
      <c r="D48" s="166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'FOM303-32-Imprimir'!C29</f>
        <v>46072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'FOM303-32-Imprimir'!E29</f>
        <v>46072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ht="12.95" customHeight="1" x14ac:dyDescent="0.25">
      <c r="B17" s="86" t="s">
        <v>45</v>
      </c>
      <c r="C17" s="86" t="s">
        <v>46</v>
      </c>
      <c r="D17" s="86"/>
      <c r="E17" s="25"/>
      <c r="G17" s="25"/>
    </row>
    <row r="18" spans="2:7" ht="12.95" customHeight="1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'FOM303-32-Imprimir'!C30</f>
        <v>46073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'FOM303-32-Imprimir'!E30</f>
        <v>46073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'FOM303-32-Imprimir'!C31</f>
        <v>46074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'FOM303-32-Imprimir'!E31</f>
        <v>46074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'FOM303-32-Imprimir'!C32</f>
        <v>46075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'FOM303-32-Imprimir'!E32</f>
        <v>46075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'FOM303-32-Imprimir'!C33</f>
        <v>46076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'FOM303-32-Imprimir'!E33</f>
        <v>46076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'FOM303-32-Imprimir'!C34</f>
        <v>46077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'FOM303-32-Imprimir'!E34</f>
        <v>46077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'FOM303-32-Imprimir'!C35</f>
        <v>46078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'FOM303-32-Imprimir'!E35</f>
        <v>46078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'FOM303-32-Imprimir'!C36</f>
        <v>46079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'FOM303-32-Imprimir'!E36</f>
        <v>46079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ht="12.95" customHeight="1" x14ac:dyDescent="0.25">
      <c r="B17" s="86" t="s">
        <v>45</v>
      </c>
      <c r="C17" s="86" t="s">
        <v>46</v>
      </c>
      <c r="D17" s="86"/>
      <c r="E17" s="25"/>
      <c r="G17" s="25"/>
    </row>
    <row r="18" spans="2:7" ht="12.95" customHeight="1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'FOM303-32-Imprimir'!C37</f>
        <v>46080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'FOM303-32-Imprimir'!E37</f>
        <v>46080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'FOM303-32-Imprimir'!C38</f>
        <v>46081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'FOM303-32-Imprimir'!E38</f>
        <v>46081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'FOM303-32-Imprimir'!C39</f>
        <v>0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'FOM303-32-Imprimir'!E39</f>
        <v>0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75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75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75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75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75" x14ac:dyDescent="0.25">
      <c r="A11" s="22" t="s">
        <v>40</v>
      </c>
      <c r="B11" s="81">
        <f>'FOM303-32-Imprimir'!C40</f>
        <v>0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75" x14ac:dyDescent="0.25">
      <c r="A12" s="22" t="s">
        <v>42</v>
      </c>
      <c r="B12" s="81">
        <f>'FOM303-32-Imprimir'!E40</f>
        <v>0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ht="12.95" customHeight="1" x14ac:dyDescent="0.25">
      <c r="B17" s="86" t="s">
        <v>45</v>
      </c>
      <c r="C17" s="86" t="s">
        <v>46</v>
      </c>
      <c r="D17" s="86"/>
      <c r="E17" s="25"/>
      <c r="G17" s="25"/>
    </row>
    <row r="18" spans="2:7" ht="12.95" customHeight="1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802-9700-48B5-BC1B-A1E7185183C6}">
  <dimension ref="A1:L50"/>
  <sheetViews>
    <sheetView showGridLines="0" tabSelected="1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7" customWidth="1"/>
    <col min="2" max="2" width="27" style="17" customWidth="1"/>
    <col min="3" max="3" width="18.140625" style="17" customWidth="1"/>
    <col min="4" max="4" width="17" style="17" customWidth="1"/>
    <col min="5" max="5" width="10.28515625" style="17" bestFit="1" customWidth="1"/>
    <col min="6" max="7" width="11.42578125" style="17"/>
    <col min="8" max="8" width="5" style="17" customWidth="1"/>
    <col min="9" max="16384" width="11.42578125" style="17"/>
  </cols>
  <sheetData>
    <row r="1" spans="1:12" s="18" customFormat="1" ht="22.5" customHeight="1" thickBot="1" x14ac:dyDescent="0.3">
      <c r="A1" s="14"/>
      <c r="B1" s="66" t="s">
        <v>0</v>
      </c>
      <c r="C1" s="67"/>
      <c r="D1" s="67"/>
      <c r="E1" s="68"/>
      <c r="F1" s="69" t="s">
        <v>34</v>
      </c>
      <c r="G1" s="70"/>
      <c r="H1" s="17"/>
      <c r="I1" s="17"/>
      <c r="J1" s="1"/>
      <c r="K1" s="1"/>
      <c r="L1" s="1"/>
    </row>
    <row r="2" spans="1:12" s="18" customFormat="1" ht="22.5" customHeight="1" x14ac:dyDescent="0.25">
      <c r="A2" s="15"/>
      <c r="B2" s="75" t="s">
        <v>2</v>
      </c>
      <c r="C2" s="76"/>
      <c r="D2" s="76"/>
      <c r="E2" s="77"/>
      <c r="F2" s="71"/>
      <c r="G2" s="72"/>
      <c r="H2" s="17"/>
      <c r="I2" s="17"/>
      <c r="J2" s="1"/>
      <c r="K2" s="1"/>
      <c r="L2" s="1"/>
    </row>
    <row r="3" spans="1:12" s="18" customFormat="1" ht="22.5" customHeight="1" thickBot="1" x14ac:dyDescent="0.3">
      <c r="A3" s="16"/>
      <c r="B3" s="78"/>
      <c r="C3" s="79"/>
      <c r="D3" s="79"/>
      <c r="E3" s="80"/>
      <c r="F3" s="73"/>
      <c r="G3" s="74"/>
      <c r="H3" s="17"/>
      <c r="I3" s="17"/>
      <c r="J3" s="2"/>
      <c r="K3" s="2"/>
      <c r="L3" s="2"/>
    </row>
    <row r="4" spans="1:12" ht="7.5" customHeight="1" x14ac:dyDescent="0.25">
      <c r="A4" s="36"/>
      <c r="B4" s="36"/>
      <c r="C4" s="36"/>
      <c r="D4" s="36"/>
      <c r="E4" s="36"/>
      <c r="F4" s="36"/>
      <c r="G4" s="36"/>
    </row>
    <row r="5" spans="1:12" ht="15.75" x14ac:dyDescent="0.25">
      <c r="A5" s="19"/>
      <c r="B5" s="19"/>
      <c r="C5" s="19"/>
      <c r="D5" s="19"/>
      <c r="E5" s="19"/>
    </row>
    <row r="7" spans="1:12" ht="15.6" customHeight="1" x14ac:dyDescent="0.25">
      <c r="A7" s="20" t="s">
        <v>3</v>
      </c>
      <c r="B7" s="63" t="str" cm="1">
        <f t="array" ref="B7">'Dia 1'!B7:B7</f>
        <v>AEROCIVIL</v>
      </c>
      <c r="C7" s="64"/>
      <c r="D7" s="20" t="s">
        <v>5</v>
      </c>
      <c r="E7" s="65" t="str" cm="1">
        <f t="array" ref="E7">'Dia 1'!E7:E7</f>
        <v>Bogotá DC</v>
      </c>
      <c r="F7" s="65"/>
      <c r="G7" s="65"/>
    </row>
    <row r="8" spans="1:12" ht="15.6" customHeight="1" x14ac:dyDescent="0.25">
      <c r="A8" s="20" t="s">
        <v>36</v>
      </c>
      <c r="B8" s="63" t="str" cm="1">
        <f t="array" ref="B8">'Dia 1'!B8:B8</f>
        <v>CA4 Funza</v>
      </c>
      <c r="C8" s="64"/>
      <c r="D8" s="21" t="s">
        <v>10</v>
      </c>
      <c r="E8" s="65" t="str" cm="1">
        <f t="array" ref="E8">'Dia 1'!E8:E8</f>
        <v xml:space="preserve">Distrito Capital </v>
      </c>
      <c r="F8" s="65"/>
      <c r="G8" s="65"/>
    </row>
    <row r="9" spans="1:12" ht="15.6" customHeight="1" x14ac:dyDescent="0.25">
      <c r="A9" s="20" t="s">
        <v>9</v>
      </c>
      <c r="B9" s="63" cm="1">
        <f t="array" ref="B9">'Dia 1'!B9:B9</f>
        <v>2078871.8419999999</v>
      </c>
      <c r="C9" s="64"/>
      <c r="D9" s="21" t="s">
        <v>14</v>
      </c>
      <c r="E9" s="65" cm="1">
        <f t="array" ref="E9">'Dia 1'!E9:E9</f>
        <v>-4870008.2280000001</v>
      </c>
      <c r="F9" s="65"/>
      <c r="G9" s="65"/>
    </row>
    <row r="10" spans="1:12" ht="15.6" customHeight="1" x14ac:dyDescent="0.25">
      <c r="A10" s="20" t="s">
        <v>37</v>
      </c>
      <c r="B10" s="63" t="str" cm="1">
        <f t="array" ref="B10">'Dia 1'!B10:B10</f>
        <v>Leonardo Pérez</v>
      </c>
      <c r="C10" s="64"/>
      <c r="D10" s="20" t="s">
        <v>39</v>
      </c>
      <c r="E10" s="65" cm="1">
        <f t="array" ref="E10">'Dia 1'!E10:E10</f>
        <v>2550</v>
      </c>
      <c r="F10" s="65"/>
      <c r="G10" s="65"/>
    </row>
    <row r="11" spans="1:12" ht="15.6" customHeight="1" x14ac:dyDescent="0.25">
      <c r="A11" s="22" t="s">
        <v>40</v>
      </c>
      <c r="B11" s="81">
        <f>'FOM303-32-Imprimir'!C41</f>
        <v>0</v>
      </c>
      <c r="C11" s="82"/>
      <c r="D11" s="23" t="s">
        <v>41</v>
      </c>
      <c r="E11" s="83" cm="1">
        <f t="array" ref="E11">'Dia 1'!E11:E11</f>
        <v>0</v>
      </c>
      <c r="F11" s="83"/>
      <c r="G11" s="83"/>
    </row>
    <row r="12" spans="1:12" ht="15.6" customHeight="1" x14ac:dyDescent="0.25">
      <c r="A12" s="22" t="s">
        <v>42</v>
      </c>
      <c r="B12" s="81">
        <f>'FOM303-32-Imprimir'!E41</f>
        <v>0</v>
      </c>
      <c r="C12" s="82"/>
      <c r="D12" s="22" t="s">
        <v>43</v>
      </c>
      <c r="E12" s="83" cm="1">
        <f t="array" ref="E12">'Dia 1'!E12:E12</f>
        <v>0.95833333333333337</v>
      </c>
      <c r="F12" s="83"/>
      <c r="G12" s="83"/>
    </row>
    <row r="15" spans="1:12" x14ac:dyDescent="0.25">
      <c r="B15" s="85" t="s">
        <v>44</v>
      </c>
      <c r="C15" s="85"/>
      <c r="D15" s="85"/>
      <c r="E15" s="24"/>
    </row>
    <row r="16" spans="1:12" ht="12.75" customHeight="1" x14ac:dyDescent="0.25"/>
    <row r="17" spans="2:7" x14ac:dyDescent="0.25">
      <c r="B17" s="86" t="s">
        <v>45</v>
      </c>
      <c r="C17" s="86" t="s">
        <v>46</v>
      </c>
      <c r="D17" s="86"/>
      <c r="E17" s="25"/>
      <c r="G17" s="25"/>
    </row>
    <row r="18" spans="2:7" x14ac:dyDescent="0.25">
      <c r="B18" s="86"/>
      <c r="C18" s="86"/>
      <c r="D18" s="86"/>
      <c r="E18" s="25"/>
      <c r="G18" s="25"/>
    </row>
    <row r="19" spans="2:7" ht="18.75" customHeight="1" x14ac:dyDescent="0.25">
      <c r="B19" s="86"/>
      <c r="C19" s="86"/>
      <c r="D19" s="86"/>
    </row>
    <row r="20" spans="2:7" x14ac:dyDescent="0.25">
      <c r="B20" s="86"/>
      <c r="C20" s="86"/>
      <c r="D20" s="86"/>
    </row>
    <row r="21" spans="2:7" ht="18.75" x14ac:dyDescent="0.25">
      <c r="B21" s="41">
        <v>0</v>
      </c>
      <c r="C21" s="84"/>
      <c r="D21" s="84"/>
    </row>
    <row r="22" spans="2:7" ht="18.75" x14ac:dyDescent="0.25">
      <c r="B22" s="41">
        <v>1</v>
      </c>
      <c r="C22" s="84"/>
      <c r="D22" s="84"/>
    </row>
    <row r="23" spans="2:7" ht="18.75" x14ac:dyDescent="0.25">
      <c r="B23" s="41">
        <v>2</v>
      </c>
      <c r="C23" s="84"/>
      <c r="D23" s="84"/>
    </row>
    <row r="24" spans="2:7" ht="18.75" x14ac:dyDescent="0.25">
      <c r="B24" s="41">
        <v>3</v>
      </c>
      <c r="C24" s="84"/>
      <c r="D24" s="84"/>
    </row>
    <row r="25" spans="2:7" ht="18.75" x14ac:dyDescent="0.25">
      <c r="B25" s="41">
        <v>4</v>
      </c>
      <c r="C25" s="84"/>
      <c r="D25" s="84"/>
    </row>
    <row r="26" spans="2:7" ht="18.75" x14ac:dyDescent="0.25">
      <c r="B26" s="41">
        <v>5</v>
      </c>
      <c r="C26" s="84"/>
      <c r="D26" s="84"/>
    </row>
    <row r="27" spans="2:7" ht="18.75" x14ac:dyDescent="0.25">
      <c r="B27" s="41">
        <v>6</v>
      </c>
      <c r="C27" s="84"/>
      <c r="D27" s="84"/>
    </row>
    <row r="28" spans="2:7" ht="18.75" x14ac:dyDescent="0.25">
      <c r="B28" s="41">
        <v>7</v>
      </c>
      <c r="C28" s="84"/>
      <c r="D28" s="84"/>
    </row>
    <row r="29" spans="2:7" ht="18.75" x14ac:dyDescent="0.25">
      <c r="B29" s="41">
        <v>8</v>
      </c>
      <c r="C29" s="84"/>
      <c r="D29" s="84"/>
    </row>
    <row r="30" spans="2:7" ht="18.75" x14ac:dyDescent="0.25">
      <c r="B30" s="41">
        <v>9</v>
      </c>
      <c r="C30" s="84"/>
      <c r="D30" s="84"/>
    </row>
    <row r="31" spans="2:7" ht="18.75" x14ac:dyDescent="0.25">
      <c r="B31" s="41">
        <v>10</v>
      </c>
      <c r="C31" s="84"/>
      <c r="D31" s="84"/>
    </row>
    <row r="32" spans="2:7" ht="18.75" x14ac:dyDescent="0.25">
      <c r="B32" s="41">
        <v>11</v>
      </c>
      <c r="C32" s="84"/>
      <c r="D32" s="84"/>
    </row>
    <row r="33" spans="2:4" ht="18.75" x14ac:dyDescent="0.25">
      <c r="B33" s="41">
        <v>12</v>
      </c>
      <c r="C33" s="84"/>
      <c r="D33" s="84"/>
    </row>
    <row r="34" spans="2:4" ht="18.75" x14ac:dyDescent="0.25">
      <c r="B34" s="41">
        <v>13</v>
      </c>
      <c r="C34" s="84"/>
      <c r="D34" s="84"/>
    </row>
    <row r="35" spans="2:4" ht="18.75" x14ac:dyDescent="0.25">
      <c r="B35" s="41">
        <v>14</v>
      </c>
      <c r="C35" s="84"/>
      <c r="D35" s="84"/>
    </row>
    <row r="36" spans="2:4" ht="18.75" x14ac:dyDescent="0.25">
      <c r="B36" s="41">
        <v>15</v>
      </c>
      <c r="C36" s="84"/>
      <c r="D36" s="84"/>
    </row>
    <row r="37" spans="2:4" ht="18.75" x14ac:dyDescent="0.25">
      <c r="B37" s="41">
        <v>16</v>
      </c>
      <c r="C37" s="84"/>
      <c r="D37" s="84"/>
    </row>
    <row r="38" spans="2:4" ht="18.75" x14ac:dyDescent="0.25">
      <c r="B38" s="41">
        <v>17</v>
      </c>
      <c r="C38" s="84"/>
      <c r="D38" s="84"/>
    </row>
    <row r="39" spans="2:4" ht="18.75" x14ac:dyDescent="0.25">
      <c r="B39" s="41">
        <v>18</v>
      </c>
      <c r="C39" s="84"/>
      <c r="D39" s="84"/>
    </row>
    <row r="40" spans="2:4" ht="18.75" x14ac:dyDescent="0.25">
      <c r="B40" s="41">
        <v>19</v>
      </c>
      <c r="C40" s="84"/>
      <c r="D40" s="84"/>
    </row>
    <row r="41" spans="2:4" ht="18.75" x14ac:dyDescent="0.25">
      <c r="B41" s="41">
        <v>20</v>
      </c>
      <c r="C41" s="84"/>
      <c r="D41" s="84"/>
    </row>
    <row r="42" spans="2:4" ht="18.75" x14ac:dyDescent="0.25">
      <c r="B42" s="41">
        <v>21</v>
      </c>
      <c r="C42" s="84"/>
      <c r="D42" s="84"/>
    </row>
    <row r="43" spans="2:4" ht="18.75" x14ac:dyDescent="0.25">
      <c r="B43" s="41">
        <v>22</v>
      </c>
      <c r="C43" s="84"/>
      <c r="D43" s="84"/>
    </row>
    <row r="44" spans="2:4" ht="18.75" x14ac:dyDescent="0.25">
      <c r="B44" s="41">
        <v>23</v>
      </c>
      <c r="C44" s="84"/>
      <c r="D44" s="84"/>
    </row>
    <row r="45" spans="2:4" ht="18.75" x14ac:dyDescent="0.25">
      <c r="B45" s="41">
        <v>24</v>
      </c>
      <c r="C45" s="84"/>
      <c r="D45" s="84"/>
    </row>
    <row r="46" spans="2:4" ht="33.75" customHeight="1" x14ac:dyDescent="0.25">
      <c r="B46" s="42" t="s">
        <v>47</v>
      </c>
      <c r="C46" s="87" t="e">
        <f>AVERAGE(C22:C45)</f>
        <v>#DIV/0!</v>
      </c>
      <c r="D46" s="87"/>
    </row>
    <row r="47" spans="2:4" ht="31.5" x14ac:dyDescent="0.25">
      <c r="B47" s="44" t="s">
        <v>48</v>
      </c>
      <c r="C47" s="43" t="e">
        <f>_xlfn.STDEV.S(C21:C45)</f>
        <v>#DIV/0!</v>
      </c>
      <c r="D47" s="45" t="s">
        <v>49</v>
      </c>
    </row>
    <row r="48" spans="2:4" ht="15.75" x14ac:dyDescent="0.25">
      <c r="B48" s="42" t="s">
        <v>50</v>
      </c>
      <c r="C48" s="88" t="e">
        <f>IF(ABS(C47)&gt;=2.5,"NO CUMPLE CON DS T°C DEL SHELTER"," CUMPLE CON DS T°C DEL SHELTER")</f>
        <v>#DIV/0!</v>
      </c>
      <c r="D48" s="88"/>
    </row>
    <row r="50" spans="1:5" ht="15.75" x14ac:dyDescent="0.25">
      <c r="A50" s="89"/>
      <c r="B50" s="89"/>
      <c r="C50" s="89"/>
      <c r="D50" s="89"/>
      <c r="E50" s="89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27" customWidth="1"/>
    <col min="3" max="3" width="67.5703125" style="27" customWidth="1"/>
    <col min="4" max="16384" width="11.42578125" style="27"/>
  </cols>
  <sheetData>
    <row r="2" spans="1:3" ht="15" x14ac:dyDescent="0.25">
      <c r="A2" s="26" t="s">
        <v>51</v>
      </c>
    </row>
    <row r="4" spans="1:3" ht="15" x14ac:dyDescent="0.25">
      <c r="A4" s="28" t="s">
        <v>52</v>
      </c>
      <c r="B4" s="28" t="s">
        <v>53</v>
      </c>
      <c r="C4" s="28" t="s">
        <v>54</v>
      </c>
    </row>
    <row r="5" spans="1:3" x14ac:dyDescent="0.2">
      <c r="A5" s="29">
        <v>44278</v>
      </c>
      <c r="B5" s="30">
        <v>6</v>
      </c>
      <c r="C5" s="31" t="s">
        <v>55</v>
      </c>
    </row>
    <row r="6" spans="1:3" x14ac:dyDescent="0.2">
      <c r="A6" s="29">
        <v>45439</v>
      </c>
      <c r="B6" s="30">
        <v>7</v>
      </c>
      <c r="C6" s="31" t="s">
        <v>56</v>
      </c>
    </row>
    <row r="7" spans="1:3" x14ac:dyDescent="0.2">
      <c r="A7" s="29"/>
      <c r="B7" s="30"/>
      <c r="C7" s="31"/>
    </row>
    <row r="8" spans="1:3" x14ac:dyDescent="0.2">
      <c r="A8" s="29"/>
      <c r="B8" s="30"/>
      <c r="C8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3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2026-02-18T13:55:14Z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