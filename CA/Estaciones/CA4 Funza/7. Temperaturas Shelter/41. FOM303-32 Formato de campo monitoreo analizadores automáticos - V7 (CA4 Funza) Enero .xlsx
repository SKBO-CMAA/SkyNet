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7. Temperaturas Shelter\"/>
    </mc:Choice>
  </mc:AlternateContent>
  <xr:revisionPtr revIDLastSave="0" documentId="8_{79B0EBB0-902D-4602-98A1-8C882796CC88}" xr6:coauthVersionLast="47" xr6:coauthVersionMax="47" xr10:uidLastSave="{00000000-0000-0000-0000-000000000000}"/>
  <bookViews>
    <workbookView xWindow="-120" yWindow="-120" windowWidth="20730" windowHeight="11040" firstSheet="23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C46" i="21" l="1"/>
  <c r="C47" i="21"/>
  <c r="C48" i="21" s="1"/>
  <c r="E41" i="1"/>
  <c r="B12" i="34" s="1"/>
  <c r="E12" i="34" a="1"/>
  <c r="E12" i="34" s="1"/>
  <c r="E11" i="34" a="1"/>
  <c r="E11" i="34" s="1"/>
  <c r="E10" i="34" a="1"/>
  <c r="E10" i="34" s="1"/>
  <c r="B10" i="34" a="1"/>
  <c r="B10" i="34" s="1"/>
  <c r="B8" i="34" a="1"/>
  <c r="B8" i="34" s="1"/>
  <c r="B7" i="34" a="1"/>
  <c r="B7" i="34" s="1"/>
  <c r="E12" i="33" a="1"/>
  <c r="E12" i="33" s="1"/>
  <c r="E11" i="33" a="1"/>
  <c r="E11" i="33" s="1"/>
  <c r="E10" i="33" a="1"/>
  <c r="E10" i="33" s="1"/>
  <c r="E12" i="32" a="1"/>
  <c r="E12" i="32" s="1"/>
  <c r="E11" i="32" a="1"/>
  <c r="E11" i="32" s="1"/>
  <c r="E10" i="32" a="1"/>
  <c r="E10" i="32" s="1"/>
  <c r="E12" i="31" a="1"/>
  <c r="E12" i="31" s="1"/>
  <c r="E11" i="31" a="1"/>
  <c r="E11" i="31" s="1"/>
  <c r="E10" i="31" a="1"/>
  <c r="E10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12" i="29" a="1"/>
  <c r="E12" i="29" s="1"/>
  <c r="E11" i="29" a="1"/>
  <c r="E11" i="29" s="1"/>
  <c r="E10" i="29" a="1"/>
  <c r="E10" i="29" s="1"/>
  <c r="E12" i="28" a="1"/>
  <c r="E12" i="28" s="1"/>
  <c r="E11" i="28" a="1"/>
  <c r="E11" i="28" s="1"/>
  <c r="E10" i="28" a="1"/>
  <c r="E10" i="28" s="1"/>
  <c r="E12" i="27" a="1"/>
  <c r="E12" i="27" s="1"/>
  <c r="E11" i="27" a="1"/>
  <c r="E11" i="27" s="1"/>
  <c r="E10" i="27" a="1"/>
  <c r="E10" i="27" s="1"/>
  <c r="E8" i="27" a="1"/>
  <c r="E8" i="27" s="1"/>
  <c r="E12" i="26" a="1"/>
  <c r="E12" i="26" s="1"/>
  <c r="E11" i="26" a="1"/>
  <c r="E11" i="26" s="1"/>
  <c r="E10" i="26" a="1"/>
  <c r="E10" i="26" s="1"/>
  <c r="E7" i="26" a="1"/>
  <c r="E7" i="26" s="1"/>
  <c r="E12" i="25" a="1"/>
  <c r="E12" i="25" s="1"/>
  <c r="E11" i="25" a="1"/>
  <c r="E11" i="25" s="1"/>
  <c r="E10" i="25" a="1"/>
  <c r="E10" i="25" s="1"/>
  <c r="E12" i="24" a="1"/>
  <c r="E12" i="24" s="1"/>
  <c r="E11" i="24" a="1"/>
  <c r="E11" i="24" s="1"/>
  <c r="E10" i="24" a="1"/>
  <c r="E10" i="24" s="1"/>
  <c r="E12" i="23" a="1"/>
  <c r="E12" i="23" s="1"/>
  <c r="E11" i="23" a="1"/>
  <c r="E11" i="23" s="1"/>
  <c r="E10" i="23" a="1"/>
  <c r="E10" i="23" s="1"/>
  <c r="E12" i="22" a="1"/>
  <c r="E12" i="22" s="1"/>
  <c r="E11" i="22" a="1"/>
  <c r="E11" i="22" s="1"/>
  <c r="E10" i="22" a="1"/>
  <c r="E10" i="22" s="1"/>
  <c r="E12" i="21"/>
  <c r="E12" i="21" a="1"/>
  <c r="E11" i="21" a="1"/>
  <c r="E11" i="21" s="1"/>
  <c r="E10" i="21" a="1"/>
  <c r="E10" i="21" s="1"/>
  <c r="E8" i="21" a="1"/>
  <c r="E8" i="21" s="1"/>
  <c r="E12" i="20" a="1"/>
  <c r="E12" i="20" s="1"/>
  <c r="E11" i="20" a="1"/>
  <c r="E11" i="20" s="1"/>
  <c r="E10" i="20" a="1"/>
  <c r="E10" i="20" s="1"/>
  <c r="E7" i="20" a="1"/>
  <c r="E7" i="20" s="1"/>
  <c r="B10" i="33" a="1"/>
  <c r="B10" i="33" s="1"/>
  <c r="B8" i="33" a="1"/>
  <c r="B8" i="33" s="1"/>
  <c r="B7" i="33" a="1"/>
  <c r="B7" i="33" s="1"/>
  <c r="B10" i="32" a="1"/>
  <c r="B10" i="32" s="1"/>
  <c r="B8" i="32" a="1"/>
  <c r="B8" i="32" s="1"/>
  <c r="B7" i="32" a="1"/>
  <c r="B7" i="32" s="1"/>
  <c r="B10" i="31" a="1"/>
  <c r="B10" i="31" s="1"/>
  <c r="B8" i="31" a="1"/>
  <c r="B8" i="31" s="1"/>
  <c r="B7" i="31" a="1"/>
  <c r="B7" i="31" s="1"/>
  <c r="B10" i="30" a="1"/>
  <c r="B10" i="30" s="1"/>
  <c r="B8" i="30" a="1"/>
  <c r="B8" i="30" s="1"/>
  <c r="B7" i="30" a="1"/>
  <c r="B7" i="30" s="1"/>
  <c r="B10" i="29"/>
  <c r="B10" i="29" a="1"/>
  <c r="B8" i="29" a="1"/>
  <c r="B8" i="29" s="1"/>
  <c r="B7" i="29" a="1"/>
  <c r="B7" i="29" s="1"/>
  <c r="B10" i="28" a="1"/>
  <c r="B10" i="28" s="1"/>
  <c r="B9" i="28" a="1"/>
  <c r="B9" i="28" s="1"/>
  <c r="B8" i="28" a="1"/>
  <c r="B8" i="28" s="1"/>
  <c r="B7" i="28" a="1"/>
  <c r="B7" i="28" s="1"/>
  <c r="B10" i="27" a="1"/>
  <c r="B10" i="27" s="1"/>
  <c r="B8" i="27" a="1"/>
  <c r="B8" i="27" s="1"/>
  <c r="B7" i="27" a="1"/>
  <c r="B7" i="27" s="1"/>
  <c r="B10" i="26" a="1"/>
  <c r="B10" i="26" s="1"/>
  <c r="B9" i="26" a="1"/>
  <c r="B9" i="26" s="1"/>
  <c r="B8" i="26" a="1"/>
  <c r="B8" i="26" s="1"/>
  <c r="B7" i="26" a="1"/>
  <c r="B7" i="26" s="1"/>
  <c r="B10" i="25" a="1"/>
  <c r="B10" i="25" s="1"/>
  <c r="B8" i="25" a="1"/>
  <c r="B8" i="25" s="1"/>
  <c r="B7" i="25" a="1"/>
  <c r="B7" i="25" s="1"/>
  <c r="B10" i="24" a="1"/>
  <c r="B10" i="24" s="1"/>
  <c r="B9" i="24" a="1"/>
  <c r="B9" i="24" s="1"/>
  <c r="B8" i="24" a="1"/>
  <c r="B8" i="24" s="1"/>
  <c r="B7" i="24" a="1"/>
  <c r="B7" i="24" s="1"/>
  <c r="B10" i="23" a="1"/>
  <c r="B10" i="23" s="1"/>
  <c r="B8" i="23" a="1"/>
  <c r="B8" i="23" s="1"/>
  <c r="B7" i="23" a="1"/>
  <c r="B7" i="23" s="1"/>
  <c r="B10" i="22" a="1"/>
  <c r="B10" i="22" s="1"/>
  <c r="B9" i="22" a="1"/>
  <c r="B9" i="22" s="1"/>
  <c r="B8" i="22" a="1"/>
  <c r="B8" i="22" s="1"/>
  <c r="B7" i="22" a="1"/>
  <c r="B7" i="22" s="1"/>
  <c r="B10" i="21" a="1"/>
  <c r="B10" i="21" s="1"/>
  <c r="B8" i="21" a="1"/>
  <c r="B8" i="21" s="1"/>
  <c r="B7" i="21" a="1"/>
  <c r="B7" i="21" s="1"/>
  <c r="B10" i="20" a="1"/>
  <c r="B10" i="20" s="1"/>
  <c r="B9" i="20" a="1"/>
  <c r="B9" i="20" s="1"/>
  <c r="B8" i="20" a="1"/>
  <c r="B8" i="20" s="1"/>
  <c r="B7" i="20" a="1"/>
  <c r="B7" i="20" s="1"/>
  <c r="E10" i="19" a="1"/>
  <c r="E10" i="19" s="1"/>
  <c r="E11" i="19" a="1"/>
  <c r="E11" i="19"/>
  <c r="E12" i="19" a="1"/>
  <c r="E12" i="19" s="1"/>
  <c r="E7" i="19" a="1"/>
  <c r="E7" i="19" s="1"/>
  <c r="B8" i="19" a="1"/>
  <c r="B8" i="19" s="1"/>
  <c r="B10" i="19" a="1"/>
  <c r="B10" i="19" s="1"/>
  <c r="B7" i="19" a="1"/>
  <c r="B7" i="19" s="1"/>
  <c r="E8" i="18" a="1"/>
  <c r="E8" i="18"/>
  <c r="E10" i="18" a="1"/>
  <c r="E10" i="18"/>
  <c r="E11" i="18" a="1"/>
  <c r="E11" i="18" s="1"/>
  <c r="E12" i="18" a="1"/>
  <c r="E12" i="18"/>
  <c r="E7" i="18" a="1"/>
  <c r="E7" i="18" s="1"/>
  <c r="B8" i="18" a="1"/>
  <c r="B8" i="18" s="1"/>
  <c r="B10" i="18" a="1"/>
  <c r="B10" i="18" s="1"/>
  <c r="B7" i="18" a="1"/>
  <c r="B7" i="18" s="1"/>
  <c r="E10" i="17" a="1"/>
  <c r="E10" i="17"/>
  <c r="E11" i="17" a="1"/>
  <c r="E11" i="17"/>
  <c r="E12" i="17" a="1"/>
  <c r="E12" i="17" s="1"/>
  <c r="B8" i="17" a="1"/>
  <c r="B8" i="17" s="1"/>
  <c r="B9" i="17" a="1"/>
  <c r="B9" i="17" s="1"/>
  <c r="B10" i="17" a="1"/>
  <c r="B10" i="17" s="1"/>
  <c r="B7" i="17" a="1"/>
  <c r="B7" i="17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10" i="16" a="1"/>
  <c r="B10" i="16" s="1"/>
  <c r="B7" i="16" a="1"/>
  <c r="B7" i="16" s="1"/>
  <c r="E8" i="15" a="1"/>
  <c r="E8" i="15" s="1"/>
  <c r="E10" i="15" a="1"/>
  <c r="E10" i="15" s="1"/>
  <c r="E11" i="15" a="1"/>
  <c r="E11" i="15" s="1"/>
  <c r="E12" i="15" a="1"/>
  <c r="E12" i="15" s="1"/>
  <c r="B8" i="15" a="1"/>
  <c r="B8" i="15" s="1"/>
  <c r="B9" i="15" a="1"/>
  <c r="B9" i="15" s="1"/>
  <c r="B10" i="15" a="1"/>
  <c r="B10" i="15" s="1"/>
  <c r="B7" i="15" a="1"/>
  <c r="B7" i="15" s="1"/>
  <c r="E10" i="14" a="1"/>
  <c r="E10" i="14" s="1"/>
  <c r="E11" i="14" a="1"/>
  <c r="E11" i="14" s="1"/>
  <c r="E12" i="14" a="1"/>
  <c r="E12" i="14" s="1"/>
  <c r="E7" i="14" a="1"/>
  <c r="E7" i="14" s="1"/>
  <c r="B8" i="14" a="1"/>
  <c r="B8" i="14" s="1"/>
  <c r="B10" i="14" a="1"/>
  <c r="B10" i="14" s="1"/>
  <c r="B7" i="14" a="1"/>
  <c r="B7" i="14" s="1"/>
  <c r="E8" i="13" a="1"/>
  <c r="E8" i="13" s="1"/>
  <c r="E9" i="13" a="1"/>
  <c r="E9" i="13" s="1"/>
  <c r="E10" i="13" a="1"/>
  <c r="E10" i="13"/>
  <c r="E11" i="13" a="1"/>
  <c r="E11" i="13" s="1"/>
  <c r="E12" i="13" a="1"/>
  <c r="E12" i="13" s="1"/>
  <c r="E7" i="13" a="1"/>
  <c r="E7" i="13" s="1"/>
  <c r="B8" i="13" a="1"/>
  <c r="B8" i="13" s="1"/>
  <c r="B9" i="13" a="1"/>
  <c r="B9" i="13" s="1"/>
  <c r="B10" i="13" a="1"/>
  <c r="B10" i="13"/>
  <c r="B7" i="13" a="1"/>
  <c r="B7" i="13" s="1"/>
  <c r="E10" i="12" a="1"/>
  <c r="E10" i="12" s="1"/>
  <c r="E11" i="12" a="1"/>
  <c r="E11" i="12" s="1"/>
  <c r="E12" i="12" a="1"/>
  <c r="E12" i="12" s="1"/>
  <c r="B8" i="12" a="1"/>
  <c r="B8" i="12" s="1"/>
  <c r="B10" i="12" a="1"/>
  <c r="B10" i="12"/>
  <c r="B7" i="12" a="1"/>
  <c r="B7" i="12" s="1"/>
  <c r="E8" i="11" a="1"/>
  <c r="E8" i="11" s="1"/>
  <c r="E10" i="11" a="1"/>
  <c r="E10" i="11" s="1"/>
  <c r="E11" i="11" a="1"/>
  <c r="E11" i="11" s="1"/>
  <c r="E12" i="11" a="1"/>
  <c r="E12" i="11" s="1"/>
  <c r="B8" i="11" a="1"/>
  <c r="B8" i="11"/>
  <c r="B9" i="11" a="1"/>
  <c r="B9" i="11" s="1"/>
  <c r="B10" i="11" a="1"/>
  <c r="B10" i="11" s="1"/>
  <c r="B7" i="11" a="1"/>
  <c r="B7" i="11" s="1"/>
  <c r="E10" i="10" a="1"/>
  <c r="E10" i="10" s="1"/>
  <c r="E11" i="10" a="1"/>
  <c r="E11" i="10" s="1"/>
  <c r="E12" i="10" a="1"/>
  <c r="E12" i="10" s="1"/>
  <c r="E7" i="10" a="1"/>
  <c r="E7" i="10" s="1"/>
  <c r="B8" i="10" a="1"/>
  <c r="B8" i="10" s="1"/>
  <c r="B9" i="10" a="1"/>
  <c r="B9" i="10" s="1"/>
  <c r="B10" i="10" a="1"/>
  <c r="B10" i="10"/>
  <c r="B7" i="10" a="1"/>
  <c r="B7" i="10" s="1"/>
  <c r="E8" i="9" a="1"/>
  <c r="E8" i="9" s="1"/>
  <c r="E10" i="9" a="1"/>
  <c r="E10" i="9" s="1"/>
  <c r="E11" i="9" a="1"/>
  <c r="E11" i="9" s="1"/>
  <c r="B8" i="9" a="1"/>
  <c r="B8" i="9" s="1"/>
  <c r="B9" i="9" a="1"/>
  <c r="B9" i="9" s="1"/>
  <c r="B10" i="9" a="1"/>
  <c r="B10" i="9" s="1"/>
  <c r="B7" i="9" a="1"/>
  <c r="B7" i="9" s="1"/>
  <c r="E10" i="8" a="1"/>
  <c r="E10" i="8" s="1"/>
  <c r="E11" i="8" a="1"/>
  <c r="E11" i="8"/>
  <c r="E12" i="8" a="1"/>
  <c r="E12" i="8" s="1"/>
  <c r="B8" i="8" a="1"/>
  <c r="B8" i="8" s="1"/>
  <c r="B10" i="8" a="1"/>
  <c r="B10" i="8" s="1"/>
  <c r="B7" i="8" a="1"/>
  <c r="B7" i="8" s="1"/>
  <c r="E8" i="3" a="1"/>
  <c r="E8" i="3" s="1"/>
  <c r="E10" i="3" a="1"/>
  <c r="E10" i="3" s="1"/>
  <c r="E11" i="3" a="1"/>
  <c r="E11" i="3" s="1"/>
  <c r="E12" i="3" a="1"/>
  <c r="E12" i="3" s="1"/>
  <c r="E7" i="3" a="1"/>
  <c r="E7" i="3" s="1"/>
  <c r="B8" i="3" a="1"/>
  <c r="B8" i="3"/>
  <c r="B10" i="3" a="1"/>
  <c r="B10" i="3" s="1"/>
  <c r="B7" i="3" a="1"/>
  <c r="B7" i="3" s="1"/>
  <c r="E10" i="7" a="1"/>
  <c r="E10" i="7" s="1"/>
  <c r="E11" i="7" a="1"/>
  <c r="E11" i="7" s="1"/>
  <c r="E12" i="7" a="1"/>
  <c r="E12" i="7" s="1"/>
  <c r="B8" i="7" a="1"/>
  <c r="B8" i="7" s="1"/>
  <c r="B9" i="7" a="1"/>
  <c r="B9" i="7" s="1"/>
  <c r="B10" i="7" a="1"/>
  <c r="B10" i="7" s="1"/>
  <c r="B7" i="7" a="1"/>
  <c r="B7" i="7" s="1"/>
  <c r="E10" i="6" a="1"/>
  <c r="E10" i="6" s="1"/>
  <c r="E11" i="6" a="1"/>
  <c r="E11" i="6"/>
  <c r="E12" i="6" a="1"/>
  <c r="E12" i="6"/>
  <c r="B10" i="6" a="1"/>
  <c r="B10" i="6" s="1"/>
  <c r="B9" i="6" a="1"/>
  <c r="B9" i="6" s="1"/>
  <c r="B8" i="6" a="1"/>
  <c r="B8" i="6" s="1"/>
  <c r="B7" i="6" a="1"/>
  <c r="B7" i="6" s="1"/>
  <c r="E9" i="5" a="1"/>
  <c r="E9" i="5" s="1"/>
  <c r="E9" i="28" s="1" a="1"/>
  <c r="E9" i="28" s="1"/>
  <c r="E8" i="5" a="1"/>
  <c r="E8" i="5" s="1"/>
  <c r="E8" i="34" s="1" a="1"/>
  <c r="E8" i="34" s="1"/>
  <c r="E7" i="5" a="1"/>
  <c r="E7" i="5" s="1"/>
  <c r="E7" i="27" s="1" a="1"/>
  <c r="E7" i="27" s="1"/>
  <c r="B9" i="5" a="1"/>
  <c r="B9" i="5" s="1"/>
  <c r="B9" i="33" s="1" a="1"/>
  <c r="B9" i="33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7" i="6"/>
  <c r="C48" i="6" s="1"/>
  <c r="C46" i="6"/>
  <c r="C47" i="5"/>
  <c r="C48" i="5" s="1"/>
  <c r="C46" i="5"/>
  <c r="C46" i="3"/>
  <c r="C47" i="3"/>
  <c r="C48" i="3" s="1"/>
  <c r="G30" i="1"/>
  <c r="G19" i="1"/>
  <c r="G22" i="1"/>
  <c r="G39" i="1"/>
  <c r="G26" i="1"/>
  <c r="G32" i="1"/>
  <c r="G24" i="1"/>
  <c r="G35" i="1"/>
  <c r="G41" i="1"/>
  <c r="G38" i="1"/>
  <c r="G33" i="1"/>
  <c r="G25" i="1"/>
  <c r="G14" i="1"/>
  <c r="G17" i="1"/>
  <c r="G28" i="1"/>
  <c r="G15" i="1"/>
  <c r="G37" i="1"/>
  <c r="G36" i="1"/>
  <c r="G18" i="1"/>
  <c r="G11" i="1"/>
  <c r="G40" i="1"/>
  <c r="G29" i="1"/>
  <c r="G23" i="1"/>
  <c r="G16" i="1"/>
  <c r="G27" i="1"/>
  <c r="G34" i="1"/>
  <c r="G13" i="1"/>
  <c r="G12" i="1"/>
  <c r="G20" i="1"/>
  <c r="G31" i="1"/>
  <c r="G21" i="1"/>
  <c r="E8" i="20" l="1" a="1"/>
  <c r="E8" i="20" s="1"/>
  <c r="E8" i="26" a="1"/>
  <c r="E8" i="26" s="1"/>
  <c r="E7" i="30" a="1"/>
  <c r="E7" i="30" s="1"/>
  <c r="E9" i="31" a="1"/>
  <c r="E9" i="31" s="1"/>
  <c r="E9" i="18" a="1"/>
  <c r="E9" i="18" s="1"/>
  <c r="E9" i="21" a="1"/>
  <c r="E9" i="21" s="1"/>
  <c r="E7" i="7" a="1"/>
  <c r="E7" i="7" s="1"/>
  <c r="E8" i="7" a="1"/>
  <c r="E8" i="7" s="1"/>
  <c r="E7" i="11" a="1"/>
  <c r="E7" i="11" s="1"/>
  <c r="E9" i="12" a="1"/>
  <c r="E9" i="12" s="1"/>
  <c r="E7" i="15" a="1"/>
  <c r="E7" i="15" s="1"/>
  <c r="E8" i="17" a="1"/>
  <c r="E8" i="17" s="1"/>
  <c r="B9" i="30" a="1"/>
  <c r="B9" i="30" s="1"/>
  <c r="B9" i="32" a="1"/>
  <c r="B9" i="32" s="1"/>
  <c r="E9" i="20" a="1"/>
  <c r="E9" i="20" s="1"/>
  <c r="E7" i="25" a="1"/>
  <c r="E7" i="25" s="1"/>
  <c r="E9" i="26" a="1"/>
  <c r="E9" i="26" s="1"/>
  <c r="E8" i="30" a="1"/>
  <c r="E8" i="30" s="1"/>
  <c r="E9" i="22" a="1"/>
  <c r="E9" i="22" s="1"/>
  <c r="E9" i="27" a="1"/>
  <c r="E9" i="27" s="1"/>
  <c r="E9" i="7" a="1"/>
  <c r="E9" i="7" s="1"/>
  <c r="E9" i="17" a="1"/>
  <c r="E9" i="17" s="1"/>
  <c r="E9" i="6" a="1"/>
  <c r="E9" i="6" s="1"/>
  <c r="B9" i="8" a="1"/>
  <c r="B9" i="8" s="1"/>
  <c r="E7" i="9" a="1"/>
  <c r="E7" i="9" s="1"/>
  <c r="E9" i="10" a="1"/>
  <c r="E9" i="10" s="1"/>
  <c r="E8" i="12" a="1"/>
  <c r="E8" i="12" s="1"/>
  <c r="B9" i="14" a="1"/>
  <c r="B9" i="14" s="1"/>
  <c r="E9" i="14" a="1"/>
  <c r="E9" i="14" s="1"/>
  <c r="E7" i="17" a="1"/>
  <c r="E7" i="17" s="1"/>
  <c r="E7" i="24" a="1"/>
  <c r="E7" i="24" s="1"/>
  <c r="E8" i="25" a="1"/>
  <c r="E8" i="25" s="1"/>
  <c r="E7" i="29" a="1"/>
  <c r="E7" i="29" s="1"/>
  <c r="E9" i="30" a="1"/>
  <c r="E9" i="30" s="1"/>
  <c r="E7" i="33" a="1"/>
  <c r="E7" i="33" s="1"/>
  <c r="B9" i="34" a="1"/>
  <c r="B9" i="34" s="1"/>
  <c r="E9" i="3" a="1"/>
  <c r="E9" i="3" s="1"/>
  <c r="E9" i="34" a="1"/>
  <c r="E9" i="34" s="1"/>
  <c r="E7" i="6" a="1"/>
  <c r="E7" i="6" s="1"/>
  <c r="E8" i="10" a="1"/>
  <c r="E8" i="10" s="1"/>
  <c r="B9" i="12" a="1"/>
  <c r="B9" i="12" s="1"/>
  <c r="E8" i="14" a="1"/>
  <c r="E8" i="14" s="1"/>
  <c r="E9" i="16" a="1"/>
  <c r="E9" i="16" s="1"/>
  <c r="E9" i="19" a="1"/>
  <c r="E9" i="19" s="1"/>
  <c r="B9" i="21" a="1"/>
  <c r="B9" i="21" s="1"/>
  <c r="B9" i="23" a="1"/>
  <c r="B9" i="23" s="1"/>
  <c r="B9" i="25" a="1"/>
  <c r="B9" i="25" s="1"/>
  <c r="E7" i="23" a="1"/>
  <c r="E7" i="23" s="1"/>
  <c r="E8" i="24" a="1"/>
  <c r="E8" i="24" s="1"/>
  <c r="E9" i="25" a="1"/>
  <c r="E9" i="25" s="1"/>
  <c r="E7" i="28" a="1"/>
  <c r="E7" i="28" s="1"/>
  <c r="E8" i="29" a="1"/>
  <c r="E8" i="29" s="1"/>
  <c r="E8" i="33" a="1"/>
  <c r="E8" i="33" s="1"/>
  <c r="E9" i="9" a="1"/>
  <c r="E9" i="9" s="1"/>
  <c r="E9" i="15" a="1"/>
  <c r="E9" i="15" s="1"/>
  <c r="E8" i="6" a="1"/>
  <c r="E8" i="6" s="1"/>
  <c r="E7" i="8" a="1"/>
  <c r="E7" i="8" s="1"/>
  <c r="E9" i="8" a="1"/>
  <c r="E9" i="8" s="1"/>
  <c r="B9" i="16" a="1"/>
  <c r="B9" i="16" s="1"/>
  <c r="B9" i="19" a="1"/>
  <c r="B9" i="19" s="1"/>
  <c r="E8" i="19" a="1"/>
  <c r="E8" i="19" s="1"/>
  <c r="B9" i="27" a="1"/>
  <c r="B9" i="27" s="1"/>
  <c r="B9" i="29" a="1"/>
  <c r="B9" i="29" s="1"/>
  <c r="E7" i="22" a="1"/>
  <c r="E7" i="22" s="1"/>
  <c r="E8" i="23" a="1"/>
  <c r="E8" i="23" s="1"/>
  <c r="E9" i="24" a="1"/>
  <c r="E9" i="24" s="1"/>
  <c r="E8" i="28" a="1"/>
  <c r="E8" i="28" s="1"/>
  <c r="E9" i="29" a="1"/>
  <c r="E9" i="29" s="1"/>
  <c r="E7" i="32" a="1"/>
  <c r="E7" i="32" s="1"/>
  <c r="E9" i="33" a="1"/>
  <c r="E9" i="33" s="1"/>
  <c r="E7" i="34" a="1"/>
  <c r="E7" i="34" s="1"/>
  <c r="E9" i="11" a="1"/>
  <c r="E9" i="11" s="1"/>
  <c r="E9" i="32" a="1"/>
  <c r="E9" i="32" s="1"/>
  <c r="B9" i="3" a="1"/>
  <c r="B9" i="3" s="1"/>
  <c r="E8" i="8" a="1"/>
  <c r="E8" i="8" s="1"/>
  <c r="E7" i="12" a="1"/>
  <c r="E7" i="12" s="1"/>
  <c r="E8" i="16" a="1"/>
  <c r="E8" i="16" s="1"/>
  <c r="B9" i="18" a="1"/>
  <c r="B9" i="18" s="1"/>
  <c r="B9" i="31" a="1"/>
  <c r="B9" i="31" s="1"/>
  <c r="E7" i="21" a="1"/>
  <c r="E7" i="21" s="1"/>
  <c r="E8" i="22" a="1"/>
  <c r="E8" i="22" s="1"/>
  <c r="E9" i="23" a="1"/>
  <c r="E9" i="23" s="1"/>
  <c r="E8" i="32" a="1"/>
  <c r="E8" i="32" s="1"/>
  <c r="H41" i="1" a="1"/>
  <c r="H19" i="1" a="1"/>
  <c r="H13" i="1" a="1"/>
  <c r="H12" i="1" a="1"/>
  <c r="H34" i="1" a="1"/>
  <c r="H32" i="1" a="1"/>
  <c r="H28" i="1" a="1"/>
  <c r="H31" i="1" a="1"/>
  <c r="H18" i="1" a="1"/>
  <c r="H17" i="1" a="1"/>
  <c r="H29" i="1" a="1"/>
  <c r="H25" i="1" a="1"/>
  <c r="H16" i="1" a="1"/>
  <c r="H27" i="1" a="1"/>
  <c r="H23" i="1" a="1"/>
  <c r="H30" i="1" a="1"/>
  <c r="H14" i="1" a="1"/>
  <c r="H39" i="1" a="1"/>
  <c r="H24" i="1" a="1"/>
  <c r="H40" i="1" a="1"/>
  <c r="H36" i="1" a="1"/>
  <c r="H37" i="1" a="1"/>
  <c r="H26" i="1" a="1"/>
  <c r="H15" i="1" a="1"/>
  <c r="H21" i="1" a="1"/>
  <c r="H38" i="1" a="1"/>
  <c r="H33" i="1" a="1"/>
  <c r="H20" i="1" a="1"/>
  <c r="H11" i="1" a="1"/>
  <c r="H35" i="1" a="1"/>
  <c r="H22" i="1" a="1"/>
  <c r="H41" i="1" l="1"/>
  <c r="H40" i="1"/>
  <c r="H39" i="1"/>
  <c r="H28" i="1"/>
  <c r="H32" i="1"/>
  <c r="H27" i="1"/>
  <c r="H25" i="1"/>
  <c r="H36" i="1"/>
  <c r="H26" i="1"/>
  <c r="H23" i="1"/>
  <c r="H31" i="1"/>
  <c r="H35" i="1"/>
  <c r="H30" i="1"/>
  <c r="H22" i="1"/>
  <c r="H24" i="1"/>
  <c r="H21" i="1"/>
  <c r="H33" i="1"/>
  <c r="H37" i="1"/>
  <c r="H34" i="1"/>
  <c r="H29" i="1"/>
  <c r="H38" i="1"/>
  <c r="H20" i="1"/>
  <c r="H19" i="1"/>
  <c r="H18" i="1"/>
  <c r="H15" i="1"/>
  <c r="H13" i="1"/>
  <c r="H17" i="1"/>
  <c r="H12" i="1"/>
  <c r="H14" i="1"/>
  <c r="H11" i="1"/>
  <c r="H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C405040-CC54-499B-B97A-994F3FEC0DD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C11" authorId="0" shapeId="0" xr:uid="{00185C22-1622-453E-8938-AA6B44E63A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2227087-2AAD-46B9-BE0F-B2DE0BBAE0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B12" authorId="0" shapeId="0" xr:uid="{6F513217-7B15-4737-89EB-0417715A7B4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B4F4CAB-74DF-4369-9AF4-68A8A4A363A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A315767-7F7A-4FE7-B1E9-574DA23979B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CA3CEB6-B8B9-458C-9771-96A37C646CC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03A0060-490C-45DC-9689-A9BBF00EE3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2338557-D53F-43F9-8CF4-830743FE4AA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91D3D13-2A79-4605-99AD-85A8FD6D22D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2003580-0B01-4D1D-A214-77983E7764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D099671-8EEB-494A-B9D0-C35385D53F7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F4B2ECB-0202-4218-8B69-EBDE929B843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2529C07-2144-491F-BC46-B43056F2F79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B0FC40-5F7C-4287-ADB4-45DACF1E59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39C7255-D6EC-4ABC-B7CD-B3A81C5862F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667554D-DE90-4FAC-9BBC-49436D83671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2F8429D-30E1-46B8-A608-DF1B1DEE7AB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D0A630-6A32-4894-86C3-D1E2A08F224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281EC74-C88E-43B3-A7DC-48ABC4AB99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035B121-86CC-4560-B8FA-562912D208A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7F5CF41-5E15-4DF2-B935-73362070B68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DD47682-BCCF-4BDB-950D-7616CB8CA8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803B3CD-0728-428B-95A8-7753E4C736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50910D1-2B59-4F10-878E-3160455870D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D44C84A-5535-407C-BE63-71E9334CA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3D913AE-271A-4597-8C12-8AB3B58F222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FFB689D-EA2E-491F-9CD8-F589E35446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B18E86-43F9-40B9-8F84-47C3A003DF3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CBE7291-C12B-4514-AC44-6739E3BE31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9DAB15E-071C-4DB4-AFA8-96027E506B1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F6B03CB-EE3F-40B2-B9A6-3C22811761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69B1914-6585-4116-AECC-ADCBD881CB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539EDC3-367B-407B-95CA-C6C491EE4FF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625B55C-981D-4F89-878B-495F7B36423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<sst xmlns="http://schemas.openxmlformats.org/spreadsheetml/2006/main" count="757" uniqueCount="57">
  <si>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</si>
  <si>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</si>
  <si>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</si>
  <si>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</si>
  <si>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</si>
  <si>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</si>
  <si>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</si>
  <si>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</si>
  <si>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</si>
  <si>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</si>
  <si>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</si>
  <si>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</si>
  <si>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</si>
  <si>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TAEEET-3595-22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</si>
  <si>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</si>
  <si>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</si>
  <si>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</si>
  <si>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</si>
  <si>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</si>
  <si>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</si>
  <si>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</si>
  <si>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</si>
  <si>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</si>
  <si>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CA4 Funza</t>
  </si>
  <si>
    <t>Elaboró:</t>
  </si>
  <si>
    <t>Alexander Diaz Herrera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</si>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</sst>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1" xfId="0" applyFont="1" applyBorder="1" applyAlignment="1" applyProtection="1">
      <alignment horizontal="center" vertical="center"/>
      <protection locked="0"/>
    </xf>
    <xf numFmtId="164" fontId="0" fillId="0" borderId="3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5" fillId="5" borderId="41" xfId="1" applyFont="1" applyFill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/>
    </xf>
    <xf numFmtId="164" fontId="13" fillId="0" borderId="41" xfId="1" applyNumberFormat="1" applyFont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 wrapText="1"/>
    </xf>
    <xf numFmtId="1" fontId="14" fillId="6" borderId="41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0" fillId="0" borderId="9" xfId="0" applyBorder="1"/>
    <xf numFmtId="0" fontId="0" fillId="0" borderId="3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22" xfId="0" applyBorder="1"/>
    <xf numFmtId="0" fontId="0" fillId="0" borderId="18" xfId="0" applyBorder="1"/>
    <xf numFmtId="0" fontId="23" fillId="0" borderId="46" xfId="0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20" fontId="0" fillId="0" borderId="45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0" borderId="13" xfId="0" applyBorder="1"/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42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0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40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0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1" xfId="1" applyFont="1" applyFill="1" applyBorder="1" applyAlignment="1">
      <alignment horizontal="center" vertical="center" wrapText="1"/>
    </xf>
    <xf numFmtId="164" fontId="13" fillId="0" borderId="41" xfId="1" applyNumberFormat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  <xf numFmtId="164" fontId="13" fillId="0" borderId="43" xfId="1" applyNumberFormat="1" applyFont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zoomScaleNormal="100" zoomScaleSheetLayoutView="100" workbookViewId="0">
      <selection activeCell="G11" sqref="G11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68"/>
      <c r="B1" s="69"/>
      <c r="C1" s="87" t="s">
        <v>0</v>
      </c>
      <c r="D1" s="88"/>
      <c r="E1" s="88"/>
      <c r="F1" s="88"/>
      <c r="G1" s="88"/>
      <c r="H1" s="89"/>
      <c r="I1" s="65" t="s">
        <v>1</v>
      </c>
      <c r="K1" s="1"/>
      <c r="L1" s="1"/>
    </row>
    <row r="2" spans="1:12" ht="22.5" customHeight="1" x14ac:dyDescent="0.25">
      <c r="A2" s="70"/>
      <c r="B2" s="71"/>
      <c r="C2" s="90"/>
      <c r="D2" s="91"/>
      <c r="E2" s="91"/>
      <c r="F2" s="91"/>
      <c r="G2" s="91"/>
      <c r="H2" s="92"/>
      <c r="I2" s="66"/>
      <c r="K2" s="1"/>
      <c r="L2" s="1"/>
    </row>
    <row r="3" spans="1:12" ht="22.5" customHeight="1" thickBot="1" x14ac:dyDescent="0.3">
      <c r="A3" s="72"/>
      <c r="B3" s="73"/>
      <c r="C3" s="93" t="s">
        <v>2</v>
      </c>
      <c r="D3" s="94"/>
      <c r="E3" s="94"/>
      <c r="F3" s="94"/>
      <c r="G3" s="94"/>
      <c r="H3" s="95"/>
      <c r="I3" s="67"/>
      <c r="K3" s="2"/>
      <c r="L3" s="2"/>
    </row>
    <row r="4" spans="1:12" ht="6.75" customHeight="1" thickBot="1" x14ac:dyDescent="0.3">
      <c r="A4" s="33"/>
      <c r="B4" s="34"/>
      <c r="C4" s="34"/>
      <c r="D4" s="34"/>
      <c r="E4" s="34"/>
      <c r="F4" s="34"/>
      <c r="G4" s="34"/>
      <c r="H4" s="34"/>
      <c r="I4" s="35"/>
    </row>
    <row r="5" spans="1:12" x14ac:dyDescent="0.25">
      <c r="A5" s="100" t="s">
        <v>3</v>
      </c>
      <c r="B5" s="101"/>
      <c r="C5" s="110" t="s">
        <v>4</v>
      </c>
      <c r="D5" s="110"/>
      <c r="E5" s="110"/>
      <c r="F5" s="110"/>
      <c r="G5" s="110"/>
      <c r="H5" s="110"/>
      <c r="I5" s="111"/>
    </row>
    <row r="6" spans="1:12" x14ac:dyDescent="0.25">
      <c r="A6" s="102" t="s">
        <v>5</v>
      </c>
      <c r="B6" s="103"/>
      <c r="C6" s="77" t="s">
        <v>6</v>
      </c>
      <c r="D6" s="77"/>
      <c r="E6" s="11" t="s">
        <v>7</v>
      </c>
      <c r="F6" s="39" t="s">
        <v>8</v>
      </c>
      <c r="G6" s="11" t="s">
        <v>9</v>
      </c>
      <c r="H6" s="77">
        <v>2078871.8419999999</v>
      </c>
      <c r="I6" s="98"/>
    </row>
    <row r="7" spans="1:12" ht="15.75" thickBot="1" x14ac:dyDescent="0.3">
      <c r="A7" s="104" t="s">
        <v>10</v>
      </c>
      <c r="B7" s="105"/>
      <c r="C7" s="78" t="s">
        <v>11</v>
      </c>
      <c r="D7" s="78"/>
      <c r="E7" s="12" t="s">
        <v>12</v>
      </c>
      <c r="F7" s="40" t="s">
        <v>13</v>
      </c>
      <c r="G7" s="12" t="s">
        <v>14</v>
      </c>
      <c r="H7" s="78">
        <v>-4870008.2280000001</v>
      </c>
      <c r="I7" s="99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79" t="s">
        <v>15</v>
      </c>
      <c r="B9" s="80"/>
      <c r="C9" s="76" t="s">
        <v>16</v>
      </c>
      <c r="D9" s="76"/>
      <c r="E9" s="83" t="s">
        <v>17</v>
      </c>
      <c r="F9" s="84"/>
      <c r="G9" s="85" t="s">
        <v>18</v>
      </c>
      <c r="H9" s="96" t="s">
        <v>19</v>
      </c>
      <c r="I9" s="74" t="s">
        <v>20</v>
      </c>
    </row>
    <row r="10" spans="1:12" ht="15.75" thickBot="1" x14ac:dyDescent="0.3">
      <c r="A10" s="81"/>
      <c r="B10" s="82"/>
      <c r="C10" s="50" t="s">
        <v>21</v>
      </c>
      <c r="D10" s="50" t="s">
        <v>22</v>
      </c>
      <c r="E10" s="50" t="s">
        <v>21</v>
      </c>
      <c r="F10" s="50" t="s">
        <v>22</v>
      </c>
      <c r="G10" s="86"/>
      <c r="H10" s="97"/>
      <c r="I10" s="75"/>
    </row>
    <row r="11" spans="1:12" ht="18" customHeight="1" x14ac:dyDescent="0.25">
      <c r="A11" s="106" t="s">
        <v>23</v>
      </c>
      <c r="B11" s="107"/>
      <c r="C11" s="52">
        <v>46023</v>
      </c>
      <c r="D11" s="53">
        <v>0</v>
      </c>
      <c r="E11" s="52">
        <f>C11</f>
        <v>46023</v>
      </c>
      <c r="F11" s="53">
        <v>0.95833333333333337</v>
      </c>
      <c r="G11" s="51">
        <f ca="1">COUNT(INDIRECT("'Dia " &amp; ROW()-10 &amp; "'!C21:C45"))</f>
        <v>24</v>
      </c>
      <c r="H11" s="54" cm="1">
        <f t="array" aca="1" ref="H11" ca="1">IF(G11=24,INDIRECT("'" &amp; "Dia " &amp; ROW()-10 &amp; "'!C47"),"-")</f>
        <v>0.82222026100595147</v>
      </c>
      <c r="I11" s="55"/>
    </row>
    <row r="12" spans="1:12" ht="18" customHeight="1" x14ac:dyDescent="0.25">
      <c r="A12" s="108" t="s">
        <v>23</v>
      </c>
      <c r="B12" s="109"/>
      <c r="C12" s="49">
        <v>46024</v>
      </c>
      <c r="D12" s="9">
        <v>0</v>
      </c>
      <c r="E12" s="32">
        <f t="shared" ref="E12:E40" si="0">C12</f>
        <v>46024</v>
      </c>
      <c r="F12" s="9">
        <v>0.95833333333333337</v>
      </c>
      <c r="G12" s="48">
        <f t="shared" ref="G12:G41" ca="1" si="1">COUNT(INDIRECT("'Dia " &amp; ROW()-10 &amp; "'!C21:C45"))</f>
        <v>24</v>
      </c>
      <c r="H12" s="38" cm="1">
        <f t="array" aca="1" ref="H12" ca="1">IF(G12=24,INDIRECT("'" &amp; "Dia " &amp; ROW()-10 &amp; "'!C47"),"-")</f>
        <v>0.8957206626146248</v>
      </c>
      <c r="I12" s="56"/>
    </row>
    <row r="13" spans="1:12" ht="18" customHeight="1" x14ac:dyDescent="0.25">
      <c r="A13" s="108" t="s">
        <v>23</v>
      </c>
      <c r="B13" s="109"/>
      <c r="C13" s="49">
        <v>46025</v>
      </c>
      <c r="D13" s="9">
        <v>0</v>
      </c>
      <c r="E13" s="32">
        <f t="shared" si="0"/>
        <v>46025</v>
      </c>
      <c r="F13" s="9">
        <v>0.95833333333333304</v>
      </c>
      <c r="G13" s="48">
        <f t="shared" ca="1" si="1"/>
        <v>24</v>
      </c>
      <c r="H13" s="38" cm="1">
        <f t="array" aca="1" ref="H13" ca="1">IF(G13=24,INDIRECT("'" &amp; "Dia " &amp; ROW()-10 &amp; "'!C47"),"-")</f>
        <v>0.95844756345042559</v>
      </c>
      <c r="I13" s="56"/>
    </row>
    <row r="14" spans="1:12" ht="18" customHeight="1" x14ac:dyDescent="0.25">
      <c r="A14" s="108" t="s">
        <v>23</v>
      </c>
      <c r="B14" s="109"/>
      <c r="C14" s="49">
        <v>46026</v>
      </c>
      <c r="D14" s="9">
        <v>0</v>
      </c>
      <c r="E14" s="32">
        <f t="shared" si="0"/>
        <v>46026</v>
      </c>
      <c r="F14" s="9">
        <v>0.95833333333333304</v>
      </c>
      <c r="G14" s="48">
        <f t="shared" ca="1" si="1"/>
        <v>24</v>
      </c>
      <c r="H14" s="38" cm="1">
        <f t="array" aca="1" ref="H14" ca="1">IF(G14=24,INDIRECT("'" &amp; "Dia " &amp; ROW()-10 &amp; "'!C47"),"-")</f>
        <v>0.77032526538648194</v>
      </c>
      <c r="I14" s="56"/>
    </row>
    <row r="15" spans="1:12" ht="18" customHeight="1" x14ac:dyDescent="0.25">
      <c r="A15" s="108" t="s">
        <v>23</v>
      </c>
      <c r="B15" s="109"/>
      <c r="C15" s="49">
        <v>46027</v>
      </c>
      <c r="D15" s="9">
        <v>0</v>
      </c>
      <c r="E15" s="32">
        <f t="shared" si="0"/>
        <v>46027</v>
      </c>
      <c r="F15" s="9">
        <v>0.95833333333333304</v>
      </c>
      <c r="G15" s="48">
        <f t="shared" ca="1" si="1"/>
        <v>24</v>
      </c>
      <c r="H15" s="38" cm="1">
        <f t="array" aca="1" ref="H15" ca="1">IF(G15=24,INDIRECT("'" &amp; "Dia " &amp; ROW()-10 &amp; "'!C47"),"-")</f>
        <v>0.64943620476377129</v>
      </c>
      <c r="I15" s="56"/>
    </row>
    <row r="16" spans="1:12" ht="18" customHeight="1" x14ac:dyDescent="0.25">
      <c r="A16" s="108" t="s">
        <v>23</v>
      </c>
      <c r="B16" s="109"/>
      <c r="C16" s="49">
        <v>46028</v>
      </c>
      <c r="D16" s="9">
        <v>0</v>
      </c>
      <c r="E16" s="32">
        <f t="shared" si="0"/>
        <v>46028</v>
      </c>
      <c r="F16" s="9">
        <v>0.95833333333333304</v>
      </c>
      <c r="G16" s="48">
        <f t="shared" ca="1" si="1"/>
        <v>24</v>
      </c>
      <c r="H16" s="38" cm="1">
        <f t="array" aca="1" ref="H16" ca="1">IF(G16=24,INDIRECT("'" &amp; "Dia " &amp; ROW()-10 &amp; "'!C47"),"-")</f>
        <v>0.84969834374460096</v>
      </c>
      <c r="I16" s="56"/>
    </row>
    <row r="17" spans="1:9" ht="18" customHeight="1" x14ac:dyDescent="0.25">
      <c r="A17" s="108" t="s">
        <v>23</v>
      </c>
      <c r="B17" s="109"/>
      <c r="C17" s="49">
        <v>46029</v>
      </c>
      <c r="D17" s="9">
        <v>0</v>
      </c>
      <c r="E17" s="32">
        <f t="shared" si="0"/>
        <v>46029</v>
      </c>
      <c r="F17" s="9">
        <v>0.95833333333333304</v>
      </c>
      <c r="G17" s="48">
        <f t="shared" ca="1" si="1"/>
        <v>24</v>
      </c>
      <c r="H17" s="38" cm="1">
        <f t="array" aca="1" ref="H17" ca="1">IF(G17=24,INDIRECT("'" &amp; "Dia " &amp; ROW()-10 &amp; "'!C47"),"-")</f>
        <v>0.78966991820009547</v>
      </c>
      <c r="I17" s="56"/>
    </row>
    <row r="18" spans="1:9" ht="18" customHeight="1" x14ac:dyDescent="0.25">
      <c r="A18" s="108" t="s">
        <v>23</v>
      </c>
      <c r="B18" s="109"/>
      <c r="C18" s="49">
        <v>46030</v>
      </c>
      <c r="D18" s="9">
        <v>0</v>
      </c>
      <c r="E18" s="32">
        <f t="shared" si="0"/>
        <v>46030</v>
      </c>
      <c r="F18" s="9">
        <v>0.95833333333333304</v>
      </c>
      <c r="G18" s="48">
        <f t="shared" ca="1" si="1"/>
        <v>24</v>
      </c>
      <c r="H18" s="38" cm="1">
        <f t="array" aca="1" ref="H18" ca="1">IF(G18=24,INDIRECT("'" &amp; "Dia " &amp; ROW()-10 &amp; "'!C47"),"-")</f>
        <v>0.81826626101351874</v>
      </c>
      <c r="I18" s="56"/>
    </row>
    <row r="19" spans="1:9" ht="18" customHeight="1" x14ac:dyDescent="0.25">
      <c r="A19" s="108" t="s">
        <v>23</v>
      </c>
      <c r="B19" s="109"/>
      <c r="C19" s="49">
        <v>46031</v>
      </c>
      <c r="D19" s="9">
        <v>0</v>
      </c>
      <c r="E19" s="32">
        <f t="shared" si="0"/>
        <v>46031</v>
      </c>
      <c r="F19" s="9">
        <v>0.95833333333333304</v>
      </c>
      <c r="G19" s="48">
        <f t="shared" ca="1" si="1"/>
        <v>24</v>
      </c>
      <c r="H19" s="38" cm="1">
        <f t="array" aca="1" ref="H19" ca="1">IF(G19=24,INDIRECT("'" &amp; "Dia " &amp; ROW()-10 &amp; "'!C47"),"-")</f>
        <v>0.66632098148138696</v>
      </c>
      <c r="I19" s="56"/>
    </row>
    <row r="20" spans="1:9" ht="18" customHeight="1" x14ac:dyDescent="0.25">
      <c r="A20" s="108" t="s">
        <v>23</v>
      </c>
      <c r="B20" s="109"/>
      <c r="C20" s="49">
        <v>46032</v>
      </c>
      <c r="D20" s="9">
        <v>0</v>
      </c>
      <c r="E20" s="32">
        <f t="shared" si="0"/>
        <v>46032</v>
      </c>
      <c r="F20" s="9">
        <v>0.95833333333333304</v>
      </c>
      <c r="G20" s="48">
        <f t="shared" ca="1" si="1"/>
        <v>24</v>
      </c>
      <c r="H20" s="38" cm="1">
        <f t="array" aca="1" ref="H20" ca="1">IF(G20=24,INDIRECT("'" &amp; "Dia " &amp; ROW()-10 &amp; "'!C47"),"-")</f>
        <v>0.68804858350327947</v>
      </c>
      <c r="I20" s="47"/>
    </row>
    <row r="21" spans="1:9" ht="18" customHeight="1" x14ac:dyDescent="0.25">
      <c r="A21" s="108" t="s">
        <v>23</v>
      </c>
      <c r="B21" s="109"/>
      <c r="C21" s="49">
        <v>46033</v>
      </c>
      <c r="D21" s="9">
        <v>0</v>
      </c>
      <c r="E21" s="32">
        <f t="shared" si="0"/>
        <v>46033</v>
      </c>
      <c r="F21" s="9">
        <v>0.95833333333333304</v>
      </c>
      <c r="G21" s="48">
        <f t="shared" ca="1" si="1"/>
        <v>24</v>
      </c>
      <c r="H21" s="38" cm="1">
        <f t="array" aca="1" ref="H21" ca="1">IF(G21=24,INDIRECT("'" &amp; "Dia " &amp; ROW()-10 &amp; "'!C47"),"-")</f>
        <v>0.60610689107268623</v>
      </c>
      <c r="I21" s="57"/>
    </row>
    <row r="22" spans="1:9" ht="18" customHeight="1" x14ac:dyDescent="0.25">
      <c r="A22" s="108" t="s">
        <v>23</v>
      </c>
      <c r="B22" s="109"/>
      <c r="C22" s="49">
        <v>46034</v>
      </c>
      <c r="D22" s="9">
        <v>0</v>
      </c>
      <c r="E22" s="32">
        <f t="shared" si="0"/>
        <v>46034</v>
      </c>
      <c r="F22" s="9">
        <v>0.95833333333333304</v>
      </c>
      <c r="G22" s="48">
        <f t="shared" ca="1" si="1"/>
        <v>24</v>
      </c>
      <c r="H22" s="38" cm="1">
        <f t="array" aca="1" ref="H22" ca="1">IF(G22=24,INDIRECT("'" &amp; "Dia " &amp; ROW()-10 &amp; "'!C47"),"-")</f>
        <v>0.46727523466104653</v>
      </c>
      <c r="I22" s="47"/>
    </row>
    <row r="23" spans="1:9" ht="18" customHeight="1" x14ac:dyDescent="0.25">
      <c r="A23" s="108" t="s">
        <v>23</v>
      </c>
      <c r="B23" s="109"/>
      <c r="C23" s="49">
        <v>46035</v>
      </c>
      <c r="D23" s="9">
        <v>0</v>
      </c>
      <c r="E23" s="32">
        <f t="shared" si="0"/>
        <v>46035</v>
      </c>
      <c r="F23" s="9">
        <v>0.95833333333333304</v>
      </c>
      <c r="G23" s="48">
        <f t="shared" ca="1" si="1"/>
        <v>24</v>
      </c>
      <c r="H23" s="38" cm="1">
        <f t="array" aca="1" ref="H23" ca="1">IF(G23=24,INDIRECT("'" &amp; "Dia " &amp; ROW()-10 &amp; "'!C47"),"-")</f>
        <v>0.64217302625707806</v>
      </c>
      <c r="I23" s="47"/>
    </row>
    <row r="24" spans="1:9" ht="18" customHeight="1" x14ac:dyDescent="0.25">
      <c r="A24" s="108" t="s">
        <v>23</v>
      </c>
      <c r="B24" s="109"/>
      <c r="C24" s="49">
        <v>46036</v>
      </c>
      <c r="D24" s="9">
        <v>0</v>
      </c>
      <c r="E24" s="32">
        <f t="shared" si="0"/>
        <v>46036</v>
      </c>
      <c r="F24" s="9">
        <v>0.95833333333333304</v>
      </c>
      <c r="G24" s="48">
        <f t="shared" ca="1" si="1"/>
        <v>24</v>
      </c>
      <c r="H24" s="38" cm="1">
        <f t="array" aca="1" ref="H24" ca="1">IF(G24=24,INDIRECT("'" &amp; "Dia " &amp; ROW()-10 &amp; "'!C47"),"-")</f>
        <v>0.60009002796802624</v>
      </c>
      <c r="I24" s="47"/>
    </row>
    <row r="25" spans="1:9" ht="18" customHeight="1" x14ac:dyDescent="0.25">
      <c r="A25" s="108" t="s">
        <v>23</v>
      </c>
      <c r="B25" s="109"/>
      <c r="C25" s="49">
        <v>46037</v>
      </c>
      <c r="D25" s="9">
        <v>0</v>
      </c>
      <c r="E25" s="32">
        <f t="shared" si="0"/>
        <v>46037</v>
      </c>
      <c r="F25" s="9">
        <v>0.95833333333333304</v>
      </c>
      <c r="G25" s="48">
        <f t="shared" ca="1" si="1"/>
        <v>24</v>
      </c>
      <c r="H25" s="38" cm="1">
        <f t="array" aca="1" ref="H25" ca="1">IF(G25=24,INDIRECT("'" &amp; "Dia " &amp; ROW()-10 &amp; "'!C47"),"-")</f>
        <v>0.6508006092275993</v>
      </c>
      <c r="I25" s="58"/>
    </row>
    <row r="26" spans="1:9" ht="18" customHeight="1" x14ac:dyDescent="0.25">
      <c r="A26" s="108" t="s">
        <v>23</v>
      </c>
      <c r="B26" s="109"/>
      <c r="C26" s="49">
        <v>46038</v>
      </c>
      <c r="D26" s="9">
        <v>0</v>
      </c>
      <c r="E26" s="32">
        <f t="shared" si="0"/>
        <v>46038</v>
      </c>
      <c r="F26" s="9">
        <v>0.95833333333333304</v>
      </c>
      <c r="G26" s="48">
        <f t="shared" ca="1" si="1"/>
        <v>24</v>
      </c>
      <c r="H26" s="38" cm="1">
        <f t="array" aca="1" ref="H26" ca="1">IF(G26=24,INDIRECT("'" &amp; "Dia " &amp; ROW()-10 &amp; "'!C47"),"-")</f>
        <v>0.67769241879539543</v>
      </c>
      <c r="I26" s="47"/>
    </row>
    <row r="27" spans="1:9" ht="18" customHeight="1" x14ac:dyDescent="0.25">
      <c r="A27" s="108" t="s">
        <v>23</v>
      </c>
      <c r="B27" s="109"/>
      <c r="C27" s="49">
        <v>46039</v>
      </c>
      <c r="D27" s="9">
        <v>0</v>
      </c>
      <c r="E27" s="32">
        <f t="shared" si="0"/>
        <v>46039</v>
      </c>
      <c r="F27" s="9">
        <v>0.95833333333333304</v>
      </c>
      <c r="G27" s="48">
        <f t="shared" ca="1" si="1"/>
        <v>24</v>
      </c>
      <c r="H27" s="38" cm="1">
        <f t="array" aca="1" ref="H27" ca="1">IF(G27=24,INDIRECT("'" &amp; "Dia " &amp; ROW()-10 &amp; "'!C47"),"-")</f>
        <v>0.57970142239814715</v>
      </c>
      <c r="I27" s="47"/>
    </row>
    <row r="28" spans="1:9" ht="18" customHeight="1" x14ac:dyDescent="0.25">
      <c r="A28" s="108" t="s">
        <v>23</v>
      </c>
      <c r="B28" s="109"/>
      <c r="C28" s="49">
        <v>46040</v>
      </c>
      <c r="D28" s="9">
        <v>0</v>
      </c>
      <c r="E28" s="32">
        <f t="shared" si="0"/>
        <v>46040</v>
      </c>
      <c r="F28" s="9">
        <v>0.95833333333333304</v>
      </c>
      <c r="G28" s="48">
        <f t="shared" ca="1" si="1"/>
        <v>24</v>
      </c>
      <c r="H28" s="38" cm="1">
        <f t="array" aca="1" ref="H28" ca="1">IF(G28=24,INDIRECT("'" &amp; "Dia " &amp; ROW()-10 &amp; "'!C47"),"-")</f>
        <v>0.66312507700555523</v>
      </c>
      <c r="I28" s="47"/>
    </row>
    <row r="29" spans="1:9" ht="18" customHeight="1" x14ac:dyDescent="0.25">
      <c r="A29" s="108" t="s">
        <v>23</v>
      </c>
      <c r="B29" s="109"/>
      <c r="C29" s="49">
        <v>46041</v>
      </c>
      <c r="D29" s="9">
        <v>0</v>
      </c>
      <c r="E29" s="32">
        <f t="shared" si="0"/>
        <v>46041</v>
      </c>
      <c r="F29" s="9">
        <v>0.95833333333333304</v>
      </c>
      <c r="G29" s="48">
        <f t="shared" ca="1" si="1"/>
        <v>24</v>
      </c>
      <c r="H29" s="38" cm="1">
        <f t="array" aca="1" ref="H29" ca="1">IF(G29=24,INDIRECT("'" &amp; "Dia " &amp; ROW()-10 &amp; "'!C47"),"-")</f>
        <v>1.0221142968717181</v>
      </c>
      <c r="I29" s="47"/>
    </row>
    <row r="30" spans="1:9" ht="18" customHeight="1" x14ac:dyDescent="0.25">
      <c r="A30" s="108" t="s">
        <v>23</v>
      </c>
      <c r="B30" s="109"/>
      <c r="C30" s="49">
        <v>46042</v>
      </c>
      <c r="D30" s="9">
        <v>0</v>
      </c>
      <c r="E30" s="32">
        <f t="shared" si="0"/>
        <v>46042</v>
      </c>
      <c r="F30" s="9">
        <v>0.95833333333333304</v>
      </c>
      <c r="G30" s="48">
        <f t="shared" ca="1" si="1"/>
        <v>24</v>
      </c>
      <c r="H30" s="38" cm="1">
        <f t="array" aca="1" ref="H30" ca="1">IF(G30=24,INDIRECT("'" &amp; "Dia " &amp; ROW()-10 &amp; "'!C47"),"-")</f>
        <v>1.593757641072902</v>
      </c>
      <c r="I30" s="47"/>
    </row>
    <row r="31" spans="1:9" ht="18" customHeight="1" x14ac:dyDescent="0.25">
      <c r="A31" s="108" t="s">
        <v>23</v>
      </c>
      <c r="B31" s="109"/>
      <c r="C31" s="49">
        <v>46043</v>
      </c>
      <c r="D31" s="9">
        <v>0</v>
      </c>
      <c r="E31" s="32">
        <f t="shared" si="0"/>
        <v>46043</v>
      </c>
      <c r="F31" s="9">
        <v>0.95833333333333304</v>
      </c>
      <c r="G31" s="48">
        <f t="shared" ca="1" si="1"/>
        <v>24</v>
      </c>
      <c r="H31" s="38" cm="1">
        <f t="array" aca="1" ref="H31" ca="1">IF(G31=24,INDIRECT("'" &amp; "Dia " &amp; ROW()-10 &amp; "'!C47"),"-")</f>
        <v>1.6433422178376409</v>
      </c>
      <c r="I31" s="47"/>
    </row>
    <row r="32" spans="1:9" ht="18" customHeight="1" x14ac:dyDescent="0.25">
      <c r="A32" s="108" t="s">
        <v>23</v>
      </c>
      <c r="B32" s="109"/>
      <c r="C32" s="49">
        <v>46044</v>
      </c>
      <c r="D32" s="9">
        <v>0</v>
      </c>
      <c r="E32" s="32">
        <f t="shared" si="0"/>
        <v>46044</v>
      </c>
      <c r="F32" s="9">
        <v>0.95833333333333304</v>
      </c>
      <c r="G32" s="48">
        <f t="shared" ca="1" si="1"/>
        <v>24</v>
      </c>
      <c r="H32" s="38" cm="1">
        <f t="array" aca="1" ref="H32" ca="1">IF(G32=24,INDIRECT("'" &amp; "Dia " &amp; ROW()-10 &amp; "'!C47"),"-")</f>
        <v>0.98185861537173968</v>
      </c>
      <c r="I32" s="47"/>
    </row>
    <row r="33" spans="1:9" ht="18" customHeight="1" x14ac:dyDescent="0.25">
      <c r="A33" s="108" t="s">
        <v>23</v>
      </c>
      <c r="B33" s="109"/>
      <c r="C33" s="49">
        <v>46045</v>
      </c>
      <c r="D33" s="9">
        <v>0</v>
      </c>
      <c r="E33" s="32">
        <f t="shared" si="0"/>
        <v>46045</v>
      </c>
      <c r="F33" s="9">
        <v>0.95833333333333304</v>
      </c>
      <c r="G33" s="48">
        <f t="shared" ca="1" si="1"/>
        <v>24</v>
      </c>
      <c r="H33" s="38" cm="1">
        <f t="array" aca="1" ref="H33" ca="1">IF(G33=24,INDIRECT("'" &amp; "Dia " &amp; ROW()-10 &amp; "'!C47"),"-")</f>
        <v>1.0652827038539745</v>
      </c>
      <c r="I33" s="47"/>
    </row>
    <row r="34" spans="1:9" ht="18" customHeight="1" x14ac:dyDescent="0.25">
      <c r="A34" s="108" t="s">
        <v>23</v>
      </c>
      <c r="B34" s="109"/>
      <c r="C34" s="49">
        <v>46046</v>
      </c>
      <c r="D34" s="9">
        <v>0</v>
      </c>
      <c r="E34" s="32">
        <f t="shared" si="0"/>
        <v>46046</v>
      </c>
      <c r="F34" s="9">
        <v>0.95833333333333304</v>
      </c>
      <c r="G34" s="48">
        <f t="shared" ca="1" si="1"/>
        <v>24</v>
      </c>
      <c r="H34" s="38" cm="1">
        <f t="array" aca="1" ref="H34" ca="1">IF(G34=24,INDIRECT("'" &amp; "Dia " &amp; ROW()-10 &amp; "'!C47"),"-")</f>
        <v>0.63218090278066763</v>
      </c>
      <c r="I34" s="47"/>
    </row>
    <row r="35" spans="1:9" ht="18" customHeight="1" x14ac:dyDescent="0.25">
      <c r="A35" s="108" t="s">
        <v>23</v>
      </c>
      <c r="B35" s="109"/>
      <c r="C35" s="49">
        <v>46047</v>
      </c>
      <c r="D35" s="9">
        <v>0</v>
      </c>
      <c r="E35" s="32">
        <f t="shared" si="0"/>
        <v>46047</v>
      </c>
      <c r="F35" s="9">
        <v>0.95833333333333304</v>
      </c>
      <c r="G35" s="48">
        <f t="shared" ca="1" si="1"/>
        <v>24</v>
      </c>
      <c r="H35" s="38" cm="1">
        <f t="array" aca="1" ref="H35" ca="1">IF(G35=24,INDIRECT("'" &amp; "Dia " &amp; ROW()-10 &amp; "'!C47"),"-")</f>
        <v>0.60945199903719616</v>
      </c>
      <c r="I35" s="47"/>
    </row>
    <row r="36" spans="1:9" ht="18" customHeight="1" x14ac:dyDescent="0.25">
      <c r="A36" s="108" t="s">
        <v>23</v>
      </c>
      <c r="B36" s="109"/>
      <c r="C36" s="49">
        <v>46048</v>
      </c>
      <c r="D36" s="9">
        <v>0</v>
      </c>
      <c r="E36" s="32">
        <f t="shared" si="0"/>
        <v>46048</v>
      </c>
      <c r="F36" s="9">
        <v>0.95833333333333304</v>
      </c>
      <c r="G36" s="48">
        <f t="shared" ca="1" si="1"/>
        <v>24</v>
      </c>
      <c r="H36" s="38" cm="1">
        <f t="array" aca="1" ref="H36" ca="1">IF(G36=24,INDIRECT("'" &amp; "Dia " &amp; ROW()-10 &amp; "'!C47"),"-")</f>
        <v>0.47819070236265243</v>
      </c>
      <c r="I36" s="47"/>
    </row>
    <row r="37" spans="1:9" ht="18" customHeight="1" x14ac:dyDescent="0.25">
      <c r="A37" s="108" t="s">
        <v>23</v>
      </c>
      <c r="B37" s="109"/>
      <c r="C37" s="49">
        <v>46049</v>
      </c>
      <c r="D37" s="9">
        <v>0</v>
      </c>
      <c r="E37" s="32">
        <f t="shared" si="0"/>
        <v>46049</v>
      </c>
      <c r="F37" s="9">
        <v>0.95833333333333304</v>
      </c>
      <c r="G37" s="48">
        <f t="shared" ca="1" si="1"/>
        <v>24</v>
      </c>
      <c r="H37" s="38" cm="1">
        <f t="array" aca="1" ref="H37" ca="1">IF(G37=24,INDIRECT("'" &amp; "Dia " &amp; ROW()-10 &amp; "'!C47"),"-")</f>
        <v>0.47452658139378823</v>
      </c>
      <c r="I37" s="47"/>
    </row>
    <row r="38" spans="1:9" ht="18" customHeight="1" x14ac:dyDescent="0.25">
      <c r="A38" s="108" t="s">
        <v>23</v>
      </c>
      <c r="B38" s="109"/>
      <c r="C38" s="49">
        <v>46050</v>
      </c>
      <c r="D38" s="9">
        <v>0</v>
      </c>
      <c r="E38" s="32">
        <f t="shared" si="0"/>
        <v>46050</v>
      </c>
      <c r="F38" s="9">
        <v>0.95833333333333304</v>
      </c>
      <c r="G38" s="48">
        <f t="shared" ca="1" si="1"/>
        <v>24</v>
      </c>
      <c r="H38" s="38" cm="1">
        <f t="array" aca="1" ref="H38" ca="1">IF(G38=24,INDIRECT("'" &amp; "Dia " &amp; ROW()-10 &amp; "'!C47"),"-")</f>
        <v>0.57047137260034475</v>
      </c>
      <c r="I38" s="47"/>
    </row>
    <row r="39" spans="1:9" x14ac:dyDescent="0.25">
      <c r="A39" s="108" t="s">
        <v>23</v>
      </c>
      <c r="B39" s="109"/>
      <c r="C39" s="49">
        <v>46051</v>
      </c>
      <c r="D39" s="9">
        <v>0</v>
      </c>
      <c r="E39" s="32">
        <f t="shared" si="0"/>
        <v>46051</v>
      </c>
      <c r="F39" s="9">
        <v>0.95833333333333304</v>
      </c>
      <c r="G39" s="48">
        <f t="shared" ca="1" si="1"/>
        <v>24</v>
      </c>
      <c r="H39" s="38" cm="1">
        <f t="array" aca="1" ref="H39" ca="1">IF(G39=24,INDIRECT("'" &amp; "Dia " &amp; ROW()-10 &amp; "'!C47"),"-")</f>
        <v>0.65262300051185862</v>
      </c>
      <c r="I39" s="47"/>
    </row>
    <row r="40" spans="1:9" x14ac:dyDescent="0.25">
      <c r="A40" s="108" t="s">
        <v>23</v>
      </c>
      <c r="B40" s="109"/>
      <c r="C40" s="49">
        <v>46052</v>
      </c>
      <c r="D40" s="9">
        <v>0</v>
      </c>
      <c r="E40" s="32">
        <f t="shared" si="0"/>
        <v>46052</v>
      </c>
      <c r="F40" s="9">
        <v>0.95833333333333304</v>
      </c>
      <c r="G40" s="48">
        <f t="shared" ca="1" si="1"/>
        <v>24</v>
      </c>
      <c r="H40" s="38" cm="1">
        <f t="array" aca="1" ref="H40" ca="1">IF(G40=24,INDIRECT("'" &amp; "Dia " &amp; ROW()-10 &amp; "'!C47"),"-")</f>
        <v>0.99262229195840324</v>
      </c>
      <c r="I40" s="47"/>
    </row>
    <row r="41" spans="1:9" ht="15.75" thickBot="1" x14ac:dyDescent="0.3">
      <c r="A41" s="132" t="s">
        <v>23</v>
      </c>
      <c r="B41" s="133"/>
      <c r="C41" s="60">
        <v>46053</v>
      </c>
      <c r="D41" s="61">
        <v>0</v>
      </c>
      <c r="E41" s="62">
        <f t="shared" ref="E41" si="2">C41</f>
        <v>46053</v>
      </c>
      <c r="F41" s="61">
        <v>0.95833333333333304</v>
      </c>
      <c r="G41" s="59">
        <f t="shared" ca="1" si="1"/>
        <v>24</v>
      </c>
      <c r="H41" s="63" cm="1">
        <f t="array" aca="1" ref="H41" ca="1">IF(G41=24,INDIRECT("'" &amp; "Dia " &amp; ROW()-10 &amp; "'!C47"),"-")</f>
        <v>0.83614580653293258</v>
      </c>
      <c r="I41" s="64"/>
    </row>
    <row r="42" spans="1:9" ht="25.5" customHeight="1" x14ac:dyDescent="0.25">
      <c r="A42" s="120" t="s">
        <v>24</v>
      </c>
      <c r="B42" s="124" t="s">
        <v>25</v>
      </c>
      <c r="C42" s="125"/>
      <c r="D42" s="122" t="s">
        <v>26</v>
      </c>
      <c r="E42" s="128"/>
      <c r="F42" s="129"/>
      <c r="G42" s="122" t="s">
        <v>27</v>
      </c>
      <c r="H42" s="37"/>
      <c r="I42" s="46" t="s">
        <v>28</v>
      </c>
    </row>
    <row r="43" spans="1:9" x14ac:dyDescent="0.25">
      <c r="A43" s="121"/>
      <c r="B43" s="126" t="s">
        <v>29</v>
      </c>
      <c r="C43" s="127"/>
      <c r="D43" s="123"/>
      <c r="E43" s="130" t="s">
        <v>30</v>
      </c>
      <c r="F43" s="131"/>
      <c r="G43" s="123"/>
      <c r="H43" s="13"/>
      <c r="I43" s="10" t="s">
        <v>31</v>
      </c>
    </row>
    <row r="44" spans="1:9" x14ac:dyDescent="0.25">
      <c r="A44" s="118" t="s">
        <v>32</v>
      </c>
      <c r="B44" s="112" t="s">
        <v>33</v>
      </c>
      <c r="C44" s="112"/>
      <c r="D44" s="112"/>
      <c r="E44" s="112"/>
      <c r="F44" s="112"/>
      <c r="G44" s="112"/>
      <c r="H44" s="113"/>
      <c r="I44" s="114"/>
    </row>
    <row r="45" spans="1:9" ht="9.75" customHeight="1" thickBot="1" x14ac:dyDescent="0.3">
      <c r="A45" s="119"/>
      <c r="B45" s="115"/>
      <c r="C45" s="115"/>
      <c r="D45" s="115"/>
      <c r="E45" s="115"/>
      <c r="F45" s="115"/>
      <c r="G45" s="115"/>
      <c r="H45" s="116"/>
      <c r="I45" s="117"/>
    </row>
    <row r="46" spans="1:9" ht="15.75" thickBot="1" x14ac:dyDescent="0.3">
      <c r="A46" s="6"/>
      <c r="B46" s="7"/>
      <c r="C46" s="7"/>
      <c r="D46" s="7"/>
      <c r="E46" s="7"/>
      <c r="F46" s="7"/>
      <c r="G46" s="7"/>
      <c r="H46" s="7"/>
      <c r="I46" s="8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">
        <v>35</v>
      </c>
      <c r="C7" s="135"/>
      <c r="D7" s="20" t="s">
        <v>5</v>
      </c>
      <c r="E7" s="136" t="str" cm="1">
        <f t="array" ref="E7">'FOM303-32-Imprimir'!C6:C6</f>
        <v>Bogotá DC</v>
      </c>
      <c r="F7" s="136"/>
      <c r="G7" s="136"/>
    </row>
    <row r="8" spans="1:12" ht="15.75" x14ac:dyDescent="0.25">
      <c r="A8" s="20" t="s">
        <v>36</v>
      </c>
      <c r="B8" s="134" t="s">
        <v>23</v>
      </c>
      <c r="C8" s="135"/>
      <c r="D8" s="21" t="s">
        <v>10</v>
      </c>
      <c r="E8" s="136" t="str" cm="1">
        <f t="array" ref="E8">'FOM303-32-Imprimir'!C7:C7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'FOM303-32-Imprimir'!H6:H6</f>
        <v>2078871.8419999999</v>
      </c>
      <c r="C9" s="135"/>
      <c r="D9" s="21" t="s">
        <v>14</v>
      </c>
      <c r="E9" s="136" cm="1">
        <f t="array" ref="E9">'FOM303-32-Imprimir'!H7:H7</f>
        <v>-4870008.2280000001</v>
      </c>
      <c r="F9" s="136"/>
      <c r="G9" s="136"/>
    </row>
    <row r="10" spans="1:12" ht="15.75" x14ac:dyDescent="0.25">
      <c r="A10" s="20" t="s">
        <v>37</v>
      </c>
      <c r="B10" s="134" t="s">
        <v>38</v>
      </c>
      <c r="C10" s="135"/>
      <c r="D10" s="20" t="s">
        <v>39</v>
      </c>
      <c r="E10" s="136"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'FOM303-32-Imprimir'!C11</f>
        <v>46023</v>
      </c>
      <c r="C11" s="153"/>
      <c r="D11" s="23" t="s">
        <v>41</v>
      </c>
      <c r="E11" s="154">
        <v>0</v>
      </c>
      <c r="F11" s="154"/>
      <c r="G11" s="154"/>
    </row>
    <row r="12" spans="1:12" ht="15.75" x14ac:dyDescent="0.25">
      <c r="A12" s="22" t="s">
        <v>42</v>
      </c>
      <c r="B12" s="156">
        <f>'FOM303-32-Imprimir'!E11</f>
        <v>46023</v>
      </c>
      <c r="C12" s="157"/>
      <c r="D12" s="22" t="s">
        <v>43</v>
      </c>
      <c r="E12" s="154"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22.346</v>
      </c>
      <c r="D21" s="155">
        <v>22.346</v>
      </c>
    </row>
    <row r="22" spans="2:7" ht="18.75" x14ac:dyDescent="0.25">
      <c r="B22" s="41">
        <v>1</v>
      </c>
      <c r="C22" s="155">
        <v>22.376999999999999</v>
      </c>
      <c r="D22" s="155">
        <v>22.376999999999999</v>
      </c>
    </row>
    <row r="23" spans="2:7" ht="18.75" x14ac:dyDescent="0.25">
      <c r="B23" s="41">
        <v>2</v>
      </c>
      <c r="C23" s="155">
        <v>21.704999999999998</v>
      </c>
      <c r="D23" s="155">
        <v>21.704999999999998</v>
      </c>
    </row>
    <row r="24" spans="2:7" ht="18.75" x14ac:dyDescent="0.25">
      <c r="B24" s="41">
        <v>3</v>
      </c>
      <c r="C24" s="155">
        <v>21.887</v>
      </c>
      <c r="D24" s="155">
        <v>21.887</v>
      </c>
    </row>
    <row r="25" spans="2:7" ht="18.75" x14ac:dyDescent="0.25">
      <c r="B25" s="41">
        <v>4</v>
      </c>
      <c r="C25" s="155">
        <v>22.125</v>
      </c>
      <c r="D25" s="155">
        <v>22.125</v>
      </c>
    </row>
    <row r="26" spans="2:7" ht="18.75" x14ac:dyDescent="0.25">
      <c r="B26" s="41">
        <v>5</v>
      </c>
      <c r="C26" s="155">
        <v>22.148</v>
      </c>
      <c r="D26" s="155">
        <v>22.148</v>
      </c>
    </row>
    <row r="27" spans="2:7" ht="18.75" x14ac:dyDescent="0.25">
      <c r="B27" s="41">
        <v>6</v>
      </c>
      <c r="C27" s="155">
        <v>21.797999999999998</v>
      </c>
      <c r="D27" s="155">
        <v>21.797999999999998</v>
      </c>
    </row>
    <row r="28" spans="2:7" ht="18.75" x14ac:dyDescent="0.25">
      <c r="B28" s="41">
        <v>7</v>
      </c>
      <c r="C28" s="155">
        <v>21.295999999999999</v>
      </c>
      <c r="D28" s="155">
        <v>21.295999999999999</v>
      </c>
    </row>
    <row r="29" spans="2:7" ht="18.75" x14ac:dyDescent="0.25">
      <c r="B29" s="41">
        <v>8</v>
      </c>
      <c r="C29" s="155">
        <v>20.263999999999999</v>
      </c>
      <c r="D29" s="155">
        <v>20.263999999999999</v>
      </c>
    </row>
    <row r="30" spans="2:7" ht="18.75" x14ac:dyDescent="0.25">
      <c r="B30" s="41">
        <v>9</v>
      </c>
      <c r="C30" s="155">
        <v>20.579000000000001</v>
      </c>
      <c r="D30" s="155">
        <v>20.579000000000001</v>
      </c>
    </row>
    <row r="31" spans="2:7" ht="18.75" x14ac:dyDescent="0.25">
      <c r="B31" s="41">
        <v>10</v>
      </c>
      <c r="C31" s="155">
        <v>20.951000000000001</v>
      </c>
      <c r="D31" s="155">
        <v>20.951000000000001</v>
      </c>
    </row>
    <row r="32" spans="2:7" ht="18.75" x14ac:dyDescent="0.25">
      <c r="B32" s="41">
        <v>11</v>
      </c>
      <c r="C32" s="155">
        <v>21.515999999999998</v>
      </c>
      <c r="D32" s="155">
        <v>21.515999999999998</v>
      </c>
    </row>
    <row r="33" spans="2:4" ht="18.75" x14ac:dyDescent="0.25">
      <c r="B33" s="41">
        <v>12</v>
      </c>
      <c r="C33" s="155">
        <v>20.672000000000001</v>
      </c>
      <c r="D33" s="155">
        <v>20.672000000000001</v>
      </c>
    </row>
    <row r="34" spans="2:4" ht="18.75" x14ac:dyDescent="0.25">
      <c r="B34" s="41">
        <v>13</v>
      </c>
      <c r="C34" s="155">
        <v>19.992000000000001</v>
      </c>
      <c r="D34" s="155">
        <v>19.992000000000001</v>
      </c>
    </row>
    <row r="35" spans="2:4" ht="18.75" x14ac:dyDescent="0.25">
      <c r="B35" s="41">
        <v>14</v>
      </c>
      <c r="C35" s="155">
        <v>19.648</v>
      </c>
      <c r="D35" s="155">
        <v>19.648</v>
      </c>
    </row>
    <row r="36" spans="2:4" ht="18.75" x14ac:dyDescent="0.25">
      <c r="B36" s="41">
        <v>15</v>
      </c>
      <c r="C36" s="155">
        <v>19.821999999999999</v>
      </c>
      <c r="D36" s="155">
        <v>19.821999999999999</v>
      </c>
    </row>
    <row r="37" spans="2:4" ht="18.75" x14ac:dyDescent="0.25">
      <c r="B37" s="41">
        <v>16</v>
      </c>
      <c r="C37" s="155">
        <v>20.146000000000001</v>
      </c>
      <c r="D37" s="155">
        <v>20.146000000000001</v>
      </c>
    </row>
    <row r="38" spans="2:4" ht="18.75" x14ac:dyDescent="0.25">
      <c r="B38" s="41">
        <v>17</v>
      </c>
      <c r="C38" s="155">
        <v>20.216000000000001</v>
      </c>
      <c r="D38" s="155">
        <v>20.216000000000001</v>
      </c>
    </row>
    <row r="39" spans="2:4" ht="18.75" x14ac:dyDescent="0.25">
      <c r="B39" s="41">
        <v>18</v>
      </c>
      <c r="C39" s="155">
        <v>20.638000000000002</v>
      </c>
      <c r="D39" s="155">
        <v>20.638000000000002</v>
      </c>
    </row>
    <row r="40" spans="2:4" ht="18.75" x14ac:dyDescent="0.25">
      <c r="B40" s="41">
        <v>19</v>
      </c>
      <c r="C40" s="155">
        <v>21.157</v>
      </c>
      <c r="D40" s="155">
        <v>21.157</v>
      </c>
    </row>
    <row r="41" spans="2:4" ht="18.75" x14ac:dyDescent="0.25">
      <c r="B41" s="41">
        <v>20</v>
      </c>
      <c r="C41" s="155">
        <v>21.242000000000001</v>
      </c>
      <c r="D41" s="155">
        <v>21.242000000000001</v>
      </c>
    </row>
    <row r="42" spans="2:4" ht="18.75" x14ac:dyDescent="0.25">
      <c r="B42" s="41">
        <v>21</v>
      </c>
      <c r="C42" s="155">
        <v>20.847999999999999</v>
      </c>
      <c r="D42" s="155">
        <v>20.847999999999999</v>
      </c>
    </row>
    <row r="43" spans="2:4" ht="18.75" x14ac:dyDescent="0.25">
      <c r="B43" s="41">
        <v>22</v>
      </c>
      <c r="C43" s="155">
        <v>21.324000000000002</v>
      </c>
      <c r="D43" s="155">
        <v>21.324000000000002</v>
      </c>
    </row>
    <row r="44" spans="2:4" ht="18.75" x14ac:dyDescent="0.25">
      <c r="B44" s="41">
        <v>23</v>
      </c>
      <c r="C44" s="155">
        <v>21.687999999999999</v>
      </c>
      <c r="D44" s="155">
        <v>21.687999999999999</v>
      </c>
    </row>
    <row r="45" spans="2:4" ht="18.75" x14ac:dyDescent="0.25">
      <c r="B45" s="41"/>
      <c r="C45" s="155"/>
      <c r="D45" s="155"/>
    </row>
    <row r="46" spans="2:4" ht="33.75" customHeight="1" x14ac:dyDescent="0.25">
      <c r="B46" s="42" t="s">
        <v>47</v>
      </c>
      <c r="C46" s="160">
        <f>AVERAGE(C22:C45)</f>
        <v>21.045173913043481</v>
      </c>
      <c r="D46" s="160"/>
    </row>
    <row r="47" spans="2:4" ht="31.5" x14ac:dyDescent="0.25">
      <c r="B47" s="44" t="s">
        <v>48</v>
      </c>
      <c r="C47" s="43">
        <f>_xlfn.STDEV.S(C21:C45)</f>
        <v>0.82222026100595147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'FOM303-32-Imprimir'!C12</f>
        <v>46024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'FOM303-32-Imprimir'!E12</f>
        <v>46024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22.381</v>
      </c>
      <c r="D21" s="155">
        <v>22.381</v>
      </c>
    </row>
    <row r="22" spans="2:7" ht="18.75" x14ac:dyDescent="0.25">
      <c r="B22" s="41">
        <v>1</v>
      </c>
      <c r="C22" s="155">
        <v>22.399000000000001</v>
      </c>
      <c r="D22" s="155">
        <v>22.399000000000001</v>
      </c>
    </row>
    <row r="23" spans="2:7" ht="18.75" x14ac:dyDescent="0.25">
      <c r="B23" s="41">
        <v>2</v>
      </c>
      <c r="C23" s="155">
        <v>22.349</v>
      </c>
      <c r="D23" s="155">
        <v>22.349</v>
      </c>
    </row>
    <row r="24" spans="2:7" ht="18.75" x14ac:dyDescent="0.25">
      <c r="B24" s="41">
        <v>3</v>
      </c>
      <c r="C24" s="155">
        <v>21.806999999999999</v>
      </c>
      <c r="D24" s="155">
        <v>21.806999999999999</v>
      </c>
    </row>
    <row r="25" spans="2:7" ht="18.75" x14ac:dyDescent="0.25">
      <c r="B25" s="41">
        <v>4</v>
      </c>
      <c r="C25" s="155">
        <v>21.396000000000001</v>
      </c>
      <c r="D25" s="155">
        <v>21.396000000000001</v>
      </c>
    </row>
    <row r="26" spans="2:7" ht="18.75" x14ac:dyDescent="0.25">
      <c r="B26" s="41">
        <v>5</v>
      </c>
      <c r="C26" s="155">
        <v>22.279</v>
      </c>
      <c r="D26" s="155">
        <v>22.279</v>
      </c>
    </row>
    <row r="27" spans="2:7" ht="18.75" x14ac:dyDescent="0.25">
      <c r="B27" s="41">
        <v>6</v>
      </c>
      <c r="C27" s="155">
        <v>22.527000000000001</v>
      </c>
      <c r="D27" s="155">
        <v>22.527000000000001</v>
      </c>
    </row>
    <row r="28" spans="2:7" ht="18.75" x14ac:dyDescent="0.25">
      <c r="B28" s="41">
        <v>7</v>
      </c>
      <c r="C28" s="155">
        <v>21.001000000000001</v>
      </c>
      <c r="D28" s="155">
        <v>21.001000000000001</v>
      </c>
    </row>
    <row r="29" spans="2:7" ht="18.75" x14ac:dyDescent="0.25">
      <c r="B29" s="41">
        <v>8</v>
      </c>
      <c r="C29" s="155">
        <v>21.146000000000001</v>
      </c>
      <c r="D29" s="155">
        <v>21.146000000000001</v>
      </c>
    </row>
    <row r="30" spans="2:7" ht="18.75" x14ac:dyDescent="0.25">
      <c r="B30" s="41">
        <v>9</v>
      </c>
      <c r="C30" s="155">
        <v>21.373999999999999</v>
      </c>
      <c r="D30" s="155">
        <v>21.373999999999999</v>
      </c>
    </row>
    <row r="31" spans="2:7" ht="18.75" x14ac:dyDescent="0.25">
      <c r="B31" s="41">
        <v>10</v>
      </c>
      <c r="C31" s="155">
        <v>20.114000000000001</v>
      </c>
      <c r="D31" s="155">
        <v>20.114000000000001</v>
      </c>
    </row>
    <row r="32" spans="2:7" ht="18.75" x14ac:dyDescent="0.25">
      <c r="B32" s="41">
        <v>11</v>
      </c>
      <c r="C32" s="155">
        <v>20.035</v>
      </c>
      <c r="D32" s="155">
        <v>20.035</v>
      </c>
    </row>
    <row r="33" spans="2:4" ht="18.75" x14ac:dyDescent="0.25">
      <c r="B33" s="41">
        <v>12</v>
      </c>
      <c r="C33" s="155">
        <v>20.129000000000001</v>
      </c>
      <c r="D33" s="155">
        <v>20.129000000000001</v>
      </c>
    </row>
    <row r="34" spans="2:4" ht="18.75" x14ac:dyDescent="0.25">
      <c r="B34" s="41">
        <v>13</v>
      </c>
      <c r="C34" s="155">
        <v>20.212</v>
      </c>
      <c r="D34" s="155">
        <v>20.212</v>
      </c>
    </row>
    <row r="35" spans="2:4" ht="18.75" x14ac:dyDescent="0.25">
      <c r="B35" s="41">
        <v>14</v>
      </c>
      <c r="C35" s="155">
        <v>20.547999999999998</v>
      </c>
      <c r="D35" s="155">
        <v>20.547999999999998</v>
      </c>
    </row>
    <row r="36" spans="2:4" ht="18.75" x14ac:dyDescent="0.25">
      <c r="B36" s="41">
        <v>15</v>
      </c>
      <c r="C36" s="155">
        <v>19.242000000000001</v>
      </c>
      <c r="D36" s="155">
        <v>19.242000000000001</v>
      </c>
    </row>
    <row r="37" spans="2:4" ht="18.75" x14ac:dyDescent="0.25">
      <c r="B37" s="41">
        <v>16</v>
      </c>
      <c r="C37" s="155">
        <v>20.129000000000001</v>
      </c>
      <c r="D37" s="155">
        <v>20.129000000000001</v>
      </c>
    </row>
    <row r="38" spans="2:4" ht="18.75" x14ac:dyDescent="0.25">
      <c r="B38" s="41">
        <v>17</v>
      </c>
      <c r="C38" s="155">
        <v>20.437000000000001</v>
      </c>
      <c r="D38" s="155">
        <v>20.437000000000001</v>
      </c>
    </row>
    <row r="39" spans="2:4" ht="18.75" x14ac:dyDescent="0.25">
      <c r="B39" s="41">
        <v>18</v>
      </c>
      <c r="C39" s="155">
        <v>20.771999999999998</v>
      </c>
      <c r="D39" s="155">
        <v>20.771999999999998</v>
      </c>
    </row>
    <row r="40" spans="2:4" ht="18.75" x14ac:dyDescent="0.25">
      <c r="B40" s="41">
        <v>19</v>
      </c>
      <c r="C40" s="155">
        <v>20.821999999999999</v>
      </c>
      <c r="D40" s="155">
        <v>20.821999999999999</v>
      </c>
    </row>
    <row r="41" spans="2:4" ht="18.75" x14ac:dyDescent="0.25">
      <c r="B41" s="41">
        <v>20</v>
      </c>
      <c r="C41" s="155">
        <v>20.709</v>
      </c>
      <c r="D41" s="155">
        <v>20.709</v>
      </c>
    </row>
    <row r="42" spans="2:4" ht="18.75" x14ac:dyDescent="0.25">
      <c r="B42" s="41">
        <v>21</v>
      </c>
      <c r="C42" s="155">
        <v>20.95</v>
      </c>
      <c r="D42" s="155">
        <v>20.95</v>
      </c>
    </row>
    <row r="43" spans="2:4" ht="18.75" x14ac:dyDescent="0.25">
      <c r="B43" s="41">
        <v>22</v>
      </c>
      <c r="C43" s="155">
        <v>20.832999999999998</v>
      </c>
      <c r="D43" s="155">
        <v>20.832999999999998</v>
      </c>
    </row>
    <row r="44" spans="2:4" ht="18.75" x14ac:dyDescent="0.25">
      <c r="B44" s="41">
        <v>23</v>
      </c>
      <c r="C44" s="155">
        <v>21.462</v>
      </c>
      <c r="D44" s="155">
        <v>21.462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20.985739130434784</v>
      </c>
      <c r="D46" s="160"/>
    </row>
    <row r="47" spans="2:4" ht="31.5" x14ac:dyDescent="0.25">
      <c r="B47" s="44" t="s">
        <v>48</v>
      </c>
      <c r="C47" s="43">
        <f>_xlfn.STDEV.S(C21:C45)</f>
        <v>0.8957206626146248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'FOM303-32-Imprimir'!C13</f>
        <v>46025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'FOM303-32-Imprimir'!E13</f>
        <v>46025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21.536999999999999</v>
      </c>
      <c r="D21" s="155">
        <v>21.536999999999999</v>
      </c>
    </row>
    <row r="22" spans="2:7" ht="18.75" x14ac:dyDescent="0.25">
      <c r="B22" s="41">
        <v>1</v>
      </c>
      <c r="C22" s="155">
        <v>21.353000000000002</v>
      </c>
      <c r="D22" s="155">
        <v>21.353000000000002</v>
      </c>
    </row>
    <row r="23" spans="2:7" ht="18.75" x14ac:dyDescent="0.25">
      <c r="B23" s="41">
        <v>2</v>
      </c>
      <c r="C23" s="155">
        <v>21.581</v>
      </c>
      <c r="D23" s="155">
        <v>21.581</v>
      </c>
    </row>
    <row r="24" spans="2:7" ht="18.75" x14ac:dyDescent="0.25">
      <c r="B24" s="41">
        <v>3</v>
      </c>
      <c r="C24" s="155">
        <v>21.79</v>
      </c>
      <c r="D24" s="155">
        <v>21.79</v>
      </c>
    </row>
    <row r="25" spans="2:7" ht="18.75" x14ac:dyDescent="0.25">
      <c r="B25" s="41">
        <v>4</v>
      </c>
      <c r="C25" s="155">
        <v>21.661000000000001</v>
      </c>
      <c r="D25" s="155">
        <v>21.661000000000001</v>
      </c>
    </row>
    <row r="26" spans="2:7" ht="18.75" x14ac:dyDescent="0.25">
      <c r="B26" s="41">
        <v>5</v>
      </c>
      <c r="C26" s="155">
        <v>21.907</v>
      </c>
      <c r="D26" s="155">
        <v>21.907</v>
      </c>
    </row>
    <row r="27" spans="2:7" ht="18.75" x14ac:dyDescent="0.25">
      <c r="B27" s="41">
        <v>6</v>
      </c>
      <c r="C27" s="155">
        <v>22.055</v>
      </c>
      <c r="D27" s="155">
        <v>22.055</v>
      </c>
    </row>
    <row r="28" spans="2:7" ht="18.75" x14ac:dyDescent="0.25">
      <c r="B28" s="41">
        <v>7</v>
      </c>
      <c r="C28" s="155">
        <v>20.605</v>
      </c>
      <c r="D28" s="155">
        <v>20.605</v>
      </c>
    </row>
    <row r="29" spans="2:7" ht="18.75" x14ac:dyDescent="0.25">
      <c r="B29" s="41">
        <v>8</v>
      </c>
      <c r="C29" s="155">
        <v>20.129000000000001</v>
      </c>
      <c r="D29" s="155">
        <v>20.129000000000001</v>
      </c>
    </row>
    <row r="30" spans="2:7" ht="18.75" x14ac:dyDescent="0.25">
      <c r="B30" s="41">
        <v>9</v>
      </c>
      <c r="C30" s="155">
        <v>20.172000000000001</v>
      </c>
      <c r="D30" s="155">
        <v>20.172000000000001</v>
      </c>
    </row>
    <row r="31" spans="2:7" ht="18.75" x14ac:dyDescent="0.25">
      <c r="B31" s="41">
        <v>10</v>
      </c>
      <c r="C31" s="155">
        <v>21.844000000000001</v>
      </c>
      <c r="D31" s="155">
        <v>21.844000000000001</v>
      </c>
    </row>
    <row r="32" spans="2:7" ht="18.75" x14ac:dyDescent="0.25">
      <c r="B32" s="41">
        <v>11</v>
      </c>
      <c r="C32" s="155">
        <v>22.49</v>
      </c>
      <c r="D32" s="155">
        <v>22.49</v>
      </c>
    </row>
    <row r="33" spans="2:4" ht="18.75" x14ac:dyDescent="0.25">
      <c r="B33" s="41">
        <v>12</v>
      </c>
      <c r="C33" s="155">
        <v>22.603000000000002</v>
      </c>
      <c r="D33" s="155">
        <v>22.603000000000002</v>
      </c>
    </row>
    <row r="34" spans="2:4" ht="18.75" x14ac:dyDescent="0.25">
      <c r="B34" s="41">
        <v>13</v>
      </c>
      <c r="C34" s="155">
        <v>24.712</v>
      </c>
      <c r="D34" s="155">
        <v>24.712</v>
      </c>
    </row>
    <row r="35" spans="2:4" ht="18.75" x14ac:dyDescent="0.25">
      <c r="B35" s="41">
        <v>14</v>
      </c>
      <c r="C35" s="155">
        <v>22.427</v>
      </c>
      <c r="D35" s="155">
        <v>22.427</v>
      </c>
    </row>
    <row r="36" spans="2:4" ht="18.75" x14ac:dyDescent="0.25">
      <c r="B36" s="41">
        <v>15</v>
      </c>
      <c r="C36" s="155">
        <v>20.759</v>
      </c>
      <c r="D36" s="155">
        <v>20.759</v>
      </c>
    </row>
    <row r="37" spans="2:4" ht="18.75" x14ac:dyDescent="0.25">
      <c r="B37" s="41">
        <v>16</v>
      </c>
      <c r="C37" s="155">
        <v>20.123999999999999</v>
      </c>
      <c r="D37" s="155">
        <v>20.123999999999999</v>
      </c>
    </row>
    <row r="38" spans="2:4" ht="18.75" x14ac:dyDescent="0.25">
      <c r="B38" s="41">
        <v>17</v>
      </c>
      <c r="C38" s="155">
        <v>21.872</v>
      </c>
      <c r="D38" s="155">
        <v>21.872</v>
      </c>
    </row>
    <row r="39" spans="2:4" ht="18.75" x14ac:dyDescent="0.25">
      <c r="B39" s="41">
        <v>18</v>
      </c>
      <c r="C39" s="155">
        <v>21.387</v>
      </c>
      <c r="D39" s="155">
        <v>21.387</v>
      </c>
    </row>
    <row r="40" spans="2:4" ht="18.75" x14ac:dyDescent="0.25">
      <c r="B40" s="41">
        <v>19</v>
      </c>
      <c r="C40" s="155">
        <v>21.355</v>
      </c>
      <c r="D40" s="155">
        <v>21.355</v>
      </c>
    </row>
    <row r="41" spans="2:4" ht="18.75" x14ac:dyDescent="0.25">
      <c r="B41" s="41">
        <v>20</v>
      </c>
      <c r="C41" s="155">
        <v>22.055</v>
      </c>
      <c r="D41" s="155">
        <v>22.055</v>
      </c>
    </row>
    <row r="42" spans="2:4" ht="18.75" x14ac:dyDescent="0.25">
      <c r="B42" s="41">
        <v>21</v>
      </c>
      <c r="C42" s="155">
        <v>21.454999999999998</v>
      </c>
      <c r="D42" s="155">
        <v>21.454999999999998</v>
      </c>
    </row>
    <row r="43" spans="2:4" ht="18.75" x14ac:dyDescent="0.25">
      <c r="B43" s="41">
        <v>22</v>
      </c>
      <c r="C43" s="155">
        <v>21.701000000000001</v>
      </c>
      <c r="D43" s="155">
        <v>21.701000000000001</v>
      </c>
    </row>
    <row r="44" spans="2:4" ht="18.75" x14ac:dyDescent="0.25">
      <c r="B44" s="41">
        <v>23</v>
      </c>
      <c r="C44" s="155">
        <v>21.795999999999999</v>
      </c>
      <c r="D44" s="155">
        <v>21.795999999999999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21.644913043478262</v>
      </c>
      <c r="D46" s="160"/>
    </row>
    <row r="47" spans="2:4" ht="31.5" x14ac:dyDescent="0.25">
      <c r="B47" s="44" t="s">
        <v>48</v>
      </c>
      <c r="C47" s="43">
        <f>_xlfn.STDEV.S(C21:C45)</f>
        <v>0.95844756345042559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'FOM303-32-Imprimir'!C14</f>
        <v>46026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'FOM303-32-Imprimir'!E14</f>
        <v>46026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21.85</v>
      </c>
      <c r="D21" s="155">
        <v>21.85</v>
      </c>
    </row>
    <row r="22" spans="2:7" ht="18.75" x14ac:dyDescent="0.25">
      <c r="B22" s="41">
        <v>1</v>
      </c>
      <c r="C22" s="155">
        <v>21.9</v>
      </c>
      <c r="D22" s="155">
        <v>21.9</v>
      </c>
    </row>
    <row r="23" spans="2:7" ht="18.75" x14ac:dyDescent="0.25">
      <c r="B23" s="41">
        <v>2</v>
      </c>
      <c r="C23" s="155">
        <v>21.908999999999999</v>
      </c>
      <c r="D23" s="155">
        <v>21.908999999999999</v>
      </c>
    </row>
    <row r="24" spans="2:7" ht="18.75" x14ac:dyDescent="0.25">
      <c r="B24" s="41">
        <v>3</v>
      </c>
      <c r="C24" s="155">
        <v>22.085000000000001</v>
      </c>
      <c r="D24" s="155">
        <v>22.085000000000001</v>
      </c>
    </row>
    <row r="25" spans="2:7" ht="18.75" x14ac:dyDescent="0.25">
      <c r="B25" s="41">
        <v>4</v>
      </c>
      <c r="C25" s="155">
        <v>21.765999999999998</v>
      </c>
      <c r="D25" s="155">
        <v>21.765999999999998</v>
      </c>
    </row>
    <row r="26" spans="2:7" ht="18.75" x14ac:dyDescent="0.25">
      <c r="B26" s="41">
        <v>5</v>
      </c>
      <c r="C26" s="155">
        <v>22.062000000000001</v>
      </c>
      <c r="D26" s="155">
        <v>22.062000000000001</v>
      </c>
    </row>
    <row r="27" spans="2:7" ht="18.75" x14ac:dyDescent="0.25">
      <c r="B27" s="41">
        <v>6</v>
      </c>
      <c r="C27" s="155">
        <v>22.225000000000001</v>
      </c>
      <c r="D27" s="155">
        <v>22.225000000000001</v>
      </c>
    </row>
    <row r="28" spans="2:7" ht="18.75" x14ac:dyDescent="0.25">
      <c r="B28" s="41">
        <v>7</v>
      </c>
      <c r="C28" s="155">
        <v>21.391999999999999</v>
      </c>
      <c r="D28" s="155">
        <v>21.391999999999999</v>
      </c>
    </row>
    <row r="29" spans="2:7" ht="18.75" x14ac:dyDescent="0.25">
      <c r="B29" s="41">
        <v>8</v>
      </c>
      <c r="C29" s="155">
        <v>19.873999999999999</v>
      </c>
      <c r="D29" s="155">
        <v>19.873999999999999</v>
      </c>
    </row>
    <row r="30" spans="2:7" ht="18.75" x14ac:dyDescent="0.25">
      <c r="B30" s="41">
        <v>9</v>
      </c>
      <c r="C30" s="155">
        <v>21.486999999999998</v>
      </c>
      <c r="D30" s="155">
        <v>21.486999999999998</v>
      </c>
    </row>
    <row r="31" spans="2:7" ht="18.75" x14ac:dyDescent="0.25">
      <c r="B31" s="41">
        <v>10</v>
      </c>
      <c r="C31" s="155">
        <v>20.285</v>
      </c>
      <c r="D31" s="155">
        <v>20.285</v>
      </c>
    </row>
    <row r="32" spans="2:7" ht="18.75" x14ac:dyDescent="0.25">
      <c r="B32" s="41">
        <v>11</v>
      </c>
      <c r="C32" s="155">
        <v>19.977</v>
      </c>
      <c r="D32" s="155">
        <v>19.977</v>
      </c>
    </row>
    <row r="33" spans="2:4" ht="18.75" x14ac:dyDescent="0.25">
      <c r="B33" s="41">
        <v>12</v>
      </c>
      <c r="C33" s="155">
        <v>20.379000000000001</v>
      </c>
      <c r="D33" s="155">
        <v>20.379000000000001</v>
      </c>
    </row>
    <row r="34" spans="2:4" ht="18.75" x14ac:dyDescent="0.25">
      <c r="B34" s="41">
        <v>13</v>
      </c>
      <c r="C34" s="155">
        <v>20.462</v>
      </c>
      <c r="D34" s="155">
        <v>20.462</v>
      </c>
    </row>
    <row r="35" spans="2:4" ht="18.75" x14ac:dyDescent="0.25">
      <c r="B35" s="41">
        <v>14</v>
      </c>
      <c r="C35" s="155">
        <v>20.529</v>
      </c>
      <c r="D35" s="155">
        <v>20.529</v>
      </c>
    </row>
    <row r="36" spans="2:4" ht="18.75" x14ac:dyDescent="0.25">
      <c r="B36" s="41">
        <v>15</v>
      </c>
      <c r="C36" s="155">
        <v>20.202999999999999</v>
      </c>
      <c r="D36" s="155">
        <v>20.202999999999999</v>
      </c>
    </row>
    <row r="37" spans="2:4" ht="18.75" x14ac:dyDescent="0.25">
      <c r="B37" s="41">
        <v>16</v>
      </c>
      <c r="C37" s="155">
        <v>19.876999999999999</v>
      </c>
      <c r="D37" s="155">
        <v>19.876999999999999</v>
      </c>
    </row>
    <row r="38" spans="2:4" ht="18.75" x14ac:dyDescent="0.25">
      <c r="B38" s="41">
        <v>17</v>
      </c>
      <c r="C38" s="155">
        <v>20.431000000000001</v>
      </c>
      <c r="D38" s="155">
        <v>20.431000000000001</v>
      </c>
    </row>
    <row r="39" spans="2:4" ht="18.75" x14ac:dyDescent="0.25">
      <c r="B39" s="41">
        <v>18</v>
      </c>
      <c r="C39" s="155">
        <v>21.459</v>
      </c>
      <c r="D39" s="155">
        <v>21.459</v>
      </c>
    </row>
    <row r="40" spans="2:4" ht="18.75" x14ac:dyDescent="0.25">
      <c r="B40" s="41">
        <v>19</v>
      </c>
      <c r="C40" s="155">
        <v>21.231000000000002</v>
      </c>
      <c r="D40" s="155">
        <v>21.231000000000002</v>
      </c>
    </row>
    <row r="41" spans="2:4" ht="18.75" x14ac:dyDescent="0.25">
      <c r="B41" s="41">
        <v>20</v>
      </c>
      <c r="C41" s="155">
        <v>21.62</v>
      </c>
      <c r="D41" s="155">
        <v>21.62</v>
      </c>
    </row>
    <row r="42" spans="2:4" ht="18.75" x14ac:dyDescent="0.25">
      <c r="B42" s="41">
        <v>21</v>
      </c>
      <c r="C42" s="155">
        <v>21.19</v>
      </c>
      <c r="D42" s="155">
        <v>21.19</v>
      </c>
    </row>
    <row r="43" spans="2:4" ht="18.75" x14ac:dyDescent="0.25">
      <c r="B43" s="41">
        <v>22</v>
      </c>
      <c r="C43" s="155">
        <v>21.27</v>
      </c>
      <c r="D43" s="155">
        <v>21.27</v>
      </c>
    </row>
    <row r="44" spans="2:4" ht="18.75" x14ac:dyDescent="0.25">
      <c r="B44" s="41">
        <v>23</v>
      </c>
      <c r="C44" s="155">
        <v>21.376999999999999</v>
      </c>
      <c r="D44" s="155">
        <v>21.376999999999999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/>
      <c r="D46" s="160"/>
    </row>
    <row r="47" spans="2:4" ht="31.5" x14ac:dyDescent="0.25">
      <c r="B47" s="44" t="s">
        <v>48</v>
      </c>
      <c r="C47" s="43">
        <f>_xlfn.STDEV.S(C21:C45)</f>
        <v>0.77032526538648194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'FOM303-32-Imprimir'!C15</f>
        <v>46027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'FOM303-32-Imprimir'!E15</f>
        <v>46027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21.545999999999999</v>
      </c>
      <c r="D21" s="155">
        <v>21.545999999999999</v>
      </c>
    </row>
    <row r="22" spans="2:7" ht="18.75" x14ac:dyDescent="0.25">
      <c r="B22" s="41">
        <v>1</v>
      </c>
      <c r="C22" s="155">
        <v>21.759</v>
      </c>
      <c r="D22" s="155">
        <v>21.759</v>
      </c>
    </row>
    <row r="23" spans="2:7" ht="18.75" x14ac:dyDescent="0.25">
      <c r="B23" s="41">
        <v>2</v>
      </c>
      <c r="C23" s="155">
        <v>21.716000000000001</v>
      </c>
      <c r="D23" s="155">
        <v>21.716000000000001</v>
      </c>
    </row>
    <row r="24" spans="2:7" ht="18.75" x14ac:dyDescent="0.25">
      <c r="B24" s="41">
        <v>3</v>
      </c>
      <c r="C24" s="155">
        <v>21.774000000000001</v>
      </c>
      <c r="D24" s="155">
        <v>21.774000000000001</v>
      </c>
    </row>
    <row r="25" spans="2:7" ht="18.75" x14ac:dyDescent="0.25">
      <c r="B25" s="41">
        <v>4</v>
      </c>
      <c r="C25" s="155">
        <v>22.265999999999998</v>
      </c>
      <c r="D25" s="155">
        <v>22.265999999999998</v>
      </c>
    </row>
    <row r="26" spans="2:7" ht="18.75" x14ac:dyDescent="0.25">
      <c r="B26" s="41">
        <v>5</v>
      </c>
      <c r="C26" s="155">
        <v>21.917999999999999</v>
      </c>
      <c r="D26" s="155">
        <v>21.917999999999999</v>
      </c>
    </row>
    <row r="27" spans="2:7" ht="18.75" x14ac:dyDescent="0.25">
      <c r="B27" s="41">
        <v>6</v>
      </c>
      <c r="C27" s="155">
        <v>21.927</v>
      </c>
      <c r="D27" s="155">
        <v>21.927</v>
      </c>
    </row>
    <row r="28" spans="2:7" ht="18.75" x14ac:dyDescent="0.25">
      <c r="B28" s="41">
        <v>7</v>
      </c>
      <c r="C28" s="155">
        <v>20.785</v>
      </c>
      <c r="D28" s="155">
        <v>20.785</v>
      </c>
    </row>
    <row r="29" spans="2:7" ht="18.75" x14ac:dyDescent="0.25">
      <c r="B29" s="41">
        <v>8</v>
      </c>
      <c r="C29" s="155">
        <v>20.876999999999999</v>
      </c>
      <c r="D29" s="155">
        <v>20.876999999999999</v>
      </c>
    </row>
    <row r="30" spans="2:7" ht="18.75" x14ac:dyDescent="0.25">
      <c r="B30" s="41">
        <v>9</v>
      </c>
      <c r="C30" s="155">
        <v>23.045999999999999</v>
      </c>
      <c r="D30" s="155">
        <v>23.045999999999999</v>
      </c>
    </row>
    <row r="31" spans="2:7" ht="18.75" x14ac:dyDescent="0.25">
      <c r="B31" s="41">
        <v>10</v>
      </c>
      <c r="C31" s="155">
        <v>22.071999999999999</v>
      </c>
      <c r="D31" s="155">
        <v>22.071999999999999</v>
      </c>
    </row>
    <row r="32" spans="2:7" ht="18.75" x14ac:dyDescent="0.25">
      <c r="B32" s="41">
        <v>11</v>
      </c>
      <c r="C32" s="155">
        <v>20.106999999999999</v>
      </c>
      <c r="D32" s="155">
        <v>20.106999999999999</v>
      </c>
    </row>
    <row r="33" spans="2:4" ht="18.75" x14ac:dyDescent="0.25">
      <c r="B33" s="41">
        <v>12</v>
      </c>
      <c r="C33" s="155">
        <v>20.427</v>
      </c>
      <c r="D33" s="155">
        <v>20.427</v>
      </c>
    </row>
    <row r="34" spans="2:4" ht="18.75" x14ac:dyDescent="0.25">
      <c r="B34" s="41">
        <v>13</v>
      </c>
      <c r="C34" s="155">
        <v>21.887</v>
      </c>
      <c r="D34" s="155">
        <v>21.887</v>
      </c>
    </row>
    <row r="35" spans="2:4" ht="18.75" x14ac:dyDescent="0.25">
      <c r="B35" s="41">
        <v>14</v>
      </c>
      <c r="C35" s="155">
        <v>22.355</v>
      </c>
      <c r="D35" s="155">
        <v>22.355</v>
      </c>
    </row>
    <row r="36" spans="2:4" ht="18.75" x14ac:dyDescent="0.25">
      <c r="B36" s="41">
        <v>15</v>
      </c>
      <c r="C36" s="155">
        <v>21.207000000000001</v>
      </c>
      <c r="D36" s="155">
        <v>21.207000000000001</v>
      </c>
    </row>
    <row r="37" spans="2:4" ht="18.75" x14ac:dyDescent="0.25">
      <c r="B37" s="41">
        <v>16</v>
      </c>
      <c r="C37" s="155">
        <v>20.960999999999999</v>
      </c>
      <c r="D37" s="155">
        <v>20.960999999999999</v>
      </c>
    </row>
    <row r="38" spans="2:4" ht="18.75" x14ac:dyDescent="0.25">
      <c r="B38" s="41">
        <v>17</v>
      </c>
      <c r="C38" s="155">
        <v>21.777000000000001</v>
      </c>
      <c r="D38" s="155">
        <v>21.777000000000001</v>
      </c>
    </row>
    <row r="39" spans="2:4" ht="18.75" x14ac:dyDescent="0.25">
      <c r="B39" s="41">
        <v>18</v>
      </c>
      <c r="C39" s="155">
        <v>22.111000000000001</v>
      </c>
      <c r="D39" s="155">
        <v>22.111000000000001</v>
      </c>
    </row>
    <row r="40" spans="2:4" ht="18.75" x14ac:dyDescent="0.25">
      <c r="B40" s="41">
        <v>19</v>
      </c>
      <c r="C40" s="155">
        <v>21.637</v>
      </c>
      <c r="D40" s="155">
        <v>21.637</v>
      </c>
    </row>
    <row r="41" spans="2:4" ht="18.75" x14ac:dyDescent="0.25">
      <c r="B41" s="41">
        <v>20</v>
      </c>
      <c r="C41" s="155">
        <v>21.651</v>
      </c>
      <c r="D41" s="155">
        <v>21.651</v>
      </c>
    </row>
    <row r="42" spans="2:4" ht="18.75" x14ac:dyDescent="0.25">
      <c r="B42" s="41">
        <v>21</v>
      </c>
      <c r="C42" s="155">
        <v>21.314</v>
      </c>
      <c r="D42" s="155">
        <v>21.314</v>
      </c>
    </row>
    <row r="43" spans="2:4" ht="18.75" x14ac:dyDescent="0.25">
      <c r="B43" s="41">
        <v>22</v>
      </c>
      <c r="C43" s="155">
        <v>21.192</v>
      </c>
      <c r="D43" s="155">
        <v>21.192</v>
      </c>
    </row>
    <row r="44" spans="2:4" ht="18.75" x14ac:dyDescent="0.25">
      <c r="B44" s="41">
        <v>23</v>
      </c>
      <c r="C44" s="155">
        <v>21.222000000000001</v>
      </c>
      <c r="D44" s="155">
        <v>21.222000000000001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21.564695652173913</v>
      </c>
      <c r="D46" s="160"/>
    </row>
    <row r="47" spans="2:4" ht="31.5" x14ac:dyDescent="0.25">
      <c r="B47" s="44" t="s">
        <v>48</v>
      </c>
      <c r="C47" s="43">
        <f>_xlfn.STDEV.S(C21:C45)</f>
        <v>0.64943620476377129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'FOM303-32-Imprimir'!C16</f>
        <v>46028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'FOM303-32-Imprimir'!E16</f>
        <v>46028</v>
      </c>
      <c r="C12" s="153"/>
      <c r="D12" s="22" t="s">
        <v>43</v>
      </c>
      <c r="E12" s="154"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21.488</v>
      </c>
      <c r="D21" s="155">
        <v>21.488</v>
      </c>
    </row>
    <row r="22" spans="2:7" ht="18.75" x14ac:dyDescent="0.25">
      <c r="B22" s="41">
        <v>1</v>
      </c>
      <c r="C22" s="155">
        <v>21.651</v>
      </c>
      <c r="D22" s="155">
        <v>21.651</v>
      </c>
    </row>
    <row r="23" spans="2:7" ht="18.75" x14ac:dyDescent="0.25">
      <c r="B23" s="41">
        <v>2</v>
      </c>
      <c r="C23" s="155">
        <v>21.805</v>
      </c>
      <c r="D23" s="155">
        <v>21.805</v>
      </c>
    </row>
    <row r="24" spans="2:7" ht="18.75" x14ac:dyDescent="0.25">
      <c r="B24" s="41">
        <v>3</v>
      </c>
      <c r="C24" s="155">
        <v>22.02</v>
      </c>
      <c r="D24" s="155">
        <v>22.02</v>
      </c>
    </row>
    <row r="25" spans="2:7" ht="18.75" x14ac:dyDescent="0.25">
      <c r="B25" s="41">
        <v>4</v>
      </c>
      <c r="C25" s="155">
        <v>22.096</v>
      </c>
      <c r="D25" s="155">
        <v>22.096</v>
      </c>
    </row>
    <row r="26" spans="2:7" ht="18.75" x14ac:dyDescent="0.25">
      <c r="B26" s="41">
        <v>5</v>
      </c>
      <c r="C26" s="155">
        <v>21.651</v>
      </c>
      <c r="D26" s="155">
        <v>21.651</v>
      </c>
    </row>
    <row r="27" spans="2:7" ht="18.75" x14ac:dyDescent="0.25">
      <c r="B27" s="41">
        <v>6</v>
      </c>
      <c r="C27" s="155">
        <v>22.055</v>
      </c>
      <c r="D27" s="155">
        <v>22.055</v>
      </c>
    </row>
    <row r="28" spans="2:7" ht="18.75" x14ac:dyDescent="0.25">
      <c r="B28" s="41">
        <v>7</v>
      </c>
      <c r="C28" s="155">
        <v>21.173999999999999</v>
      </c>
      <c r="D28" s="155">
        <v>21.173999999999999</v>
      </c>
    </row>
    <row r="29" spans="2:7" ht="18.75" x14ac:dyDescent="0.25">
      <c r="B29" s="41">
        <v>8</v>
      </c>
      <c r="C29" s="155">
        <v>20.638000000000002</v>
      </c>
      <c r="D29" s="155">
        <v>20.638000000000002</v>
      </c>
    </row>
    <row r="30" spans="2:7" ht="18.75" x14ac:dyDescent="0.25">
      <c r="B30" s="41">
        <v>9</v>
      </c>
      <c r="C30" s="155">
        <v>22.9</v>
      </c>
      <c r="D30" s="155">
        <v>22.9</v>
      </c>
    </row>
    <row r="31" spans="2:7" ht="18.75" x14ac:dyDescent="0.25">
      <c r="B31" s="41">
        <v>10</v>
      </c>
      <c r="C31" s="155">
        <v>22.565999999999999</v>
      </c>
      <c r="D31" s="155">
        <v>22.565999999999999</v>
      </c>
    </row>
    <row r="32" spans="2:7" ht="18.75" x14ac:dyDescent="0.25">
      <c r="B32" s="41">
        <v>11</v>
      </c>
      <c r="C32" s="155">
        <v>21.135000000000002</v>
      </c>
      <c r="D32" s="155">
        <v>21.135000000000002</v>
      </c>
    </row>
    <row r="33" spans="2:4" ht="18.75" x14ac:dyDescent="0.25">
      <c r="B33" s="41">
        <v>12</v>
      </c>
      <c r="C33" s="155">
        <v>19.355</v>
      </c>
      <c r="D33" s="155">
        <v>19.355</v>
      </c>
    </row>
    <row r="34" spans="2:4" ht="18.75" x14ac:dyDescent="0.25">
      <c r="B34" s="41">
        <v>13</v>
      </c>
      <c r="C34" s="155">
        <v>19.407</v>
      </c>
      <c r="D34" s="155">
        <v>19.407</v>
      </c>
    </row>
    <row r="35" spans="2:4" ht="18.75" x14ac:dyDescent="0.25">
      <c r="B35" s="41">
        <v>14</v>
      </c>
      <c r="C35" s="155">
        <v>20.096</v>
      </c>
      <c r="D35" s="155">
        <v>20.096</v>
      </c>
    </row>
    <row r="36" spans="2:4" ht="18.75" x14ac:dyDescent="0.25">
      <c r="B36" s="41">
        <v>15</v>
      </c>
      <c r="C36" s="155">
        <v>20.928999999999998</v>
      </c>
      <c r="D36" s="155">
        <v>20.928999999999998</v>
      </c>
    </row>
    <row r="37" spans="2:4" ht="18.75" x14ac:dyDescent="0.25">
      <c r="B37" s="41">
        <v>16</v>
      </c>
      <c r="C37" s="155">
        <v>21.692</v>
      </c>
      <c r="D37" s="155">
        <v>21.692</v>
      </c>
    </row>
    <row r="38" spans="2:4" ht="18.75" x14ac:dyDescent="0.25">
      <c r="B38" s="41">
        <v>17</v>
      </c>
      <c r="C38" s="155">
        <v>21.64</v>
      </c>
      <c r="D38" s="155">
        <v>21.64</v>
      </c>
    </row>
    <row r="39" spans="2:4" ht="18.75" x14ac:dyDescent="0.25">
      <c r="B39" s="41">
        <v>18</v>
      </c>
      <c r="C39" s="155">
        <v>21.74</v>
      </c>
      <c r="D39" s="155">
        <v>21.74</v>
      </c>
    </row>
    <row r="40" spans="2:4" ht="18.75" x14ac:dyDescent="0.25">
      <c r="B40" s="41">
        <v>19</v>
      </c>
      <c r="C40" s="155">
        <v>21.535</v>
      </c>
      <c r="D40" s="155">
        <v>21.535</v>
      </c>
    </row>
    <row r="41" spans="2:4" ht="18.75" x14ac:dyDescent="0.25">
      <c r="B41" s="41">
        <v>20</v>
      </c>
      <c r="C41" s="155">
        <v>21.311</v>
      </c>
      <c r="D41" s="155">
        <v>21.311</v>
      </c>
    </row>
    <row r="42" spans="2:4" ht="18.75" x14ac:dyDescent="0.25">
      <c r="B42" s="41">
        <v>21</v>
      </c>
      <c r="C42" s="155">
        <v>21.641999999999999</v>
      </c>
      <c r="D42" s="155">
        <v>21.641999999999999</v>
      </c>
    </row>
    <row r="43" spans="2:4" ht="18.75" x14ac:dyDescent="0.25">
      <c r="B43" s="41">
        <v>22</v>
      </c>
      <c r="C43" s="155">
        <v>21.751000000000001</v>
      </c>
      <c r="D43" s="155">
        <v>21.751000000000001</v>
      </c>
    </row>
    <row r="44" spans="2:4" ht="18.75" x14ac:dyDescent="0.25">
      <c r="B44" s="41">
        <v>23</v>
      </c>
      <c r="C44" s="155">
        <v>21.806999999999999</v>
      </c>
      <c r="D44" s="155">
        <v>21.806999999999999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21.417217391304344</v>
      </c>
      <c r="D46" s="160"/>
    </row>
    <row r="47" spans="2:4" ht="31.5" x14ac:dyDescent="0.25">
      <c r="B47" s="44" t="s">
        <v>48</v>
      </c>
      <c r="C47" s="43">
        <f>_xlfn.STDEV.S(C21:C45)</f>
        <v>0.84969834374460096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'FOM303-32-Imprimir'!C17</f>
        <v>46029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'FOM303-32-Imprimir'!E17</f>
        <v>46029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21.762</v>
      </c>
      <c r="D21" s="155">
        <v>21.762</v>
      </c>
    </row>
    <row r="22" spans="2:7" ht="18.75" x14ac:dyDescent="0.25">
      <c r="B22" s="41">
        <v>1</v>
      </c>
      <c r="C22" s="155">
        <v>22.292000000000002</v>
      </c>
      <c r="D22" s="155">
        <v>22.292000000000002</v>
      </c>
    </row>
    <row r="23" spans="2:7" ht="18.75" x14ac:dyDescent="0.25">
      <c r="B23" s="41">
        <v>2</v>
      </c>
      <c r="C23" s="155">
        <v>22.280999999999999</v>
      </c>
      <c r="D23" s="155">
        <v>22.280999999999999</v>
      </c>
    </row>
    <row r="24" spans="2:7" ht="18.75" x14ac:dyDescent="0.25">
      <c r="B24" s="41">
        <v>3</v>
      </c>
      <c r="C24" s="155">
        <v>22.399000000000001</v>
      </c>
      <c r="D24" s="155">
        <v>22.399000000000001</v>
      </c>
    </row>
    <row r="25" spans="2:7" ht="18.75" x14ac:dyDescent="0.25">
      <c r="B25" s="41">
        <v>4</v>
      </c>
      <c r="C25" s="155">
        <v>22.994</v>
      </c>
      <c r="D25" s="155">
        <v>22.994</v>
      </c>
    </row>
    <row r="26" spans="2:7" ht="18.75" x14ac:dyDescent="0.25">
      <c r="B26" s="41">
        <v>5</v>
      </c>
      <c r="C26" s="155">
        <v>22.605</v>
      </c>
      <c r="D26" s="155">
        <v>22.605</v>
      </c>
    </row>
    <row r="27" spans="2:7" ht="18.75" x14ac:dyDescent="0.25">
      <c r="B27" s="41">
        <v>6</v>
      </c>
      <c r="C27" s="155">
        <v>22.433</v>
      </c>
      <c r="D27" s="155">
        <v>22.433</v>
      </c>
    </row>
    <row r="28" spans="2:7" ht="18.75" x14ac:dyDescent="0.25">
      <c r="B28" s="41">
        <v>7</v>
      </c>
      <c r="C28" s="155">
        <v>22.007000000000001</v>
      </c>
      <c r="D28" s="155">
        <v>22.007000000000001</v>
      </c>
    </row>
    <row r="29" spans="2:7" ht="18.75" x14ac:dyDescent="0.25">
      <c r="B29" s="41">
        <v>8</v>
      </c>
      <c r="C29" s="155">
        <v>20.806999999999999</v>
      </c>
      <c r="D29" s="155">
        <v>20.806999999999999</v>
      </c>
    </row>
    <row r="30" spans="2:7" ht="18.75" x14ac:dyDescent="0.25">
      <c r="B30" s="41">
        <v>9</v>
      </c>
      <c r="C30" s="155">
        <v>21.207000000000001</v>
      </c>
      <c r="D30" s="155">
        <v>21.207000000000001</v>
      </c>
    </row>
    <row r="31" spans="2:7" ht="18.75" x14ac:dyDescent="0.25">
      <c r="B31" s="41">
        <v>10</v>
      </c>
      <c r="C31" s="155">
        <v>22.614000000000001</v>
      </c>
      <c r="D31" s="155">
        <v>22.614000000000001</v>
      </c>
    </row>
    <row r="32" spans="2:7" ht="18.75" x14ac:dyDescent="0.25">
      <c r="B32" s="41">
        <v>11</v>
      </c>
      <c r="C32" s="155">
        <v>21.667999999999999</v>
      </c>
      <c r="D32" s="155">
        <v>21.667999999999999</v>
      </c>
    </row>
    <row r="33" spans="2:4" ht="18.75" x14ac:dyDescent="0.25">
      <c r="B33" s="41">
        <v>12</v>
      </c>
      <c r="C33" s="155">
        <v>20.561</v>
      </c>
      <c r="D33" s="155">
        <v>20.561</v>
      </c>
    </row>
    <row r="34" spans="2:4" ht="18.75" x14ac:dyDescent="0.25">
      <c r="B34" s="41">
        <v>13</v>
      </c>
      <c r="C34" s="155">
        <v>20.529</v>
      </c>
      <c r="D34" s="155">
        <v>20.529</v>
      </c>
    </row>
    <row r="35" spans="2:4" ht="18.75" x14ac:dyDescent="0.25">
      <c r="B35" s="41">
        <v>14</v>
      </c>
      <c r="C35" s="155">
        <v>20.574999999999999</v>
      </c>
      <c r="D35" s="155">
        <v>20.574999999999999</v>
      </c>
    </row>
    <row r="36" spans="2:4" ht="18.75" x14ac:dyDescent="0.25">
      <c r="B36" s="41">
        <v>15</v>
      </c>
      <c r="C36" s="155">
        <v>20.596</v>
      </c>
      <c r="D36" s="155">
        <v>20.596</v>
      </c>
    </row>
    <row r="37" spans="2:4" ht="18.75" x14ac:dyDescent="0.25">
      <c r="B37" s="41">
        <v>16</v>
      </c>
      <c r="C37" s="155">
        <v>20.131</v>
      </c>
      <c r="D37" s="155">
        <v>20.131</v>
      </c>
    </row>
    <row r="38" spans="2:4" ht="18.75" x14ac:dyDescent="0.25">
      <c r="B38" s="41">
        <v>17</v>
      </c>
      <c r="C38" s="155">
        <v>21.045999999999999</v>
      </c>
      <c r="D38" s="155">
        <v>21.045999999999999</v>
      </c>
    </row>
    <row r="39" spans="2:4" ht="18.75" x14ac:dyDescent="0.25">
      <c r="B39" s="41">
        <v>18</v>
      </c>
      <c r="C39" s="155">
        <v>21.382999999999999</v>
      </c>
      <c r="D39" s="155">
        <v>21.382999999999999</v>
      </c>
    </row>
    <row r="40" spans="2:4" ht="18.75" x14ac:dyDescent="0.25">
      <c r="B40" s="41">
        <v>19</v>
      </c>
      <c r="C40" s="155">
        <v>21.253</v>
      </c>
      <c r="D40" s="155">
        <v>21.253</v>
      </c>
    </row>
    <row r="41" spans="2:4" ht="18.75" x14ac:dyDescent="0.25">
      <c r="B41" s="41">
        <v>20</v>
      </c>
      <c r="C41" s="155">
        <v>21.417999999999999</v>
      </c>
      <c r="D41" s="155">
        <v>21.417999999999999</v>
      </c>
    </row>
    <row r="42" spans="2:4" ht="18.75" x14ac:dyDescent="0.25">
      <c r="B42" s="41">
        <v>21</v>
      </c>
      <c r="C42" s="155">
        <v>21.248000000000001</v>
      </c>
      <c r="D42" s="155">
        <v>21.248000000000001</v>
      </c>
    </row>
    <row r="43" spans="2:4" ht="18.75" x14ac:dyDescent="0.25">
      <c r="B43" s="41">
        <v>22</v>
      </c>
      <c r="C43" s="155">
        <v>21.314</v>
      </c>
      <c r="D43" s="155">
        <v>21.314</v>
      </c>
    </row>
    <row r="44" spans="2:4" ht="18.75" x14ac:dyDescent="0.25">
      <c r="B44" s="41">
        <v>23</v>
      </c>
      <c r="C44" s="155">
        <v>21.253</v>
      </c>
      <c r="D44" s="155">
        <v>21.253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21.504956521739128</v>
      </c>
      <c r="D46" s="160"/>
    </row>
    <row r="47" spans="2:4" ht="31.5" x14ac:dyDescent="0.25">
      <c r="B47" s="44" t="s">
        <v>48</v>
      </c>
      <c r="C47" s="43">
        <f>_xlfn.STDEV.S(C21:C45)</f>
        <v>0.78966991820009547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'FOM303-32-Imprimir'!C18</f>
        <v>46030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'FOM303-32-Imprimir'!E18</f>
        <v>46030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21.600999999999999</v>
      </c>
      <c r="D21" s="155">
        <v>21.600999999999999</v>
      </c>
    </row>
    <row r="22" spans="2:7" ht="18.75" x14ac:dyDescent="0.25">
      <c r="B22" s="41">
        <v>1</v>
      </c>
      <c r="C22" s="155">
        <v>21.605</v>
      </c>
      <c r="D22" s="155">
        <v>21.605</v>
      </c>
    </row>
    <row r="23" spans="2:7" ht="18.75" x14ac:dyDescent="0.25">
      <c r="B23" s="41">
        <v>2</v>
      </c>
      <c r="C23" s="155">
        <v>21.5</v>
      </c>
      <c r="D23" s="155">
        <v>21.5</v>
      </c>
    </row>
    <row r="24" spans="2:7" ht="18.75" x14ac:dyDescent="0.25">
      <c r="B24" s="41">
        <v>3</v>
      </c>
      <c r="C24" s="155">
        <v>21.678999999999998</v>
      </c>
      <c r="D24" s="155">
        <v>21.678999999999998</v>
      </c>
    </row>
    <row r="25" spans="2:7" ht="18.75" x14ac:dyDescent="0.25">
      <c r="B25" s="41">
        <v>4</v>
      </c>
      <c r="C25" s="155">
        <v>21.725000000000001</v>
      </c>
      <c r="D25" s="155">
        <v>21.725000000000001</v>
      </c>
    </row>
    <row r="26" spans="2:7" ht="18.75" x14ac:dyDescent="0.25">
      <c r="B26" s="41">
        <v>5</v>
      </c>
      <c r="C26" s="155">
        <v>21.759</v>
      </c>
      <c r="D26" s="155">
        <v>21.759</v>
      </c>
    </row>
    <row r="27" spans="2:7" ht="18.75" x14ac:dyDescent="0.25">
      <c r="B27" s="41">
        <v>6</v>
      </c>
      <c r="C27" s="155">
        <v>21.599</v>
      </c>
      <c r="D27" s="155">
        <v>21.599</v>
      </c>
    </row>
    <row r="28" spans="2:7" ht="18.75" x14ac:dyDescent="0.25">
      <c r="B28" s="41">
        <v>7</v>
      </c>
      <c r="C28" s="155">
        <v>21.355</v>
      </c>
      <c r="D28" s="155">
        <v>21.355</v>
      </c>
    </row>
    <row r="29" spans="2:7" ht="18.75" x14ac:dyDescent="0.25">
      <c r="B29" s="41">
        <v>8</v>
      </c>
      <c r="C29" s="155">
        <v>20.724</v>
      </c>
      <c r="D29" s="155">
        <v>20.724</v>
      </c>
    </row>
    <row r="30" spans="2:7" ht="18.75" x14ac:dyDescent="0.25">
      <c r="B30" s="41">
        <v>9</v>
      </c>
      <c r="C30" s="155">
        <v>21.137</v>
      </c>
      <c r="D30" s="155">
        <v>21.137</v>
      </c>
    </row>
    <row r="31" spans="2:7" ht="18.75" x14ac:dyDescent="0.25">
      <c r="B31" s="41">
        <v>10</v>
      </c>
      <c r="C31" s="155">
        <v>20.47</v>
      </c>
      <c r="D31" s="155">
        <v>20.47</v>
      </c>
    </row>
    <row r="32" spans="2:7" ht="18.75" x14ac:dyDescent="0.25">
      <c r="B32" s="41">
        <v>11</v>
      </c>
      <c r="C32" s="155">
        <v>19.774999999999999</v>
      </c>
      <c r="D32" s="155">
        <v>19.774999999999999</v>
      </c>
    </row>
    <row r="33" spans="2:4" ht="18.75" x14ac:dyDescent="0.25">
      <c r="B33" s="41">
        <v>12</v>
      </c>
      <c r="C33" s="155">
        <v>20.262</v>
      </c>
      <c r="D33" s="155">
        <v>20.262</v>
      </c>
    </row>
    <row r="34" spans="2:4" ht="18.75" x14ac:dyDescent="0.25">
      <c r="B34" s="41">
        <v>13</v>
      </c>
      <c r="C34" s="155">
        <v>19.765999999999998</v>
      </c>
      <c r="D34" s="155">
        <v>19.765999999999998</v>
      </c>
    </row>
    <row r="35" spans="2:4" ht="18.75" x14ac:dyDescent="0.25">
      <c r="B35" s="41">
        <v>14</v>
      </c>
      <c r="C35" s="155">
        <v>20.044</v>
      </c>
      <c r="D35" s="155">
        <v>20.044</v>
      </c>
    </row>
    <row r="36" spans="2:4" ht="18.75" x14ac:dyDescent="0.25">
      <c r="B36" s="41">
        <v>15</v>
      </c>
      <c r="C36" s="155">
        <v>19.666</v>
      </c>
      <c r="D36" s="155">
        <v>19.666</v>
      </c>
    </row>
    <row r="37" spans="2:4" ht="18.75" x14ac:dyDescent="0.25">
      <c r="B37" s="41">
        <v>16</v>
      </c>
      <c r="C37" s="155">
        <v>20.222000000000001</v>
      </c>
      <c r="D37" s="155">
        <v>20.222000000000001</v>
      </c>
    </row>
    <row r="38" spans="2:4" ht="18.75" x14ac:dyDescent="0.25">
      <c r="B38" s="41">
        <v>17</v>
      </c>
      <c r="C38" s="155">
        <v>20.398</v>
      </c>
      <c r="D38" s="155">
        <v>20.398</v>
      </c>
    </row>
    <row r="39" spans="2:4" ht="18.75" x14ac:dyDescent="0.25">
      <c r="B39" s="41">
        <v>18</v>
      </c>
      <c r="C39" s="155">
        <v>21.484999999999999</v>
      </c>
      <c r="D39" s="155">
        <v>21.484999999999999</v>
      </c>
    </row>
    <row r="40" spans="2:4" ht="18.75" x14ac:dyDescent="0.25">
      <c r="B40" s="41">
        <v>19</v>
      </c>
      <c r="C40" s="155">
        <v>21.635000000000002</v>
      </c>
      <c r="D40" s="155">
        <v>21.635000000000002</v>
      </c>
    </row>
    <row r="41" spans="2:4" ht="18.75" x14ac:dyDescent="0.25">
      <c r="B41" s="41">
        <v>20</v>
      </c>
      <c r="C41" s="155">
        <v>21.687000000000001</v>
      </c>
      <c r="D41" s="155">
        <v>21.687000000000001</v>
      </c>
    </row>
    <row r="42" spans="2:4" ht="18.75" x14ac:dyDescent="0.25">
      <c r="B42" s="41">
        <v>21</v>
      </c>
      <c r="C42" s="155">
        <v>21.809000000000001</v>
      </c>
      <c r="D42" s="155">
        <v>21.809000000000001</v>
      </c>
    </row>
    <row r="43" spans="2:4" ht="18.75" x14ac:dyDescent="0.25">
      <c r="B43" s="41">
        <v>22</v>
      </c>
      <c r="C43" s="155">
        <v>22.242000000000001</v>
      </c>
      <c r="D43" s="155">
        <v>22.242000000000001</v>
      </c>
    </row>
    <row r="44" spans="2:4" ht="18.75" x14ac:dyDescent="0.25">
      <c r="B44" s="41">
        <v>23</v>
      </c>
      <c r="C44" s="155">
        <v>22.309000000000001</v>
      </c>
      <c r="D44" s="155">
        <v>22.309000000000001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21.080565217391307</v>
      </c>
      <c r="D46" s="160"/>
    </row>
    <row r="47" spans="2:4" ht="31.5" x14ac:dyDescent="0.25">
      <c r="B47" s="44" t="s">
        <v>48</v>
      </c>
      <c r="C47" s="43">
        <f>_xlfn.STDEV.S(C21:C45)</f>
        <v>0.81826626101351874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'FOM303-32-Imprimir'!C19</f>
        <v>46031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'FOM303-32-Imprimir'!E19</f>
        <v>46031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22.510999999999999</v>
      </c>
      <c r="D21" s="155">
        <v>22.510999999999999</v>
      </c>
    </row>
    <row r="22" spans="2:7" ht="18.75" x14ac:dyDescent="0.25">
      <c r="B22" s="41">
        <v>1</v>
      </c>
      <c r="C22" s="155">
        <v>21.893999999999998</v>
      </c>
      <c r="D22" s="155">
        <v>21.893999999999998</v>
      </c>
    </row>
    <row r="23" spans="2:7" ht="18.75" x14ac:dyDescent="0.25">
      <c r="B23" s="41">
        <v>2</v>
      </c>
      <c r="C23" s="155">
        <v>21.651</v>
      </c>
      <c r="D23" s="155">
        <v>21.651</v>
      </c>
    </row>
    <row r="24" spans="2:7" ht="18.75" x14ac:dyDescent="0.25">
      <c r="B24" s="41">
        <v>3</v>
      </c>
      <c r="C24" s="155">
        <v>21.582999999999998</v>
      </c>
      <c r="D24" s="155">
        <v>21.582999999999998</v>
      </c>
    </row>
    <row r="25" spans="2:7" ht="18.75" x14ac:dyDescent="0.25">
      <c r="B25" s="41">
        <v>4</v>
      </c>
      <c r="C25" s="155">
        <v>21.515999999999998</v>
      </c>
      <c r="D25" s="155">
        <v>21.515999999999998</v>
      </c>
    </row>
    <row r="26" spans="2:7" ht="18.75" x14ac:dyDescent="0.25">
      <c r="B26" s="41">
        <v>5</v>
      </c>
      <c r="C26" s="155">
        <v>21.824999999999999</v>
      </c>
      <c r="D26" s="155">
        <v>21.824999999999999</v>
      </c>
    </row>
    <row r="27" spans="2:7" ht="18.75" x14ac:dyDescent="0.25">
      <c r="B27" s="41">
        <v>6</v>
      </c>
      <c r="C27" s="155">
        <v>22.044</v>
      </c>
      <c r="D27" s="155">
        <v>22.044</v>
      </c>
    </row>
    <row r="28" spans="2:7" ht="18.75" x14ac:dyDescent="0.25">
      <c r="B28" s="41">
        <v>7</v>
      </c>
      <c r="C28" s="155">
        <v>21.888000000000002</v>
      </c>
      <c r="D28" s="155">
        <v>21.888000000000002</v>
      </c>
    </row>
    <row r="29" spans="2:7" ht="18.75" x14ac:dyDescent="0.25">
      <c r="B29" s="41">
        <v>8</v>
      </c>
      <c r="C29" s="155">
        <v>20.759</v>
      </c>
      <c r="D29" s="155">
        <v>20.759</v>
      </c>
    </row>
    <row r="30" spans="2:7" ht="18.75" x14ac:dyDescent="0.25">
      <c r="B30" s="41">
        <v>9</v>
      </c>
      <c r="C30" s="155">
        <v>21.172000000000001</v>
      </c>
      <c r="D30" s="155">
        <v>21.172000000000001</v>
      </c>
    </row>
    <row r="31" spans="2:7" ht="18.75" x14ac:dyDescent="0.25">
      <c r="B31" s="41">
        <v>10</v>
      </c>
      <c r="C31" s="155">
        <v>22.443999999999999</v>
      </c>
      <c r="D31" s="155">
        <v>22.443999999999999</v>
      </c>
    </row>
    <row r="32" spans="2:7" ht="18.75" x14ac:dyDescent="0.25">
      <c r="B32" s="41">
        <v>11</v>
      </c>
      <c r="C32" s="155">
        <v>21.646000000000001</v>
      </c>
      <c r="D32" s="155">
        <v>21.646000000000001</v>
      </c>
    </row>
    <row r="33" spans="2:4" ht="18.75" x14ac:dyDescent="0.25">
      <c r="B33" s="41">
        <v>12</v>
      </c>
      <c r="C33" s="155">
        <v>21.100999999999999</v>
      </c>
      <c r="D33" s="155">
        <v>21.100999999999999</v>
      </c>
    </row>
    <row r="34" spans="2:4" ht="18.75" x14ac:dyDescent="0.25">
      <c r="B34" s="41">
        <v>13</v>
      </c>
      <c r="C34" s="155">
        <v>22.213999999999999</v>
      </c>
      <c r="D34" s="155">
        <v>22.213999999999999</v>
      </c>
    </row>
    <row r="35" spans="2:4" ht="18.75" x14ac:dyDescent="0.25">
      <c r="B35" s="41">
        <v>14</v>
      </c>
      <c r="C35" s="155">
        <v>23.585000000000001</v>
      </c>
      <c r="D35" s="155">
        <v>23.585000000000001</v>
      </c>
    </row>
    <row r="36" spans="2:4" ht="18.75" x14ac:dyDescent="0.25">
      <c r="B36" s="41">
        <v>15</v>
      </c>
      <c r="C36" s="155">
        <v>22.67</v>
      </c>
      <c r="D36" s="155">
        <v>22.67</v>
      </c>
    </row>
    <row r="37" spans="2:4" ht="18.75" x14ac:dyDescent="0.25">
      <c r="B37" s="41">
        <v>16</v>
      </c>
      <c r="C37" s="155">
        <v>20.512</v>
      </c>
      <c r="D37" s="155">
        <v>20.512</v>
      </c>
    </row>
    <row r="38" spans="2:4" ht="18.75" x14ac:dyDescent="0.25">
      <c r="B38" s="41">
        <v>17</v>
      </c>
      <c r="C38" s="155">
        <v>21.433</v>
      </c>
      <c r="D38" s="155">
        <v>21.433</v>
      </c>
    </row>
    <row r="39" spans="2:4" ht="18.75" x14ac:dyDescent="0.25">
      <c r="B39" s="41">
        <v>18</v>
      </c>
      <c r="C39" s="155">
        <v>21.201000000000001</v>
      </c>
      <c r="D39" s="155">
        <v>21.201000000000001</v>
      </c>
    </row>
    <row r="40" spans="2:4" ht="18.75" x14ac:dyDescent="0.25">
      <c r="B40" s="41">
        <v>19</v>
      </c>
      <c r="C40" s="155">
        <v>21.338000000000001</v>
      </c>
      <c r="D40" s="155">
        <v>21.338000000000001</v>
      </c>
    </row>
    <row r="41" spans="2:4" ht="18.75" x14ac:dyDescent="0.25">
      <c r="B41" s="41">
        <v>20</v>
      </c>
      <c r="C41" s="155">
        <v>21.126999999999999</v>
      </c>
      <c r="D41" s="155">
        <v>21.126999999999999</v>
      </c>
    </row>
    <row r="42" spans="2:4" ht="18.75" x14ac:dyDescent="0.25">
      <c r="B42" s="41">
        <v>21</v>
      </c>
      <c r="C42" s="155">
        <v>21.329000000000001</v>
      </c>
      <c r="D42" s="155">
        <v>21.329000000000001</v>
      </c>
    </row>
    <row r="43" spans="2:4" ht="18.75" x14ac:dyDescent="0.25">
      <c r="B43" s="41">
        <v>22</v>
      </c>
      <c r="C43" s="155">
        <v>21.338000000000001</v>
      </c>
      <c r="D43" s="155">
        <v>21.338000000000001</v>
      </c>
    </row>
    <row r="44" spans="2:4" ht="18.75" x14ac:dyDescent="0.25">
      <c r="B44" s="41">
        <v>23</v>
      </c>
      <c r="C44" s="155">
        <v>21.75</v>
      </c>
      <c r="D44" s="155">
        <v>21.75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21.653043478260873</v>
      </c>
      <c r="D46" s="160"/>
    </row>
    <row r="47" spans="2:4" ht="31.5" x14ac:dyDescent="0.25">
      <c r="B47" s="44" t="s">
        <v>48</v>
      </c>
      <c r="C47" s="43">
        <f>_xlfn.STDEV.S(C21:C45)</f>
        <v>0.66632098148138696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'FOM303-32-Imprimir'!C20</f>
        <v>46032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'FOM303-32-Imprimir'!E20</f>
        <v>46032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21.713999999999999</v>
      </c>
      <c r="D21" s="155">
        <v>21.713999999999999</v>
      </c>
    </row>
    <row r="22" spans="2:7" ht="18.75" x14ac:dyDescent="0.25">
      <c r="B22" s="41">
        <v>1</v>
      </c>
      <c r="C22" s="155">
        <v>22.013999999999999</v>
      </c>
      <c r="D22" s="155">
        <v>22.013999999999999</v>
      </c>
    </row>
    <row r="23" spans="2:7" ht="18.75" x14ac:dyDescent="0.25">
      <c r="B23" s="41">
        <v>2</v>
      </c>
      <c r="C23" s="155">
        <v>22.042000000000002</v>
      </c>
      <c r="D23" s="155">
        <v>22.042000000000002</v>
      </c>
    </row>
    <row r="24" spans="2:7" ht="18.75" x14ac:dyDescent="0.25">
      <c r="B24" s="41">
        <v>3</v>
      </c>
      <c r="C24" s="155">
        <v>21.911999999999999</v>
      </c>
      <c r="D24" s="155">
        <v>21.911999999999999</v>
      </c>
    </row>
    <row r="25" spans="2:7" ht="18.75" x14ac:dyDescent="0.25">
      <c r="B25" s="41">
        <v>4</v>
      </c>
      <c r="C25" s="155">
        <v>21.859000000000002</v>
      </c>
      <c r="D25" s="155">
        <v>21.859000000000002</v>
      </c>
    </row>
    <row r="26" spans="2:7" ht="18.75" x14ac:dyDescent="0.25">
      <c r="B26" s="41">
        <v>5</v>
      </c>
      <c r="C26" s="155">
        <v>21.754999999999999</v>
      </c>
      <c r="D26" s="155">
        <v>21.754999999999999</v>
      </c>
    </row>
    <row r="27" spans="2:7" ht="18.75" x14ac:dyDescent="0.25">
      <c r="B27" s="41">
        <v>6</v>
      </c>
      <c r="C27" s="155">
        <v>21.92</v>
      </c>
      <c r="D27" s="155">
        <v>21.92</v>
      </c>
    </row>
    <row r="28" spans="2:7" ht="18.75" x14ac:dyDescent="0.25">
      <c r="B28" s="41">
        <v>7</v>
      </c>
      <c r="C28" s="155">
        <v>21.574000000000002</v>
      </c>
      <c r="D28" s="155">
        <v>21.574000000000002</v>
      </c>
    </row>
    <row r="29" spans="2:7" ht="18.75" x14ac:dyDescent="0.25">
      <c r="B29" s="41">
        <v>8</v>
      </c>
      <c r="C29" s="155">
        <v>19.792000000000002</v>
      </c>
      <c r="D29" s="155">
        <v>19.792000000000002</v>
      </c>
    </row>
    <row r="30" spans="2:7" ht="18.75" x14ac:dyDescent="0.25">
      <c r="B30" s="41">
        <v>9</v>
      </c>
      <c r="C30" s="155">
        <v>20.306999999999999</v>
      </c>
      <c r="D30" s="155">
        <v>20.306999999999999</v>
      </c>
    </row>
    <row r="31" spans="2:7" ht="18.75" x14ac:dyDescent="0.25">
      <c r="B31" s="41">
        <v>10</v>
      </c>
      <c r="C31" s="155">
        <v>20.303000000000001</v>
      </c>
      <c r="D31" s="155">
        <v>20.303000000000001</v>
      </c>
    </row>
    <row r="32" spans="2:7" ht="18.75" x14ac:dyDescent="0.25">
      <c r="B32" s="41">
        <v>11</v>
      </c>
      <c r="C32" s="155">
        <v>19.998000000000001</v>
      </c>
      <c r="D32" s="155">
        <v>19.998000000000001</v>
      </c>
    </row>
    <row r="33" spans="2:4" ht="18.75" x14ac:dyDescent="0.25">
      <c r="B33" s="41">
        <v>12</v>
      </c>
      <c r="C33" s="155">
        <v>21.231000000000002</v>
      </c>
      <c r="D33" s="155">
        <v>21.231000000000002</v>
      </c>
    </row>
    <row r="34" spans="2:4" ht="18.75" x14ac:dyDescent="0.25">
      <c r="B34" s="41">
        <v>13</v>
      </c>
      <c r="C34" s="155">
        <v>21.512</v>
      </c>
      <c r="D34" s="155">
        <v>21.512</v>
      </c>
    </row>
    <row r="35" spans="2:4" ht="18.75" x14ac:dyDescent="0.25">
      <c r="B35" s="41">
        <v>14</v>
      </c>
      <c r="C35" s="155">
        <v>20.846</v>
      </c>
      <c r="D35" s="155">
        <v>20.846</v>
      </c>
    </row>
    <row r="36" spans="2:4" ht="18.75" x14ac:dyDescent="0.25">
      <c r="B36" s="41">
        <v>15</v>
      </c>
      <c r="C36" s="155">
        <v>20.411000000000001</v>
      </c>
      <c r="D36" s="155">
        <v>20.411000000000001</v>
      </c>
    </row>
    <row r="37" spans="2:4" ht="18.75" x14ac:dyDescent="0.25">
      <c r="B37" s="41">
        <v>16</v>
      </c>
      <c r="C37" s="155">
        <v>20.074999999999999</v>
      </c>
      <c r="D37" s="155">
        <v>20.074999999999999</v>
      </c>
    </row>
    <row r="38" spans="2:4" ht="18.75" x14ac:dyDescent="0.25">
      <c r="B38" s="41">
        <v>17</v>
      </c>
      <c r="C38" s="155">
        <v>20.763999999999999</v>
      </c>
      <c r="D38" s="155">
        <v>20.763999999999999</v>
      </c>
    </row>
    <row r="39" spans="2:4" ht="18.75" x14ac:dyDescent="0.25">
      <c r="B39" s="41">
        <v>18</v>
      </c>
      <c r="C39" s="155">
        <v>21.347999999999999</v>
      </c>
      <c r="D39" s="155">
        <v>21.347999999999999</v>
      </c>
    </row>
    <row r="40" spans="2:4" ht="18.75" x14ac:dyDescent="0.25">
      <c r="B40" s="41">
        <v>19</v>
      </c>
      <c r="C40" s="155">
        <v>21.216000000000001</v>
      </c>
      <c r="D40" s="155">
        <v>21.216000000000001</v>
      </c>
    </row>
    <row r="41" spans="2:4" ht="18.75" x14ac:dyDescent="0.25">
      <c r="B41" s="41">
        <v>20</v>
      </c>
      <c r="C41" s="155">
        <v>21.22</v>
      </c>
      <c r="D41" s="155">
        <v>21.22</v>
      </c>
    </row>
    <row r="42" spans="2:4" ht="18.75" x14ac:dyDescent="0.25">
      <c r="B42" s="41">
        <v>21</v>
      </c>
      <c r="C42" s="155">
        <v>21.111999999999998</v>
      </c>
      <c r="D42" s="155">
        <v>21.111999999999998</v>
      </c>
    </row>
    <row r="43" spans="2:4" ht="18.75" x14ac:dyDescent="0.25">
      <c r="B43" s="41">
        <v>22</v>
      </c>
      <c r="C43" s="155">
        <v>21.376999999999999</v>
      </c>
      <c r="D43" s="155">
        <v>21.376999999999999</v>
      </c>
    </row>
    <row r="44" spans="2:4" ht="18.75" x14ac:dyDescent="0.25">
      <c r="B44" s="41">
        <v>23</v>
      </c>
      <c r="C44" s="155">
        <v>21.306999999999999</v>
      </c>
      <c r="D44" s="155">
        <v>21.306999999999999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21.125869565217396</v>
      </c>
      <c r="D46" s="160"/>
    </row>
    <row r="47" spans="2:4" ht="31.5" x14ac:dyDescent="0.25">
      <c r="B47" s="44" t="s">
        <v>48</v>
      </c>
      <c r="C47" s="43">
        <f>_xlfn.STDEV.S(C21:C45)</f>
        <v>0.68804858350327947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'FOM303-32-Imprimir'!C21</f>
        <v>46033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'FOM303-32-Imprimir'!E21</f>
        <v>46033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63">
        <v>21.475000000000001</v>
      </c>
      <c r="D21" s="164">
        <v>21.475000000000001</v>
      </c>
    </row>
    <row r="22" spans="2:7" ht="18.75" x14ac:dyDescent="0.25">
      <c r="B22" s="41">
        <v>1</v>
      </c>
      <c r="C22" s="163">
        <v>21.667999999999999</v>
      </c>
      <c r="D22" s="164">
        <v>21.667999999999999</v>
      </c>
    </row>
    <row r="23" spans="2:7" ht="18.75" x14ac:dyDescent="0.25">
      <c r="B23" s="41">
        <v>2</v>
      </c>
      <c r="C23" s="163">
        <v>21.524999999999999</v>
      </c>
      <c r="D23" s="164">
        <v>21.524999999999999</v>
      </c>
    </row>
    <row r="24" spans="2:7" ht="18.75" x14ac:dyDescent="0.25">
      <c r="B24" s="41">
        <v>3</v>
      </c>
      <c r="C24" s="163">
        <v>21.85</v>
      </c>
      <c r="D24" s="164">
        <v>21.85</v>
      </c>
    </row>
    <row r="25" spans="2:7" ht="18.75" x14ac:dyDescent="0.25">
      <c r="B25" s="41">
        <v>4</v>
      </c>
      <c r="C25" s="163">
        <v>21.616</v>
      </c>
      <c r="D25" s="164">
        <v>21.616</v>
      </c>
    </row>
    <row r="26" spans="2:7" ht="18.75" x14ac:dyDescent="0.25">
      <c r="B26" s="41">
        <v>5</v>
      </c>
      <c r="C26" s="163">
        <v>21.611000000000001</v>
      </c>
      <c r="D26" s="164">
        <v>21.611000000000001</v>
      </c>
    </row>
    <row r="27" spans="2:7" ht="18.75" x14ac:dyDescent="0.25">
      <c r="B27" s="41">
        <v>6</v>
      </c>
      <c r="C27" s="163">
        <v>21.733000000000001</v>
      </c>
      <c r="D27" s="164">
        <v>21.733000000000001</v>
      </c>
    </row>
    <row r="28" spans="2:7" ht="18.75" x14ac:dyDescent="0.25">
      <c r="B28" s="41">
        <v>7</v>
      </c>
      <c r="C28" s="163">
        <v>20.951000000000001</v>
      </c>
      <c r="D28" s="164">
        <v>20.951000000000001</v>
      </c>
    </row>
    <row r="29" spans="2:7" ht="18.75" x14ac:dyDescent="0.25">
      <c r="B29" s="41">
        <v>8</v>
      </c>
      <c r="C29" s="163">
        <v>20.785</v>
      </c>
      <c r="D29" s="164">
        <v>20.785</v>
      </c>
    </row>
    <row r="30" spans="2:7" ht="18.75" x14ac:dyDescent="0.25">
      <c r="B30" s="41">
        <v>9</v>
      </c>
      <c r="C30" s="163">
        <v>20.385000000000002</v>
      </c>
      <c r="D30" s="164">
        <v>20.385000000000002</v>
      </c>
    </row>
    <row r="31" spans="2:7" ht="18.75" x14ac:dyDescent="0.25">
      <c r="B31" s="41">
        <v>10</v>
      </c>
      <c r="C31" s="163">
        <v>22.838000000000001</v>
      </c>
      <c r="D31" s="164">
        <v>22.838000000000001</v>
      </c>
    </row>
    <row r="32" spans="2:7" ht="18.75" x14ac:dyDescent="0.25">
      <c r="B32" s="41">
        <v>11</v>
      </c>
      <c r="C32" s="163">
        <v>22.204999999999998</v>
      </c>
      <c r="D32" s="164">
        <v>22.204999999999998</v>
      </c>
    </row>
    <row r="33" spans="2:4" ht="18.75" x14ac:dyDescent="0.25">
      <c r="B33" s="41">
        <v>12</v>
      </c>
      <c r="C33" s="163">
        <v>20.297999999999998</v>
      </c>
      <c r="D33" s="164">
        <v>20.297999999999998</v>
      </c>
    </row>
    <row r="34" spans="2:4" ht="18.75" x14ac:dyDescent="0.25">
      <c r="B34" s="41">
        <v>13</v>
      </c>
      <c r="C34" s="163">
        <v>20.984999999999999</v>
      </c>
      <c r="D34" s="164">
        <v>20.984999999999999</v>
      </c>
    </row>
    <row r="35" spans="2:4" ht="18.75" x14ac:dyDescent="0.25">
      <c r="B35" s="41">
        <v>14</v>
      </c>
      <c r="C35" s="163">
        <v>20.216000000000001</v>
      </c>
      <c r="D35" s="164">
        <v>20.216000000000001</v>
      </c>
    </row>
    <row r="36" spans="2:4" ht="18.75" x14ac:dyDescent="0.25">
      <c r="B36" s="41">
        <v>15</v>
      </c>
      <c r="C36" s="163">
        <v>20.805</v>
      </c>
      <c r="D36" s="164">
        <v>20.805</v>
      </c>
    </row>
    <row r="37" spans="2:4" ht="18.75" x14ac:dyDescent="0.25">
      <c r="B37" s="41">
        <v>16</v>
      </c>
      <c r="C37" s="163">
        <v>20.611000000000001</v>
      </c>
      <c r="D37" s="164">
        <v>20.611000000000001</v>
      </c>
    </row>
    <row r="38" spans="2:4" ht="18.75" x14ac:dyDescent="0.25">
      <c r="B38" s="41">
        <v>17</v>
      </c>
      <c r="C38" s="163">
        <v>21.081</v>
      </c>
      <c r="D38" s="164">
        <v>21.081</v>
      </c>
    </row>
    <row r="39" spans="2:4" ht="18.75" x14ac:dyDescent="0.25">
      <c r="B39" s="41">
        <v>18</v>
      </c>
      <c r="C39" s="163">
        <v>21.181000000000001</v>
      </c>
      <c r="D39" s="164">
        <v>21.181000000000001</v>
      </c>
    </row>
    <row r="40" spans="2:4" ht="18.75" x14ac:dyDescent="0.25">
      <c r="B40" s="41">
        <v>19</v>
      </c>
      <c r="C40" s="163">
        <v>21.408999999999999</v>
      </c>
      <c r="D40" s="164">
        <v>21.408999999999999</v>
      </c>
    </row>
    <row r="41" spans="2:4" ht="18.75" x14ac:dyDescent="0.25">
      <c r="B41" s="41">
        <v>20</v>
      </c>
      <c r="C41" s="163">
        <v>21.047999999999998</v>
      </c>
      <c r="D41" s="164">
        <v>21.047999999999998</v>
      </c>
    </row>
    <row r="42" spans="2:4" ht="18.75" x14ac:dyDescent="0.25">
      <c r="B42" s="41">
        <v>21</v>
      </c>
      <c r="C42" s="163">
        <v>21.218</v>
      </c>
      <c r="D42" s="164">
        <v>21.218</v>
      </c>
    </row>
    <row r="43" spans="2:4" ht="18.75" x14ac:dyDescent="0.25">
      <c r="B43" s="41">
        <v>22</v>
      </c>
      <c r="C43" s="163">
        <v>21.391999999999999</v>
      </c>
      <c r="D43" s="164">
        <v>21.391999999999999</v>
      </c>
    </row>
    <row r="44" spans="2:4" ht="18.75" x14ac:dyDescent="0.25">
      <c r="B44" s="41">
        <v>23</v>
      </c>
      <c r="C44" s="163">
        <v>21.437000000000001</v>
      </c>
      <c r="D44" s="164">
        <v>21.437000000000001</v>
      </c>
    </row>
    <row r="45" spans="2:4" ht="18.75" x14ac:dyDescent="0.25">
      <c r="B45" s="41">
        <v>24</v>
      </c>
      <c r="C45" s="163"/>
      <c r="D45" s="164"/>
    </row>
    <row r="46" spans="2:4" ht="33.75" customHeight="1" x14ac:dyDescent="0.25">
      <c r="B46" s="42" t="s">
        <v>47</v>
      </c>
      <c r="C46" s="160">
        <f>AVERAGE(C22:C45)</f>
        <v>21.254260869565218</v>
      </c>
      <c r="D46" s="160"/>
    </row>
    <row r="47" spans="2:4" ht="31.5" x14ac:dyDescent="0.25">
      <c r="B47" s="44" t="s">
        <v>48</v>
      </c>
      <c r="C47" s="43">
        <f>_xlfn.STDEV.S(C21:C45)</f>
        <v>0.60610689107268623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'FOM303-32-Imprimir'!C22</f>
        <v>46034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'FOM303-32-Imprimir'!E22</f>
        <v>46034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ht="12.95" customHeight="1" x14ac:dyDescent="0.25">
      <c r="B17" s="159" t="s">
        <v>45</v>
      </c>
      <c r="C17" s="159" t="s">
        <v>46</v>
      </c>
      <c r="D17" s="159"/>
      <c r="E17" s="25"/>
      <c r="G17" s="25"/>
    </row>
    <row r="18" spans="2:7" ht="12.95" customHeight="1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21.571999999999999</v>
      </c>
      <c r="D21" s="155">
        <v>21.571999999999999</v>
      </c>
    </row>
    <row r="22" spans="2:7" ht="18.75" x14ac:dyDescent="0.25">
      <c r="B22" s="41">
        <v>1</v>
      </c>
      <c r="C22" s="155">
        <v>21.707000000000001</v>
      </c>
      <c r="D22" s="155">
        <v>21.707000000000001</v>
      </c>
    </row>
    <row r="23" spans="2:7" ht="18.75" x14ac:dyDescent="0.25">
      <c r="B23" s="41">
        <v>2</v>
      </c>
      <c r="C23" s="155">
        <v>21.748999999999999</v>
      </c>
      <c r="D23" s="155">
        <v>21.748999999999999</v>
      </c>
    </row>
    <row r="24" spans="2:7" ht="18.75" x14ac:dyDescent="0.25">
      <c r="B24" s="41">
        <v>3</v>
      </c>
      <c r="C24" s="155">
        <v>21.54</v>
      </c>
      <c r="D24" s="155">
        <v>21.54</v>
      </c>
    </row>
    <row r="25" spans="2:7" ht="18.75" x14ac:dyDescent="0.25">
      <c r="B25" s="41">
        <v>4</v>
      </c>
      <c r="C25" s="155">
        <v>21.765999999999998</v>
      </c>
      <c r="D25" s="155">
        <v>21.765999999999998</v>
      </c>
    </row>
    <row r="26" spans="2:7" ht="18.75" x14ac:dyDescent="0.25">
      <c r="B26" s="41">
        <v>5</v>
      </c>
      <c r="C26" s="155">
        <v>21.812000000000001</v>
      </c>
      <c r="D26" s="155">
        <v>21.812000000000001</v>
      </c>
    </row>
    <row r="27" spans="2:7" ht="18.75" x14ac:dyDescent="0.25">
      <c r="B27" s="41">
        <v>6</v>
      </c>
      <c r="C27" s="155">
        <v>22.077000000000002</v>
      </c>
      <c r="D27" s="155">
        <v>22.077000000000002</v>
      </c>
    </row>
    <row r="28" spans="2:7" ht="18.75" x14ac:dyDescent="0.25">
      <c r="B28" s="41">
        <v>7</v>
      </c>
      <c r="C28" s="155">
        <v>21.643999999999998</v>
      </c>
      <c r="D28" s="155">
        <v>21.643999999999998</v>
      </c>
    </row>
    <row r="29" spans="2:7" ht="18.75" x14ac:dyDescent="0.25">
      <c r="B29" s="41">
        <v>8</v>
      </c>
      <c r="C29" s="155">
        <v>21.236999999999998</v>
      </c>
      <c r="D29" s="155">
        <v>21.236999999999998</v>
      </c>
    </row>
    <row r="30" spans="2:7" ht="18.75" x14ac:dyDescent="0.25">
      <c r="B30" s="41">
        <v>9</v>
      </c>
      <c r="C30" s="155">
        <v>20.452999999999999</v>
      </c>
      <c r="D30" s="155">
        <v>20.452999999999999</v>
      </c>
    </row>
    <row r="31" spans="2:7" ht="18.75" x14ac:dyDescent="0.25">
      <c r="B31" s="41">
        <v>10</v>
      </c>
      <c r="C31" s="155">
        <v>21.064</v>
      </c>
      <c r="D31" s="155">
        <v>21.064</v>
      </c>
    </row>
    <row r="32" spans="2:7" ht="18.75" x14ac:dyDescent="0.25">
      <c r="B32" s="41">
        <v>11</v>
      </c>
      <c r="C32" s="155">
        <v>20.792000000000002</v>
      </c>
      <c r="D32" s="155">
        <v>20.792000000000002</v>
      </c>
    </row>
    <row r="33" spans="2:4" ht="18.75" x14ac:dyDescent="0.25">
      <c r="B33" s="41">
        <v>12</v>
      </c>
      <c r="C33" s="155">
        <v>20.806999999999999</v>
      </c>
      <c r="D33" s="155">
        <v>20.806999999999999</v>
      </c>
    </row>
    <row r="34" spans="2:4" ht="18.75" x14ac:dyDescent="0.25">
      <c r="B34" s="41">
        <v>13</v>
      </c>
      <c r="C34" s="155">
        <v>20.692</v>
      </c>
      <c r="D34" s="155">
        <v>20.692</v>
      </c>
    </row>
    <row r="35" spans="2:4" ht="18.75" x14ac:dyDescent="0.25">
      <c r="B35" s="41">
        <v>14</v>
      </c>
      <c r="C35" s="155">
        <v>21.033000000000001</v>
      </c>
      <c r="D35" s="155">
        <v>21.033000000000001</v>
      </c>
    </row>
    <row r="36" spans="2:4" ht="18.75" x14ac:dyDescent="0.25">
      <c r="B36" s="41">
        <v>15</v>
      </c>
      <c r="C36" s="155">
        <v>20.192</v>
      </c>
      <c r="D36" s="155">
        <v>20.192</v>
      </c>
    </row>
    <row r="37" spans="2:4" ht="18.75" x14ac:dyDescent="0.25">
      <c r="B37" s="41">
        <v>16</v>
      </c>
      <c r="C37" s="155">
        <v>21.216000000000001</v>
      </c>
      <c r="D37" s="155">
        <v>21.216000000000001</v>
      </c>
    </row>
    <row r="38" spans="2:4" ht="18.75" x14ac:dyDescent="0.25">
      <c r="B38" s="41">
        <v>17</v>
      </c>
      <c r="C38" s="155">
        <v>20.661000000000001</v>
      </c>
      <c r="D38" s="155">
        <v>20.661000000000001</v>
      </c>
    </row>
    <row r="39" spans="2:4" ht="18.75" x14ac:dyDescent="0.25">
      <c r="B39" s="41">
        <v>18</v>
      </c>
      <c r="C39" s="155">
        <v>21.148</v>
      </c>
      <c r="D39" s="155">
        <v>21.148</v>
      </c>
    </row>
    <row r="40" spans="2:4" ht="18.75" x14ac:dyDescent="0.25">
      <c r="B40" s="41">
        <v>19</v>
      </c>
      <c r="C40" s="155">
        <v>21.387</v>
      </c>
      <c r="D40" s="155">
        <v>21.387</v>
      </c>
    </row>
    <row r="41" spans="2:4" ht="18.75" x14ac:dyDescent="0.25">
      <c r="B41" s="41">
        <v>20</v>
      </c>
      <c r="C41" s="155">
        <v>21.314</v>
      </c>
      <c r="D41" s="155">
        <v>21.314</v>
      </c>
    </row>
    <row r="42" spans="2:4" ht="18.75" x14ac:dyDescent="0.25">
      <c r="B42" s="41">
        <v>21</v>
      </c>
      <c r="C42" s="155">
        <v>21.295999999999999</v>
      </c>
      <c r="D42" s="155">
        <v>21.295999999999999</v>
      </c>
    </row>
    <row r="43" spans="2:4" ht="18.75" x14ac:dyDescent="0.25">
      <c r="B43" s="41">
        <v>22</v>
      </c>
      <c r="C43" s="155">
        <v>21.129000000000001</v>
      </c>
      <c r="D43" s="155">
        <v>21.129000000000001</v>
      </c>
    </row>
    <row r="44" spans="2:4" ht="18.75" x14ac:dyDescent="0.25">
      <c r="B44" s="41">
        <v>23</v>
      </c>
      <c r="C44" s="155">
        <v>21.116</v>
      </c>
      <c r="D44" s="155">
        <v>21.116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21.210086956521742</v>
      </c>
      <c r="D46" s="160"/>
    </row>
    <row r="47" spans="2:4" ht="31.5" x14ac:dyDescent="0.25">
      <c r="B47" s="44" t="s">
        <v>48</v>
      </c>
      <c r="C47" s="43">
        <f>_xlfn.STDEV.S(C21:C45)</f>
        <v>0.46727523466104653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'FOM303-32-Imprimir'!C23</f>
        <v>46035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'FOM303-32-Imprimir'!E23</f>
        <v>46035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21.248000000000001</v>
      </c>
      <c r="D21" s="155">
        <v>21.248000000000001</v>
      </c>
    </row>
    <row r="22" spans="2:7" ht="18.75" x14ac:dyDescent="0.25">
      <c r="B22" s="41">
        <v>1</v>
      </c>
      <c r="C22" s="155">
        <v>21.018000000000001</v>
      </c>
      <c r="D22" s="155">
        <v>21.018000000000001</v>
      </c>
    </row>
    <row r="23" spans="2:7" ht="18.75" x14ac:dyDescent="0.25">
      <c r="B23" s="41">
        <v>2</v>
      </c>
      <c r="C23" s="155">
        <v>21.207000000000001</v>
      </c>
      <c r="D23" s="155">
        <v>21.207000000000001</v>
      </c>
    </row>
    <row r="24" spans="2:7" ht="18.75" x14ac:dyDescent="0.25">
      <c r="B24" s="41">
        <v>3</v>
      </c>
      <c r="C24" s="155">
        <v>21.324000000000002</v>
      </c>
      <c r="D24" s="155">
        <v>21.324000000000002</v>
      </c>
    </row>
    <row r="25" spans="2:7" ht="18.75" x14ac:dyDescent="0.25">
      <c r="B25" s="41">
        <v>4</v>
      </c>
      <c r="C25" s="155">
        <v>21.571999999999999</v>
      </c>
      <c r="D25" s="155">
        <v>21.571999999999999</v>
      </c>
    </row>
    <row r="26" spans="2:7" ht="18.75" x14ac:dyDescent="0.25">
      <c r="B26" s="41">
        <v>5</v>
      </c>
      <c r="C26" s="155">
        <v>21.898</v>
      </c>
      <c r="D26" s="155">
        <v>21.898</v>
      </c>
    </row>
    <row r="27" spans="2:7" ht="18.75" x14ac:dyDescent="0.25">
      <c r="B27" s="41">
        <v>6</v>
      </c>
      <c r="C27" s="155">
        <v>22.161999999999999</v>
      </c>
      <c r="D27" s="155">
        <v>22.161999999999999</v>
      </c>
    </row>
    <row r="28" spans="2:7" ht="18.75" x14ac:dyDescent="0.25">
      <c r="B28" s="41">
        <v>7</v>
      </c>
      <c r="C28" s="155">
        <v>21.672000000000001</v>
      </c>
      <c r="D28" s="155">
        <v>21.672000000000001</v>
      </c>
    </row>
    <row r="29" spans="2:7" ht="18.75" x14ac:dyDescent="0.25">
      <c r="B29" s="41">
        <v>8</v>
      </c>
      <c r="C29" s="155">
        <v>20.504999999999999</v>
      </c>
      <c r="D29" s="155">
        <v>20.504999999999999</v>
      </c>
    </row>
    <row r="30" spans="2:7" ht="18.75" x14ac:dyDescent="0.25">
      <c r="B30" s="41">
        <v>9</v>
      </c>
      <c r="C30" s="155">
        <v>20.129000000000001</v>
      </c>
      <c r="D30" s="155">
        <v>20.129000000000001</v>
      </c>
    </row>
    <row r="31" spans="2:7" ht="18.75" x14ac:dyDescent="0.25">
      <c r="B31" s="41">
        <v>10</v>
      </c>
      <c r="C31" s="155">
        <v>21.305</v>
      </c>
      <c r="D31" s="155">
        <v>21.305</v>
      </c>
    </row>
    <row r="32" spans="2:7" ht="18.75" x14ac:dyDescent="0.25">
      <c r="B32" s="41">
        <v>11</v>
      </c>
      <c r="C32" s="155">
        <v>23.007000000000001</v>
      </c>
      <c r="D32" s="155">
        <v>23.007000000000001</v>
      </c>
    </row>
    <row r="33" spans="2:4" ht="18.75" x14ac:dyDescent="0.25">
      <c r="B33" s="41">
        <v>12</v>
      </c>
      <c r="C33" s="155">
        <v>22.148</v>
      </c>
      <c r="D33" s="155">
        <v>22.148</v>
      </c>
    </row>
    <row r="34" spans="2:4" ht="18.75" x14ac:dyDescent="0.25">
      <c r="B34" s="41">
        <v>13</v>
      </c>
      <c r="C34" s="155">
        <v>20.734999999999999</v>
      </c>
      <c r="D34" s="155">
        <v>20.734999999999999</v>
      </c>
    </row>
    <row r="35" spans="2:4" ht="18.75" x14ac:dyDescent="0.25">
      <c r="B35" s="41">
        <v>14</v>
      </c>
      <c r="C35" s="155">
        <v>20.535</v>
      </c>
      <c r="D35" s="155">
        <v>20.535</v>
      </c>
    </row>
    <row r="36" spans="2:4" ht="18.75" x14ac:dyDescent="0.25">
      <c r="B36" s="41">
        <v>15</v>
      </c>
      <c r="C36" s="155">
        <v>22.434999999999999</v>
      </c>
      <c r="D36" s="155">
        <v>22.434999999999999</v>
      </c>
    </row>
    <row r="37" spans="2:4" ht="18.75" x14ac:dyDescent="0.25">
      <c r="B37" s="41">
        <v>16</v>
      </c>
      <c r="C37" s="155">
        <v>21.164000000000001</v>
      </c>
      <c r="D37" s="155">
        <v>21.164000000000001</v>
      </c>
    </row>
    <row r="38" spans="2:4" ht="18.75" x14ac:dyDescent="0.25">
      <c r="B38" s="41">
        <v>17</v>
      </c>
      <c r="C38" s="155">
        <v>21.856999999999999</v>
      </c>
      <c r="D38" s="155">
        <v>21.856999999999999</v>
      </c>
    </row>
    <row r="39" spans="2:4" ht="18.75" x14ac:dyDescent="0.25">
      <c r="B39" s="41">
        <v>18</v>
      </c>
      <c r="C39" s="155">
        <v>21.300999999999998</v>
      </c>
      <c r="D39" s="155">
        <v>21.300999999999998</v>
      </c>
    </row>
    <row r="40" spans="2:4" ht="18.75" x14ac:dyDescent="0.25">
      <c r="B40" s="41">
        <v>19</v>
      </c>
      <c r="C40" s="155">
        <v>21.117999999999999</v>
      </c>
      <c r="D40" s="155">
        <v>21.117999999999999</v>
      </c>
    </row>
    <row r="41" spans="2:4" ht="18.75" x14ac:dyDescent="0.25">
      <c r="B41" s="41">
        <v>20</v>
      </c>
      <c r="C41" s="155">
        <v>21.007000000000001</v>
      </c>
      <c r="D41" s="155">
        <v>21.007000000000001</v>
      </c>
    </row>
    <row r="42" spans="2:4" ht="18.75" x14ac:dyDescent="0.25">
      <c r="B42" s="41">
        <v>21</v>
      </c>
      <c r="C42" s="155">
        <v>21.356999999999999</v>
      </c>
      <c r="D42" s="155">
        <v>21.356999999999999</v>
      </c>
    </row>
    <row r="43" spans="2:4" ht="18.75" x14ac:dyDescent="0.25">
      <c r="B43" s="41">
        <v>22</v>
      </c>
      <c r="C43" s="155">
        <v>21.391999999999999</v>
      </c>
      <c r="D43" s="155">
        <v>21.391999999999999</v>
      </c>
    </row>
    <row r="44" spans="2:4" ht="18.75" x14ac:dyDescent="0.25">
      <c r="B44" s="41">
        <v>23</v>
      </c>
      <c r="C44" s="155">
        <v>21.437999999999999</v>
      </c>
      <c r="D44" s="155">
        <v>21.437999999999999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21.403739130434783</v>
      </c>
      <c r="D46" s="160"/>
    </row>
    <row r="47" spans="2:4" ht="31.5" x14ac:dyDescent="0.25">
      <c r="B47" s="44" t="s">
        <v>48</v>
      </c>
      <c r="C47" s="43">
        <f>_xlfn.STDEV.S(C21:C45)</f>
        <v>0.64217302625707806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'FOM303-32-Imprimir'!C24</f>
        <v>46036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'FOM303-32-Imprimir'!E24</f>
        <v>46036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21.468</v>
      </c>
      <c r="D21" s="155">
        <v>21.468</v>
      </c>
    </row>
    <row r="22" spans="2:7" ht="18.75" x14ac:dyDescent="0.25">
      <c r="B22" s="41">
        <v>1</v>
      </c>
      <c r="C22" s="155">
        <v>21.725000000000001</v>
      </c>
      <c r="D22" s="155">
        <v>21.725000000000001</v>
      </c>
    </row>
    <row r="23" spans="2:7" ht="18.75" x14ac:dyDescent="0.25">
      <c r="B23" s="41">
        <v>2</v>
      </c>
      <c r="C23" s="155">
        <v>21.501000000000001</v>
      </c>
      <c r="D23" s="155">
        <v>21.501000000000001</v>
      </c>
    </row>
    <row r="24" spans="2:7" ht="18.75" x14ac:dyDescent="0.25">
      <c r="B24" s="41">
        <v>3</v>
      </c>
      <c r="C24" s="155">
        <v>21.503</v>
      </c>
      <c r="D24" s="155">
        <v>21.503</v>
      </c>
    </row>
    <row r="25" spans="2:7" ht="18.75" x14ac:dyDescent="0.25">
      <c r="B25" s="41">
        <v>4</v>
      </c>
      <c r="C25" s="155">
        <v>21.481000000000002</v>
      </c>
      <c r="D25" s="155">
        <v>21.481000000000002</v>
      </c>
    </row>
    <row r="26" spans="2:7" ht="18.75" x14ac:dyDescent="0.25">
      <c r="B26" s="41">
        <v>5</v>
      </c>
      <c r="C26" s="155">
        <v>21.538</v>
      </c>
      <c r="D26" s="155">
        <v>21.538</v>
      </c>
    </row>
    <row r="27" spans="2:7" ht="18.75" x14ac:dyDescent="0.25">
      <c r="B27" s="41">
        <v>6</v>
      </c>
      <c r="C27" s="155">
        <v>22.056999999999999</v>
      </c>
      <c r="D27" s="155">
        <v>22.056999999999999</v>
      </c>
    </row>
    <row r="28" spans="2:7" ht="18.75" x14ac:dyDescent="0.25">
      <c r="B28" s="41">
        <v>7</v>
      </c>
      <c r="C28" s="155">
        <v>21.375</v>
      </c>
      <c r="D28" s="155">
        <v>21.375</v>
      </c>
    </row>
    <row r="29" spans="2:7" ht="18.75" x14ac:dyDescent="0.25">
      <c r="B29" s="41">
        <v>8</v>
      </c>
      <c r="C29" s="155">
        <v>20.92</v>
      </c>
      <c r="D29" s="155">
        <v>20.92</v>
      </c>
    </row>
    <row r="30" spans="2:7" ht="18.75" x14ac:dyDescent="0.25">
      <c r="B30" s="41">
        <v>9</v>
      </c>
      <c r="C30" s="155">
        <v>21.109000000000002</v>
      </c>
      <c r="D30" s="155">
        <v>21.109000000000002</v>
      </c>
    </row>
    <row r="31" spans="2:7" ht="18.75" x14ac:dyDescent="0.25">
      <c r="B31" s="41">
        <v>10</v>
      </c>
      <c r="C31" s="155">
        <v>20.52</v>
      </c>
      <c r="D31" s="155">
        <v>20.52</v>
      </c>
    </row>
    <row r="32" spans="2:7" ht="18.75" x14ac:dyDescent="0.25">
      <c r="B32" s="41">
        <v>11</v>
      </c>
      <c r="C32" s="155">
        <v>20.030999999999999</v>
      </c>
      <c r="D32" s="155">
        <v>20.030999999999999</v>
      </c>
    </row>
    <row r="33" spans="2:4" ht="18.75" x14ac:dyDescent="0.25">
      <c r="B33" s="41">
        <v>12</v>
      </c>
      <c r="C33" s="155">
        <v>20.161000000000001</v>
      </c>
      <c r="D33" s="155">
        <v>20.161000000000001</v>
      </c>
    </row>
    <row r="34" spans="2:4" ht="18.75" x14ac:dyDescent="0.25">
      <c r="B34" s="41">
        <v>13</v>
      </c>
      <c r="C34" s="155">
        <v>20.39</v>
      </c>
      <c r="D34" s="155">
        <v>20.39</v>
      </c>
    </row>
    <row r="35" spans="2:4" ht="18.75" x14ac:dyDescent="0.25">
      <c r="B35" s="41">
        <v>14</v>
      </c>
      <c r="C35" s="155">
        <v>20.710999999999999</v>
      </c>
      <c r="D35" s="155">
        <v>20.710999999999999</v>
      </c>
    </row>
    <row r="36" spans="2:4" ht="18.75" x14ac:dyDescent="0.25">
      <c r="B36" s="41">
        <v>15</v>
      </c>
      <c r="C36" s="155">
        <v>20.905000000000001</v>
      </c>
      <c r="D36" s="155">
        <v>20.905000000000001</v>
      </c>
    </row>
    <row r="37" spans="2:4" ht="18.75" x14ac:dyDescent="0.25">
      <c r="B37" s="41">
        <v>16</v>
      </c>
      <c r="C37" s="155">
        <v>20.928999999999998</v>
      </c>
      <c r="D37" s="155">
        <v>20.928999999999998</v>
      </c>
    </row>
    <row r="38" spans="2:4" ht="18.75" x14ac:dyDescent="0.25">
      <c r="B38" s="41">
        <v>17</v>
      </c>
      <c r="C38" s="155">
        <v>21.053000000000001</v>
      </c>
      <c r="D38" s="155">
        <v>21.053000000000001</v>
      </c>
    </row>
    <row r="39" spans="2:4" ht="18.75" x14ac:dyDescent="0.25">
      <c r="B39" s="41">
        <v>18</v>
      </c>
      <c r="C39" s="155">
        <v>21.677</v>
      </c>
      <c r="D39" s="155">
        <v>21.677</v>
      </c>
    </row>
    <row r="40" spans="2:4" ht="18.75" x14ac:dyDescent="0.25">
      <c r="B40" s="41">
        <v>19</v>
      </c>
      <c r="C40" s="155">
        <v>21.655000000000001</v>
      </c>
      <c r="D40" s="155">
        <v>21.655000000000001</v>
      </c>
    </row>
    <row r="41" spans="2:4" ht="18.75" x14ac:dyDescent="0.25">
      <c r="B41" s="41">
        <v>20</v>
      </c>
      <c r="C41" s="155">
        <v>21.702999999999999</v>
      </c>
      <c r="D41" s="155">
        <v>21.702999999999999</v>
      </c>
    </row>
    <row r="42" spans="2:4" ht="18.75" x14ac:dyDescent="0.25">
      <c r="B42" s="41">
        <v>21</v>
      </c>
      <c r="C42" s="155">
        <v>22.047999999999998</v>
      </c>
      <c r="D42" s="155">
        <v>22.047999999999998</v>
      </c>
    </row>
    <row r="43" spans="2:4" ht="18.75" x14ac:dyDescent="0.25">
      <c r="B43" s="41">
        <v>22</v>
      </c>
      <c r="C43" s="155">
        <v>22.07</v>
      </c>
      <c r="D43" s="155">
        <v>22.07</v>
      </c>
    </row>
    <row r="44" spans="2:4" ht="18.75" x14ac:dyDescent="0.25">
      <c r="B44" s="41">
        <v>23</v>
      </c>
      <c r="C44" s="155">
        <v>22.029</v>
      </c>
      <c r="D44" s="155">
        <v>22.029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21.264826086956521</v>
      </c>
      <c r="D46" s="160"/>
    </row>
    <row r="47" spans="2:4" ht="31.5" x14ac:dyDescent="0.25">
      <c r="B47" s="44" t="s">
        <v>48</v>
      </c>
      <c r="C47" s="43">
        <f>_xlfn.STDEV.S(C21:C45)</f>
        <v>0.60009002796802624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'FOM303-32-Imprimir'!C25</f>
        <v>46037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'FOM303-32-Imprimir'!E25</f>
        <v>46037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21.861000000000001</v>
      </c>
      <c r="D21" s="155">
        <v>21.861000000000001</v>
      </c>
    </row>
    <row r="22" spans="2:7" ht="18.75" x14ac:dyDescent="0.25">
      <c r="B22" s="41">
        <v>1</v>
      </c>
      <c r="C22" s="155">
        <v>22.038</v>
      </c>
      <c r="D22" s="155">
        <v>22.038</v>
      </c>
    </row>
    <row r="23" spans="2:7" ht="18.75" x14ac:dyDescent="0.25">
      <c r="B23" s="41">
        <v>2</v>
      </c>
      <c r="C23" s="155">
        <v>22.251000000000001</v>
      </c>
      <c r="D23" s="155">
        <v>22.251000000000001</v>
      </c>
    </row>
    <row r="24" spans="2:7" ht="18.75" x14ac:dyDescent="0.25">
      <c r="B24" s="41">
        <v>3</v>
      </c>
      <c r="C24" s="155">
        <v>21.876999999999999</v>
      </c>
      <c r="D24" s="155">
        <v>21.876999999999999</v>
      </c>
    </row>
    <row r="25" spans="2:7" ht="18.75" x14ac:dyDescent="0.25">
      <c r="B25" s="41">
        <v>4</v>
      </c>
      <c r="C25" s="155">
        <v>21.553000000000001</v>
      </c>
      <c r="D25" s="155">
        <v>21.553000000000001</v>
      </c>
    </row>
    <row r="26" spans="2:7" ht="18.75" x14ac:dyDescent="0.25">
      <c r="B26" s="41">
        <v>5</v>
      </c>
      <c r="C26" s="155">
        <v>21.451000000000001</v>
      </c>
      <c r="D26" s="155">
        <v>21.451000000000001</v>
      </c>
    </row>
    <row r="27" spans="2:7" ht="18.75" x14ac:dyDescent="0.25">
      <c r="B27" s="41">
        <v>6</v>
      </c>
      <c r="C27" s="155">
        <v>21.565999999999999</v>
      </c>
      <c r="D27" s="155">
        <v>21.565999999999999</v>
      </c>
    </row>
    <row r="28" spans="2:7" ht="18.75" x14ac:dyDescent="0.25">
      <c r="B28" s="41">
        <v>7</v>
      </c>
      <c r="C28" s="155">
        <v>21.187999999999999</v>
      </c>
      <c r="D28" s="155">
        <v>21.187999999999999</v>
      </c>
    </row>
    <row r="29" spans="2:7" ht="18.75" x14ac:dyDescent="0.25">
      <c r="B29" s="41">
        <v>8</v>
      </c>
      <c r="C29" s="155">
        <v>20.748000000000001</v>
      </c>
      <c r="D29" s="155">
        <v>20.748000000000001</v>
      </c>
    </row>
    <row r="30" spans="2:7" ht="18.75" x14ac:dyDescent="0.25">
      <c r="B30" s="41">
        <v>9</v>
      </c>
      <c r="C30" s="155">
        <v>20.187000000000001</v>
      </c>
      <c r="D30" s="155">
        <v>20.187000000000001</v>
      </c>
    </row>
    <row r="31" spans="2:7" ht="18.75" x14ac:dyDescent="0.25">
      <c r="B31" s="41">
        <v>10</v>
      </c>
      <c r="C31" s="155">
        <v>20.55</v>
      </c>
      <c r="D31" s="155">
        <v>20.55</v>
      </c>
    </row>
    <row r="32" spans="2:7" ht="18.75" x14ac:dyDescent="0.25">
      <c r="B32" s="41">
        <v>11</v>
      </c>
      <c r="C32" s="155">
        <v>20.978999999999999</v>
      </c>
      <c r="D32" s="155">
        <v>20.978999999999999</v>
      </c>
    </row>
    <row r="33" spans="2:4" ht="18.75" x14ac:dyDescent="0.25">
      <c r="B33" s="41">
        <v>12</v>
      </c>
      <c r="C33" s="155">
        <v>20.625</v>
      </c>
      <c r="D33" s="155">
        <v>20.625</v>
      </c>
    </row>
    <row r="34" spans="2:4" ht="18.75" x14ac:dyDescent="0.25">
      <c r="B34" s="41">
        <v>13</v>
      </c>
      <c r="C34" s="155">
        <v>20.733000000000001</v>
      </c>
      <c r="D34" s="155">
        <v>20.733000000000001</v>
      </c>
    </row>
    <row r="35" spans="2:4" ht="18.75" x14ac:dyDescent="0.25">
      <c r="B35" s="41">
        <v>14</v>
      </c>
      <c r="C35" s="155">
        <v>20.164000000000001</v>
      </c>
      <c r="D35" s="155">
        <v>20.164000000000001</v>
      </c>
    </row>
    <row r="36" spans="2:4" ht="18.75" x14ac:dyDescent="0.25">
      <c r="B36" s="41">
        <v>15</v>
      </c>
      <c r="C36" s="155">
        <v>20.673999999999999</v>
      </c>
      <c r="D36" s="155">
        <v>20.673999999999999</v>
      </c>
    </row>
    <row r="37" spans="2:4" ht="18.75" x14ac:dyDescent="0.25">
      <c r="B37" s="41">
        <v>16</v>
      </c>
      <c r="C37" s="155">
        <v>20.77</v>
      </c>
      <c r="D37" s="155">
        <v>20.77</v>
      </c>
    </row>
    <row r="38" spans="2:4" ht="18.75" x14ac:dyDescent="0.25">
      <c r="B38" s="41">
        <v>17</v>
      </c>
      <c r="C38" s="155">
        <v>22.149000000000001</v>
      </c>
      <c r="D38" s="155">
        <v>22.149000000000001</v>
      </c>
    </row>
    <row r="39" spans="2:4" ht="18.75" x14ac:dyDescent="0.25">
      <c r="B39" s="41">
        <v>18</v>
      </c>
      <c r="C39" s="155">
        <v>21.39</v>
      </c>
      <c r="D39" s="155">
        <v>21.39</v>
      </c>
    </row>
    <row r="40" spans="2:4" ht="18.75" x14ac:dyDescent="0.25">
      <c r="B40" s="41">
        <v>19</v>
      </c>
      <c r="C40" s="155">
        <v>21.503</v>
      </c>
      <c r="D40" s="155">
        <v>21.503</v>
      </c>
    </row>
    <row r="41" spans="2:4" ht="18.75" x14ac:dyDescent="0.25">
      <c r="B41" s="41">
        <v>20</v>
      </c>
      <c r="C41" s="155">
        <v>21.704999999999998</v>
      </c>
      <c r="D41" s="155">
        <v>21.704999999999998</v>
      </c>
    </row>
    <row r="42" spans="2:4" ht="18.75" x14ac:dyDescent="0.25">
      <c r="B42" s="41">
        <v>21</v>
      </c>
      <c r="C42" s="155">
        <v>22.157</v>
      </c>
      <c r="D42" s="155">
        <v>22.157</v>
      </c>
    </row>
    <row r="43" spans="2:4" ht="18.75" x14ac:dyDescent="0.25">
      <c r="B43" s="41">
        <v>22</v>
      </c>
      <c r="C43" s="155">
        <v>22.155000000000001</v>
      </c>
      <c r="D43" s="155">
        <v>22.155000000000001</v>
      </c>
    </row>
    <row r="44" spans="2:4" ht="18.75" x14ac:dyDescent="0.25">
      <c r="B44" s="41">
        <v>23</v>
      </c>
      <c r="C44" s="155">
        <v>21.687000000000001</v>
      </c>
      <c r="D44" s="155">
        <v>21.687000000000001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21.30869565217391</v>
      </c>
      <c r="D46" s="160"/>
    </row>
    <row r="47" spans="2:4" ht="31.5" x14ac:dyDescent="0.25">
      <c r="B47" s="44" t="s">
        <v>48</v>
      </c>
      <c r="C47" s="43">
        <f>_xlfn.STDEV.S(C21:C45)</f>
        <v>0.6508006092275993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'FOM303-32-Imprimir'!C26</f>
        <v>46038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'FOM303-32-Imprimir'!E26</f>
        <v>46038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21.638000000000002</v>
      </c>
      <c r="D21" s="155">
        <v>21.638000000000002</v>
      </c>
    </row>
    <row r="22" spans="2:7" ht="18.75" x14ac:dyDescent="0.25">
      <c r="B22" s="41">
        <v>1</v>
      </c>
      <c r="C22" s="155">
        <v>21.513999999999999</v>
      </c>
      <c r="D22" s="155">
        <v>21.513999999999999</v>
      </c>
    </row>
    <row r="23" spans="2:7" ht="18.75" x14ac:dyDescent="0.25">
      <c r="B23" s="41">
        <v>2</v>
      </c>
      <c r="C23" s="155">
        <v>21.530999999999999</v>
      </c>
      <c r="D23" s="155">
        <v>21.530999999999999</v>
      </c>
    </row>
    <row r="24" spans="2:7" ht="18.75" x14ac:dyDescent="0.25">
      <c r="B24" s="41">
        <v>3</v>
      </c>
      <c r="C24" s="155">
        <v>21.484999999999999</v>
      </c>
      <c r="D24" s="155">
        <v>21.484999999999999</v>
      </c>
    </row>
    <row r="25" spans="2:7" ht="18.75" x14ac:dyDescent="0.25">
      <c r="B25" s="41">
        <v>4</v>
      </c>
      <c r="C25" s="155">
        <v>21.581</v>
      </c>
      <c r="D25" s="155">
        <v>21.581</v>
      </c>
    </row>
    <row r="26" spans="2:7" ht="18.75" x14ac:dyDescent="0.25">
      <c r="B26" s="41">
        <v>5</v>
      </c>
      <c r="C26" s="155">
        <v>22.103000000000002</v>
      </c>
      <c r="D26" s="155">
        <v>22.103000000000002</v>
      </c>
    </row>
    <row r="27" spans="2:7" ht="18.75" x14ac:dyDescent="0.25">
      <c r="B27" s="41">
        <v>6</v>
      </c>
      <c r="C27" s="155">
        <v>22.443999999999999</v>
      </c>
      <c r="D27" s="155">
        <v>22.443999999999999</v>
      </c>
    </row>
    <row r="28" spans="2:7" ht="18.75" x14ac:dyDescent="0.25">
      <c r="B28" s="41">
        <v>7</v>
      </c>
      <c r="C28" s="155">
        <v>21.75</v>
      </c>
      <c r="D28" s="155">
        <v>21.75</v>
      </c>
    </row>
    <row r="29" spans="2:7" ht="18.75" x14ac:dyDescent="0.25">
      <c r="B29" s="41">
        <v>8</v>
      </c>
      <c r="C29" s="155">
        <v>20.599</v>
      </c>
      <c r="D29" s="155">
        <v>20.599</v>
      </c>
    </row>
    <row r="30" spans="2:7" ht="18.75" x14ac:dyDescent="0.25">
      <c r="B30" s="41">
        <v>9</v>
      </c>
      <c r="C30" s="155">
        <v>20.454999999999998</v>
      </c>
      <c r="D30" s="155">
        <v>20.454999999999998</v>
      </c>
    </row>
    <row r="31" spans="2:7" ht="18.75" x14ac:dyDescent="0.25">
      <c r="B31" s="41">
        <v>10</v>
      </c>
      <c r="C31" s="155">
        <v>20.155000000000001</v>
      </c>
      <c r="D31" s="155">
        <v>20.155000000000001</v>
      </c>
    </row>
    <row r="32" spans="2:7" ht="18.75" x14ac:dyDescent="0.25">
      <c r="B32" s="41">
        <v>11</v>
      </c>
      <c r="C32" s="155">
        <v>20.047999999999998</v>
      </c>
      <c r="D32" s="155">
        <v>20.047999999999998</v>
      </c>
    </row>
    <row r="33" spans="2:4" ht="18.75" x14ac:dyDescent="0.25">
      <c r="B33" s="41">
        <v>12</v>
      </c>
      <c r="C33" s="155">
        <v>20.010999999999999</v>
      </c>
      <c r="D33" s="155">
        <v>20.010999999999999</v>
      </c>
    </row>
    <row r="34" spans="2:4" ht="18.75" x14ac:dyDescent="0.25">
      <c r="B34" s="41">
        <v>13</v>
      </c>
      <c r="C34" s="155">
        <v>20.416</v>
      </c>
      <c r="D34" s="155">
        <v>20.416</v>
      </c>
    </row>
    <row r="35" spans="2:4" ht="18.75" x14ac:dyDescent="0.25">
      <c r="B35" s="41">
        <v>14</v>
      </c>
      <c r="C35" s="155">
        <v>21.024999999999999</v>
      </c>
      <c r="D35" s="155">
        <v>21.024999999999999</v>
      </c>
    </row>
    <row r="36" spans="2:4" ht="18.75" x14ac:dyDescent="0.25">
      <c r="B36" s="41">
        <v>15</v>
      </c>
      <c r="C36" s="155">
        <v>20.875</v>
      </c>
      <c r="D36" s="155">
        <v>20.875</v>
      </c>
    </row>
    <row r="37" spans="2:4" ht="18.75" x14ac:dyDescent="0.25">
      <c r="B37" s="41">
        <v>16</v>
      </c>
      <c r="C37" s="155">
        <v>20.068000000000001</v>
      </c>
      <c r="D37" s="155">
        <v>20.068000000000001</v>
      </c>
    </row>
    <row r="38" spans="2:4" ht="18.75" x14ac:dyDescent="0.25">
      <c r="B38" s="41">
        <v>17</v>
      </c>
      <c r="C38" s="155">
        <v>20.257000000000001</v>
      </c>
      <c r="D38" s="155">
        <v>20.257000000000001</v>
      </c>
    </row>
    <row r="39" spans="2:4" ht="18.75" x14ac:dyDescent="0.25">
      <c r="B39" s="41">
        <v>18</v>
      </c>
      <c r="C39" s="155">
        <v>21.077000000000002</v>
      </c>
      <c r="D39" s="155">
        <v>21.077000000000002</v>
      </c>
    </row>
    <row r="40" spans="2:4" ht="18.75" x14ac:dyDescent="0.25">
      <c r="B40" s="41">
        <v>19</v>
      </c>
      <c r="C40" s="155">
        <v>21.245999999999999</v>
      </c>
      <c r="D40" s="155">
        <v>21.245999999999999</v>
      </c>
    </row>
    <row r="41" spans="2:4" ht="18.75" x14ac:dyDescent="0.25">
      <c r="B41" s="41">
        <v>20</v>
      </c>
      <c r="C41" s="155">
        <v>21.129000000000001</v>
      </c>
      <c r="D41" s="155">
        <v>21.129000000000001</v>
      </c>
    </row>
    <row r="42" spans="2:4" ht="18.75" x14ac:dyDescent="0.25">
      <c r="B42" s="41">
        <v>21</v>
      </c>
      <c r="C42" s="155">
        <v>21.280999999999999</v>
      </c>
      <c r="D42" s="155">
        <v>21.280999999999999</v>
      </c>
    </row>
    <row r="43" spans="2:4" ht="18.75" x14ac:dyDescent="0.25">
      <c r="B43" s="41">
        <v>22</v>
      </c>
      <c r="C43" s="155">
        <v>21.405000000000001</v>
      </c>
      <c r="D43" s="155">
        <v>21.405000000000001</v>
      </c>
    </row>
    <row r="44" spans="2:4" ht="18.75" x14ac:dyDescent="0.25">
      <c r="B44" s="41">
        <v>23</v>
      </c>
      <c r="C44" s="155">
        <v>21.306999999999999</v>
      </c>
      <c r="D44" s="155">
        <v>21.306999999999999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21.033130434782606</v>
      </c>
      <c r="D46" s="160"/>
    </row>
    <row r="47" spans="2:4" ht="31.5" x14ac:dyDescent="0.25">
      <c r="B47" s="44" t="s">
        <v>48</v>
      </c>
      <c r="C47" s="43">
        <f>_xlfn.STDEV.S(C21:C45)</f>
        <v>0.67769241879539543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'FOM303-32-Imprimir'!C27</f>
        <v>46039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'FOM303-32-Imprimir'!E27</f>
        <v>46039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21.577000000000002</v>
      </c>
      <c r="D21" s="155">
        <v>21.577000000000002</v>
      </c>
    </row>
    <row r="22" spans="2:7" ht="18.75" x14ac:dyDescent="0.25">
      <c r="B22" s="41">
        <v>1</v>
      </c>
      <c r="C22" s="155">
        <v>21.856999999999999</v>
      </c>
      <c r="D22" s="155">
        <v>21.856999999999999</v>
      </c>
    </row>
    <row r="23" spans="2:7" ht="18.75" x14ac:dyDescent="0.25">
      <c r="B23" s="41">
        <v>2</v>
      </c>
      <c r="C23" s="155">
        <v>21.509</v>
      </c>
      <c r="D23" s="155">
        <v>21.509</v>
      </c>
    </row>
    <row r="24" spans="2:7" ht="18.75" x14ac:dyDescent="0.25">
      <c r="B24" s="41">
        <v>3</v>
      </c>
      <c r="C24" s="155">
        <v>21.515999999999998</v>
      </c>
      <c r="D24" s="155">
        <v>21.515999999999998</v>
      </c>
    </row>
    <row r="25" spans="2:7" ht="18.75" x14ac:dyDescent="0.25">
      <c r="B25" s="41">
        <v>4</v>
      </c>
      <c r="C25" s="155">
        <v>21.494</v>
      </c>
      <c r="D25" s="155">
        <v>21.494</v>
      </c>
    </row>
    <row r="26" spans="2:7" ht="18.75" x14ac:dyDescent="0.25">
      <c r="B26" s="41">
        <v>5</v>
      </c>
      <c r="C26" s="155">
        <v>21.562000000000001</v>
      </c>
      <c r="D26" s="155">
        <v>21.562000000000001</v>
      </c>
    </row>
    <row r="27" spans="2:7" ht="18.75" x14ac:dyDescent="0.25">
      <c r="B27" s="41">
        <v>6</v>
      </c>
      <c r="C27" s="155">
        <v>21.538</v>
      </c>
      <c r="D27" s="155">
        <v>21.538</v>
      </c>
    </row>
    <row r="28" spans="2:7" ht="18.75" x14ac:dyDescent="0.25">
      <c r="B28" s="41">
        <v>7</v>
      </c>
      <c r="C28" s="155">
        <v>21.393999999999998</v>
      </c>
      <c r="D28" s="155">
        <v>21.393999999999998</v>
      </c>
    </row>
    <row r="29" spans="2:7" ht="18.75" x14ac:dyDescent="0.25">
      <c r="B29" s="41">
        <v>8</v>
      </c>
      <c r="C29" s="155">
        <v>20.69</v>
      </c>
      <c r="D29" s="155">
        <v>20.69</v>
      </c>
    </row>
    <row r="30" spans="2:7" ht="18.75" x14ac:dyDescent="0.25">
      <c r="B30" s="41">
        <v>9</v>
      </c>
      <c r="C30" s="155">
        <v>20.141999999999999</v>
      </c>
      <c r="D30" s="155">
        <v>20.141999999999999</v>
      </c>
    </row>
    <row r="31" spans="2:7" ht="18.75" x14ac:dyDescent="0.25">
      <c r="B31" s="41">
        <v>10</v>
      </c>
      <c r="C31" s="155">
        <v>20.846</v>
      </c>
      <c r="D31" s="155">
        <v>20.846</v>
      </c>
    </row>
    <row r="32" spans="2:7" ht="18.75" x14ac:dyDescent="0.25">
      <c r="B32" s="41">
        <v>11</v>
      </c>
      <c r="C32" s="155">
        <v>21.568000000000001</v>
      </c>
      <c r="D32" s="155">
        <v>21.568000000000001</v>
      </c>
    </row>
    <row r="33" spans="2:4" ht="18.75" x14ac:dyDescent="0.25">
      <c r="B33" s="41">
        <v>12</v>
      </c>
      <c r="C33" s="155">
        <v>21.666</v>
      </c>
      <c r="D33" s="155">
        <v>21.666</v>
      </c>
    </row>
    <row r="34" spans="2:4" ht="18.75" x14ac:dyDescent="0.25">
      <c r="B34" s="41">
        <v>13</v>
      </c>
      <c r="C34" s="155">
        <v>21.942</v>
      </c>
      <c r="D34" s="155">
        <v>21.942</v>
      </c>
    </row>
    <row r="35" spans="2:4" ht="18.75" x14ac:dyDescent="0.25">
      <c r="B35" s="41">
        <v>14</v>
      </c>
      <c r="C35" s="155">
        <v>21.3</v>
      </c>
      <c r="D35" s="155">
        <v>21.3</v>
      </c>
    </row>
    <row r="36" spans="2:4" ht="18.75" x14ac:dyDescent="0.25">
      <c r="B36" s="41">
        <v>15</v>
      </c>
      <c r="C36" s="155">
        <v>20.780999999999999</v>
      </c>
      <c r="D36" s="155">
        <v>20.780999999999999</v>
      </c>
    </row>
    <row r="37" spans="2:4" ht="18.75" x14ac:dyDescent="0.25">
      <c r="B37" s="41">
        <v>16</v>
      </c>
      <c r="C37" s="155">
        <v>20.071999999999999</v>
      </c>
      <c r="D37" s="155">
        <v>20.071999999999999</v>
      </c>
    </row>
    <row r="38" spans="2:4" ht="18.75" x14ac:dyDescent="0.25">
      <c r="B38" s="41">
        <v>17</v>
      </c>
      <c r="C38" s="155">
        <v>20.003</v>
      </c>
      <c r="D38" s="155">
        <v>20.003</v>
      </c>
    </row>
    <row r="39" spans="2:4" ht="18.75" x14ac:dyDescent="0.25">
      <c r="B39" s="41">
        <v>18</v>
      </c>
      <c r="C39" s="155">
        <v>21.529</v>
      </c>
      <c r="D39" s="155">
        <v>21.529</v>
      </c>
    </row>
    <row r="40" spans="2:4" ht="18.75" x14ac:dyDescent="0.25">
      <c r="B40" s="41">
        <v>19</v>
      </c>
      <c r="C40" s="155">
        <v>21.422000000000001</v>
      </c>
      <c r="D40" s="155">
        <v>21.422000000000001</v>
      </c>
    </row>
    <row r="41" spans="2:4" ht="18.75" x14ac:dyDescent="0.25">
      <c r="B41" s="41">
        <v>20</v>
      </c>
      <c r="C41" s="155">
        <v>21.486999999999998</v>
      </c>
      <c r="D41" s="155">
        <v>21.486999999999998</v>
      </c>
    </row>
    <row r="42" spans="2:4" ht="18.75" x14ac:dyDescent="0.25">
      <c r="B42" s="41">
        <v>21</v>
      </c>
      <c r="C42" s="155">
        <v>21.664000000000001</v>
      </c>
      <c r="D42" s="155">
        <v>21.664000000000001</v>
      </c>
    </row>
    <row r="43" spans="2:4" ht="18.75" x14ac:dyDescent="0.25">
      <c r="B43" s="41">
        <v>22</v>
      </c>
      <c r="C43" s="155">
        <v>21.959</v>
      </c>
      <c r="D43" s="155">
        <v>21.959</v>
      </c>
    </row>
    <row r="44" spans="2:4" ht="18.75" x14ac:dyDescent="0.25">
      <c r="B44" s="41">
        <v>23</v>
      </c>
      <c r="C44" s="155">
        <v>21.946000000000002</v>
      </c>
      <c r="D44" s="155">
        <v>21.946000000000002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21.299434782608699</v>
      </c>
      <c r="D46" s="160"/>
    </row>
    <row r="47" spans="2:4" ht="31.5" x14ac:dyDescent="0.25">
      <c r="B47" s="44" t="s">
        <v>48</v>
      </c>
      <c r="C47" s="43">
        <f>_xlfn.STDEV.S(C21:C45)</f>
        <v>0.57970142239814715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'FOM303-32-Imprimir'!C28</f>
        <v>46040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'FOM303-32-Imprimir'!E28</f>
        <v>46040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63">
        <v>21.260999999999999</v>
      </c>
      <c r="D21" s="164">
        <v>21.260999999999999</v>
      </c>
    </row>
    <row r="22" spans="2:7" ht="18.75" x14ac:dyDescent="0.25">
      <c r="B22" s="41">
        <v>1</v>
      </c>
      <c r="C22" s="163">
        <v>21.27</v>
      </c>
      <c r="D22" s="164">
        <v>21.27</v>
      </c>
    </row>
    <row r="23" spans="2:7" ht="18.75" x14ac:dyDescent="0.25">
      <c r="B23" s="41">
        <v>2</v>
      </c>
      <c r="C23" s="163">
        <v>21.259</v>
      </c>
      <c r="D23" s="164">
        <v>21.259</v>
      </c>
    </row>
    <row r="24" spans="2:7" ht="18.75" x14ac:dyDescent="0.25">
      <c r="B24" s="41">
        <v>3</v>
      </c>
      <c r="C24" s="163">
        <v>21.286999999999999</v>
      </c>
      <c r="D24" s="164">
        <v>21.286999999999999</v>
      </c>
    </row>
    <row r="25" spans="2:7" ht="18.75" x14ac:dyDescent="0.25">
      <c r="B25" s="41">
        <v>4</v>
      </c>
      <c r="C25" s="163">
        <v>21.527000000000001</v>
      </c>
      <c r="D25" s="164">
        <v>21.527000000000001</v>
      </c>
    </row>
    <row r="26" spans="2:7" ht="18.75" x14ac:dyDescent="0.25">
      <c r="B26" s="41">
        <v>5</v>
      </c>
      <c r="C26" s="163">
        <v>21.658999999999999</v>
      </c>
      <c r="D26" s="164">
        <v>21.658999999999999</v>
      </c>
    </row>
    <row r="27" spans="2:7" ht="18.75" x14ac:dyDescent="0.25">
      <c r="B27" s="41">
        <v>6</v>
      </c>
      <c r="C27" s="163">
        <v>21.571999999999999</v>
      </c>
      <c r="D27" s="164">
        <v>21.571999999999999</v>
      </c>
    </row>
    <row r="28" spans="2:7" ht="18.75" x14ac:dyDescent="0.25">
      <c r="B28" s="41">
        <v>7</v>
      </c>
      <c r="C28" s="163">
        <v>21.503</v>
      </c>
      <c r="D28" s="164">
        <v>21.503</v>
      </c>
    </row>
    <row r="29" spans="2:7" ht="18.75" x14ac:dyDescent="0.25">
      <c r="B29" s="41">
        <v>8</v>
      </c>
      <c r="C29" s="163">
        <v>20.99</v>
      </c>
      <c r="D29" s="164">
        <v>20.99</v>
      </c>
    </row>
    <row r="30" spans="2:7" ht="18.75" x14ac:dyDescent="0.25">
      <c r="B30" s="41">
        <v>9</v>
      </c>
      <c r="C30" s="163">
        <v>21.003</v>
      </c>
      <c r="D30" s="164">
        <v>21.003</v>
      </c>
    </row>
    <row r="31" spans="2:7" ht="18.75" x14ac:dyDescent="0.25">
      <c r="B31" s="41">
        <v>10</v>
      </c>
      <c r="C31" s="163">
        <v>20.434999999999999</v>
      </c>
      <c r="D31" s="164">
        <v>20.434999999999999</v>
      </c>
    </row>
    <row r="32" spans="2:7" ht="18.75" x14ac:dyDescent="0.25">
      <c r="B32" s="41">
        <v>11</v>
      </c>
      <c r="C32" s="163">
        <v>20.324999999999999</v>
      </c>
      <c r="D32" s="164">
        <v>20.324999999999999</v>
      </c>
    </row>
    <row r="33" spans="2:4" ht="18.75" x14ac:dyDescent="0.25">
      <c r="B33" s="41">
        <v>12</v>
      </c>
      <c r="C33" s="163">
        <v>20.288</v>
      </c>
      <c r="D33" s="164">
        <v>20.288</v>
      </c>
    </row>
    <row r="34" spans="2:4" ht="18.75" x14ac:dyDescent="0.25">
      <c r="B34" s="41">
        <v>13</v>
      </c>
      <c r="C34" s="163">
        <v>20.004999999999999</v>
      </c>
      <c r="D34" s="164">
        <v>20.004999999999999</v>
      </c>
    </row>
    <row r="35" spans="2:4" ht="18.75" x14ac:dyDescent="0.25">
      <c r="B35" s="41">
        <v>14</v>
      </c>
      <c r="C35" s="163">
        <v>21.045999999999999</v>
      </c>
      <c r="D35" s="164">
        <v>21.045999999999999</v>
      </c>
    </row>
    <row r="36" spans="2:4" ht="18.75" x14ac:dyDescent="0.25">
      <c r="B36" s="41">
        <v>15</v>
      </c>
      <c r="C36" s="163">
        <v>21.279</v>
      </c>
      <c r="D36" s="164">
        <v>21.279</v>
      </c>
    </row>
    <row r="37" spans="2:4" ht="18.75" x14ac:dyDescent="0.25">
      <c r="B37" s="41">
        <v>16</v>
      </c>
      <c r="C37" s="163">
        <v>19.510999999999999</v>
      </c>
      <c r="D37" s="164">
        <v>19.510999999999999</v>
      </c>
    </row>
    <row r="38" spans="2:4" ht="18.75" x14ac:dyDescent="0.25">
      <c r="B38" s="41">
        <v>17</v>
      </c>
      <c r="C38" s="163">
        <v>20.678999999999998</v>
      </c>
      <c r="D38" s="164">
        <v>20.678999999999998</v>
      </c>
    </row>
    <row r="39" spans="2:4" ht="18.75" x14ac:dyDescent="0.25">
      <c r="B39" s="41">
        <v>18</v>
      </c>
      <c r="C39" s="163">
        <v>21.452999999999999</v>
      </c>
      <c r="D39" s="164">
        <v>21.452999999999999</v>
      </c>
    </row>
    <row r="40" spans="2:4" ht="18.75" x14ac:dyDescent="0.25">
      <c r="B40" s="41">
        <v>19</v>
      </c>
      <c r="C40" s="163">
        <v>21.433</v>
      </c>
      <c r="D40" s="164">
        <v>21.433</v>
      </c>
    </row>
    <row r="41" spans="2:4" ht="18.75" x14ac:dyDescent="0.25">
      <c r="B41" s="41">
        <v>20</v>
      </c>
      <c r="C41" s="163">
        <v>21.331</v>
      </c>
      <c r="D41" s="164">
        <v>21.331</v>
      </c>
    </row>
    <row r="42" spans="2:4" ht="18.75" x14ac:dyDescent="0.25">
      <c r="B42" s="41">
        <v>21</v>
      </c>
      <c r="C42" s="163">
        <v>21.893999999999998</v>
      </c>
      <c r="D42" s="164">
        <v>21.893999999999998</v>
      </c>
    </row>
    <row r="43" spans="2:4" ht="18.75" x14ac:dyDescent="0.25">
      <c r="B43" s="41">
        <v>22</v>
      </c>
      <c r="C43" s="163">
        <v>22.216000000000001</v>
      </c>
      <c r="D43" s="164">
        <v>22.216000000000001</v>
      </c>
    </row>
    <row r="44" spans="2:4" ht="18.75" x14ac:dyDescent="0.25">
      <c r="B44" s="41">
        <v>23</v>
      </c>
      <c r="C44" s="163">
        <v>22.259</v>
      </c>
      <c r="D44" s="164">
        <v>22.259</v>
      </c>
    </row>
    <row r="45" spans="2:4" ht="18.75" x14ac:dyDescent="0.25">
      <c r="B45" s="41">
        <v>24</v>
      </c>
      <c r="C45" s="163"/>
      <c r="D45" s="164"/>
    </row>
    <row r="46" spans="2:4" ht="33.75" customHeight="1" x14ac:dyDescent="0.25">
      <c r="B46" s="42" t="s">
        <v>47</v>
      </c>
      <c r="C46" s="165">
        <f>AVERAGE(C22:C45)</f>
        <v>21.140173913043476</v>
      </c>
      <c r="D46" s="166"/>
    </row>
    <row r="47" spans="2:4" ht="31.5" x14ac:dyDescent="0.25">
      <c r="B47" s="44" t="s">
        <v>48</v>
      </c>
      <c r="C47" s="43">
        <f>_xlfn.STDEV.S(C21:C45)</f>
        <v>0.66312507700555523</v>
      </c>
      <c r="D47" s="45" t="s">
        <v>49</v>
      </c>
    </row>
    <row r="48" spans="2:4" ht="15.75" x14ac:dyDescent="0.25">
      <c r="B48" s="42" t="s">
        <v>50</v>
      </c>
      <c r="C48" s="167" t="str">
        <f>IF(ABS(C47)&gt;=2.5,"NO CUMPLE CON DS T°C DEL SHELTER"," CUMPLE CON DS T°C DEL SHELTER")</f>
        <v xml:space="preserve"> CUMPLE CON DS T°C DEL SHELTER</v>
      </c>
      <c r="D48" s="168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'FOM303-32-Imprimir'!C29</f>
        <v>46041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'FOM303-32-Imprimir'!E29</f>
        <v>46041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ht="12.95" customHeight="1" x14ac:dyDescent="0.25">
      <c r="B17" s="159" t="s">
        <v>45</v>
      </c>
      <c r="C17" s="159" t="s">
        <v>46</v>
      </c>
      <c r="D17" s="159"/>
      <c r="E17" s="25"/>
      <c r="G17" s="25"/>
    </row>
    <row r="18" spans="2:7" ht="12.95" customHeight="1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22.315999999999999</v>
      </c>
      <c r="D21" s="155">
        <v>22.315999999999999</v>
      </c>
    </row>
    <row r="22" spans="2:7" ht="18.75" x14ac:dyDescent="0.25">
      <c r="B22" s="41">
        <v>1</v>
      </c>
      <c r="C22" s="155">
        <v>22.105</v>
      </c>
      <c r="D22" s="155">
        <v>22.105</v>
      </c>
    </row>
    <row r="23" spans="2:7" ht="18.75" x14ac:dyDescent="0.25">
      <c r="B23" s="41">
        <v>2</v>
      </c>
      <c r="C23" s="155">
        <v>21.535</v>
      </c>
      <c r="D23" s="155">
        <v>21.535</v>
      </c>
    </row>
    <row r="24" spans="2:7" ht="18.75" x14ac:dyDescent="0.25">
      <c r="B24" s="41">
        <v>3</v>
      </c>
      <c r="C24" s="155">
        <v>21.356999999999999</v>
      </c>
      <c r="D24" s="155">
        <v>21.356999999999999</v>
      </c>
    </row>
    <row r="25" spans="2:7" ht="18.75" x14ac:dyDescent="0.25">
      <c r="B25" s="41">
        <v>4</v>
      </c>
      <c r="C25" s="155">
        <v>20.937999999999999</v>
      </c>
      <c r="D25" s="155">
        <v>20.937999999999999</v>
      </c>
    </row>
    <row r="26" spans="2:7" ht="18.75" x14ac:dyDescent="0.25">
      <c r="B26" s="41">
        <v>5</v>
      </c>
      <c r="C26" s="155">
        <v>20.04</v>
      </c>
      <c r="D26" s="155">
        <v>20.04</v>
      </c>
    </row>
    <row r="27" spans="2:7" ht="18.75" x14ac:dyDescent="0.25">
      <c r="B27" s="41">
        <v>6</v>
      </c>
      <c r="C27" s="155">
        <v>19.797999999999998</v>
      </c>
      <c r="D27" s="155">
        <v>19.797999999999998</v>
      </c>
    </row>
    <row r="28" spans="2:7" ht="18.75" x14ac:dyDescent="0.25">
      <c r="B28" s="41">
        <v>7</v>
      </c>
      <c r="C28" s="155">
        <v>20.901</v>
      </c>
      <c r="D28" s="155">
        <v>20.901</v>
      </c>
    </row>
    <row r="29" spans="2:7" ht="18.75" x14ac:dyDescent="0.25">
      <c r="B29" s="41">
        <v>8</v>
      </c>
      <c r="C29" s="155">
        <v>22.097999999999999</v>
      </c>
      <c r="D29" s="155">
        <v>22.097999999999999</v>
      </c>
    </row>
    <row r="30" spans="2:7" ht="18.75" x14ac:dyDescent="0.25">
      <c r="B30" s="41">
        <v>9</v>
      </c>
      <c r="C30" s="155">
        <v>21.82</v>
      </c>
      <c r="D30" s="155">
        <v>21.82</v>
      </c>
    </row>
    <row r="31" spans="2:7" ht="18.75" x14ac:dyDescent="0.25">
      <c r="B31" s="41">
        <v>10</v>
      </c>
      <c r="C31" s="155">
        <v>23.1</v>
      </c>
      <c r="D31" s="155">
        <v>23.1</v>
      </c>
    </row>
    <row r="32" spans="2:7" ht="18.75" x14ac:dyDescent="0.25">
      <c r="B32" s="41">
        <v>11</v>
      </c>
      <c r="C32" s="155">
        <v>24.129000000000001</v>
      </c>
      <c r="D32" s="155">
        <v>24.129000000000001</v>
      </c>
    </row>
    <row r="33" spans="2:4" ht="18.75" x14ac:dyDescent="0.25">
      <c r="B33" s="41">
        <v>12</v>
      </c>
      <c r="C33" s="155">
        <v>22.974</v>
      </c>
      <c r="D33" s="155">
        <v>22.974</v>
      </c>
    </row>
    <row r="34" spans="2:4" ht="18.75" x14ac:dyDescent="0.25">
      <c r="B34" s="41">
        <v>13</v>
      </c>
      <c r="C34" s="155">
        <v>22.337</v>
      </c>
      <c r="D34" s="155">
        <v>22.337</v>
      </c>
    </row>
    <row r="35" spans="2:4" ht="18.75" x14ac:dyDescent="0.25">
      <c r="B35" s="41">
        <v>14</v>
      </c>
      <c r="C35" s="155">
        <v>21.937000000000001</v>
      </c>
      <c r="D35" s="155">
        <v>21.937000000000001</v>
      </c>
    </row>
    <row r="36" spans="2:4" ht="18.75" x14ac:dyDescent="0.25">
      <c r="B36" s="41">
        <v>15</v>
      </c>
      <c r="C36" s="155">
        <v>21.149000000000001</v>
      </c>
      <c r="D36" s="155">
        <v>21.149000000000001</v>
      </c>
    </row>
    <row r="37" spans="2:4" ht="18.75" x14ac:dyDescent="0.25">
      <c r="B37" s="41">
        <v>16</v>
      </c>
      <c r="C37" s="155">
        <v>20.361999999999998</v>
      </c>
      <c r="D37" s="155">
        <v>20.361999999999998</v>
      </c>
    </row>
    <row r="38" spans="2:4" ht="18.75" x14ac:dyDescent="0.25">
      <c r="B38" s="41">
        <v>17</v>
      </c>
      <c r="C38" s="155">
        <v>20.009</v>
      </c>
      <c r="D38" s="155">
        <v>20.009</v>
      </c>
    </row>
    <row r="39" spans="2:4" ht="18.75" x14ac:dyDescent="0.25">
      <c r="B39" s="41">
        <v>18</v>
      </c>
      <c r="C39" s="155">
        <v>21.12</v>
      </c>
      <c r="D39" s="155">
        <v>21.12</v>
      </c>
    </row>
    <row r="40" spans="2:4" ht="18.75" x14ac:dyDescent="0.25">
      <c r="B40" s="41">
        <v>19</v>
      </c>
      <c r="C40" s="155">
        <v>21.114000000000001</v>
      </c>
      <c r="D40" s="155">
        <v>21.114000000000001</v>
      </c>
    </row>
    <row r="41" spans="2:4" ht="18.75" x14ac:dyDescent="0.25">
      <c r="B41" s="41">
        <v>20</v>
      </c>
      <c r="C41" s="155">
        <v>21.132999999999999</v>
      </c>
      <c r="D41" s="155">
        <v>21.132999999999999</v>
      </c>
    </row>
    <row r="42" spans="2:4" ht="18.75" x14ac:dyDescent="0.25">
      <c r="B42" s="41">
        <v>21</v>
      </c>
      <c r="C42" s="155">
        <v>21.116</v>
      </c>
      <c r="D42" s="155">
        <v>21.116</v>
      </c>
    </row>
    <row r="43" spans="2:4" ht="18.75" x14ac:dyDescent="0.25">
      <c r="B43" s="41">
        <v>22</v>
      </c>
      <c r="C43" s="155">
        <v>21.268000000000001</v>
      </c>
      <c r="D43" s="155">
        <v>21.268000000000001</v>
      </c>
    </row>
    <row r="44" spans="2:4" ht="18.75" x14ac:dyDescent="0.25">
      <c r="B44" s="41">
        <v>23</v>
      </c>
      <c r="C44" s="155">
        <v>21.425000000000001</v>
      </c>
      <c r="D44" s="155">
        <v>21.425000000000001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21.468043478260867</v>
      </c>
      <c r="D46" s="160"/>
    </row>
    <row r="47" spans="2:4" ht="31.5" x14ac:dyDescent="0.25">
      <c r="B47" s="44" t="s">
        <v>48</v>
      </c>
      <c r="C47" s="43">
        <f>_xlfn.STDEV.S(C21:C45)</f>
        <v>1.0221142968717181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'FOM303-32-Imprimir'!C30</f>
        <v>46042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'FOM303-32-Imprimir'!E30</f>
        <v>46042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21.518000000000001</v>
      </c>
      <c r="D21" s="155">
        <v>21.518000000000001</v>
      </c>
    </row>
    <row r="22" spans="2:7" ht="18.75" x14ac:dyDescent="0.25">
      <c r="B22" s="41">
        <v>1</v>
      </c>
      <c r="C22" s="155">
        <v>21.161000000000001</v>
      </c>
      <c r="D22" s="155">
        <v>21.161000000000001</v>
      </c>
    </row>
    <row r="23" spans="2:7" ht="18.75" x14ac:dyDescent="0.25">
      <c r="B23" s="41">
        <v>2</v>
      </c>
      <c r="C23" s="155">
        <v>21.337</v>
      </c>
      <c r="D23" s="155">
        <v>21.337</v>
      </c>
    </row>
    <row r="24" spans="2:7" ht="18.75" x14ac:dyDescent="0.25">
      <c r="B24" s="41">
        <v>3</v>
      </c>
      <c r="C24" s="155">
        <v>21.373999999999999</v>
      </c>
      <c r="D24" s="155">
        <v>21.373999999999999</v>
      </c>
    </row>
    <row r="25" spans="2:7" ht="18.75" x14ac:dyDescent="0.25">
      <c r="B25" s="41">
        <v>4</v>
      </c>
      <c r="C25" s="155">
        <v>21.599</v>
      </c>
      <c r="D25" s="155">
        <v>21.599</v>
      </c>
    </row>
    <row r="26" spans="2:7" ht="18.75" x14ac:dyDescent="0.25">
      <c r="B26" s="41">
        <v>5</v>
      </c>
      <c r="C26" s="155">
        <v>21.372</v>
      </c>
      <c r="D26" s="155">
        <v>21.372</v>
      </c>
    </row>
    <row r="27" spans="2:7" ht="18.75" x14ac:dyDescent="0.25">
      <c r="B27" s="41">
        <v>6</v>
      </c>
      <c r="C27" s="155">
        <v>22.17</v>
      </c>
      <c r="D27" s="155">
        <v>22.17</v>
      </c>
    </row>
    <row r="28" spans="2:7" ht="18.75" x14ac:dyDescent="0.25">
      <c r="B28" s="41">
        <v>7</v>
      </c>
      <c r="C28" s="155">
        <v>20.402999999999999</v>
      </c>
      <c r="D28" s="155">
        <v>20.402999999999999</v>
      </c>
    </row>
    <row r="29" spans="2:7" ht="18.75" x14ac:dyDescent="0.25">
      <c r="B29" s="41">
        <v>8</v>
      </c>
      <c r="C29" s="155">
        <v>21.126999999999999</v>
      </c>
      <c r="D29" s="155">
        <v>21.126999999999999</v>
      </c>
    </row>
    <row r="30" spans="2:7" ht="18.75" x14ac:dyDescent="0.25">
      <c r="B30" s="41">
        <v>9</v>
      </c>
      <c r="C30" s="155">
        <v>22.481000000000002</v>
      </c>
      <c r="D30" s="155">
        <v>22.481000000000002</v>
      </c>
    </row>
    <row r="31" spans="2:7" ht="18.75" x14ac:dyDescent="0.25">
      <c r="B31" s="41">
        <v>10</v>
      </c>
      <c r="C31" s="155">
        <v>24.788</v>
      </c>
      <c r="D31" s="155">
        <v>24.788</v>
      </c>
    </row>
    <row r="32" spans="2:7" ht="18.75" x14ac:dyDescent="0.25">
      <c r="B32" s="41">
        <v>11</v>
      </c>
      <c r="C32" s="155">
        <v>26.411000000000001</v>
      </c>
      <c r="D32" s="155">
        <v>26.411000000000001</v>
      </c>
    </row>
    <row r="33" spans="2:4" ht="18.75" x14ac:dyDescent="0.25">
      <c r="B33" s="41">
        <v>12</v>
      </c>
      <c r="C33" s="155">
        <v>25.122</v>
      </c>
      <c r="D33" s="155">
        <v>25.122</v>
      </c>
    </row>
    <row r="34" spans="2:4" ht="18.75" x14ac:dyDescent="0.25">
      <c r="B34" s="41">
        <v>13</v>
      </c>
      <c r="C34" s="155">
        <v>24.614000000000001</v>
      </c>
      <c r="D34" s="155">
        <v>24.614000000000001</v>
      </c>
    </row>
    <row r="35" spans="2:4" ht="18.75" x14ac:dyDescent="0.25">
      <c r="B35" s="41">
        <v>14</v>
      </c>
      <c r="C35" s="155">
        <v>23.152999999999999</v>
      </c>
      <c r="D35" s="155">
        <v>23.152999999999999</v>
      </c>
    </row>
    <row r="36" spans="2:4" ht="18.75" x14ac:dyDescent="0.25">
      <c r="B36" s="41">
        <v>15</v>
      </c>
      <c r="C36" s="155">
        <v>22.54</v>
      </c>
      <c r="D36" s="155">
        <v>22.54</v>
      </c>
    </row>
    <row r="37" spans="2:4" ht="18.75" x14ac:dyDescent="0.25">
      <c r="B37" s="41">
        <v>16</v>
      </c>
      <c r="C37" s="155">
        <v>21.442</v>
      </c>
      <c r="D37" s="155">
        <v>21.442</v>
      </c>
    </row>
    <row r="38" spans="2:4" ht="18.75" x14ac:dyDescent="0.25">
      <c r="B38" s="41">
        <v>17</v>
      </c>
      <c r="C38" s="155">
        <v>20.998000000000001</v>
      </c>
      <c r="D38" s="155">
        <v>20.998000000000001</v>
      </c>
    </row>
    <row r="39" spans="2:4" ht="18.75" x14ac:dyDescent="0.25">
      <c r="B39" s="41">
        <v>18</v>
      </c>
      <c r="C39" s="155">
        <v>21.1</v>
      </c>
      <c r="D39" s="155">
        <v>21.1</v>
      </c>
    </row>
    <row r="40" spans="2:4" ht="18.75" x14ac:dyDescent="0.25">
      <c r="B40" s="41">
        <v>19</v>
      </c>
      <c r="C40" s="155">
        <v>20.957000000000001</v>
      </c>
      <c r="D40" s="155">
        <v>20.957000000000001</v>
      </c>
    </row>
    <row r="41" spans="2:4" ht="18.75" x14ac:dyDescent="0.25">
      <c r="B41" s="41">
        <v>20</v>
      </c>
      <c r="C41" s="155">
        <v>20.550999999999998</v>
      </c>
      <c r="D41" s="155">
        <v>20.550999999999998</v>
      </c>
    </row>
    <row r="42" spans="2:4" ht="18.75" x14ac:dyDescent="0.25">
      <c r="B42" s="41">
        <v>21</v>
      </c>
      <c r="C42" s="155">
        <v>21.57</v>
      </c>
      <c r="D42" s="155">
        <v>21.57</v>
      </c>
    </row>
    <row r="43" spans="2:4" ht="18.75" x14ac:dyDescent="0.25">
      <c r="B43" s="41">
        <v>22</v>
      </c>
      <c r="C43" s="155">
        <v>21.071999999999999</v>
      </c>
      <c r="D43" s="155">
        <v>21.071999999999999</v>
      </c>
    </row>
    <row r="44" spans="2:4" ht="18.75" x14ac:dyDescent="0.25">
      <c r="B44" s="41">
        <v>23</v>
      </c>
      <c r="C44" s="155">
        <v>21.056999999999999</v>
      </c>
      <c r="D44" s="155">
        <v>21.056999999999999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22.104304347826091</v>
      </c>
      <c r="D46" s="160"/>
    </row>
    <row r="47" spans="2:4" ht="31.5" x14ac:dyDescent="0.25">
      <c r="B47" s="44" t="s">
        <v>48</v>
      </c>
      <c r="C47" s="43">
        <f>_xlfn.STDEV.S(C21:C45)</f>
        <v>1.593757641072902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'FOM303-32-Imprimir'!C31</f>
        <v>46043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'FOM303-32-Imprimir'!E31</f>
        <v>46043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21.123999999999999</v>
      </c>
      <c r="D21" s="155">
        <v>21.123999999999999</v>
      </c>
    </row>
    <row r="22" spans="2:7" ht="18.75" x14ac:dyDescent="0.25">
      <c r="B22" s="41">
        <v>1</v>
      </c>
      <c r="C22" s="155">
        <v>21.327000000000002</v>
      </c>
      <c r="D22" s="155">
        <v>21.327000000000002</v>
      </c>
    </row>
    <row r="23" spans="2:7" ht="18.75" x14ac:dyDescent="0.25">
      <c r="B23" s="41">
        <v>2</v>
      </c>
      <c r="C23" s="155">
        <v>21.777000000000001</v>
      </c>
      <c r="D23" s="155">
        <v>21.777000000000001</v>
      </c>
    </row>
    <row r="24" spans="2:7" ht="18.75" x14ac:dyDescent="0.25">
      <c r="B24" s="41">
        <v>3</v>
      </c>
      <c r="C24" s="155">
        <v>22.175000000000001</v>
      </c>
      <c r="D24" s="155">
        <v>22.175000000000001</v>
      </c>
    </row>
    <row r="25" spans="2:7" ht="18.75" x14ac:dyDescent="0.25">
      <c r="B25" s="41">
        <v>4</v>
      </c>
      <c r="C25" s="155">
        <v>22.718</v>
      </c>
      <c r="D25" s="155">
        <v>22.718</v>
      </c>
    </row>
    <row r="26" spans="2:7" ht="18.75" x14ac:dyDescent="0.25">
      <c r="B26" s="41">
        <v>5</v>
      </c>
      <c r="C26" s="155">
        <v>22.588000000000001</v>
      </c>
      <c r="D26" s="155">
        <v>22.588000000000001</v>
      </c>
    </row>
    <row r="27" spans="2:7" ht="18.75" x14ac:dyDescent="0.25">
      <c r="B27" s="41">
        <v>6</v>
      </c>
      <c r="C27" s="155">
        <v>22.077000000000002</v>
      </c>
      <c r="D27" s="155">
        <v>22.077000000000002</v>
      </c>
    </row>
    <row r="28" spans="2:7" ht="18.75" x14ac:dyDescent="0.25">
      <c r="B28" s="41">
        <v>7</v>
      </c>
      <c r="C28" s="155">
        <v>21.001000000000001</v>
      </c>
      <c r="D28" s="155">
        <v>21.001000000000001</v>
      </c>
    </row>
    <row r="29" spans="2:7" ht="18.75" x14ac:dyDescent="0.25">
      <c r="B29" s="41">
        <v>8</v>
      </c>
      <c r="C29" s="155">
        <v>20.466000000000001</v>
      </c>
      <c r="D29" s="155">
        <v>20.466000000000001</v>
      </c>
    </row>
    <row r="30" spans="2:7" ht="18.75" x14ac:dyDescent="0.25">
      <c r="B30" s="41">
        <v>9</v>
      </c>
      <c r="C30" s="155">
        <v>22.146000000000001</v>
      </c>
      <c r="D30" s="155">
        <v>22.146000000000001</v>
      </c>
    </row>
    <row r="31" spans="2:7" ht="18.75" x14ac:dyDescent="0.25">
      <c r="B31" s="41">
        <v>10</v>
      </c>
      <c r="C31" s="155">
        <v>24.460999999999999</v>
      </c>
      <c r="D31" s="155">
        <v>24.460999999999999</v>
      </c>
    </row>
    <row r="32" spans="2:7" ht="18.75" x14ac:dyDescent="0.25">
      <c r="B32" s="41">
        <v>11</v>
      </c>
      <c r="C32" s="155">
        <v>24.151</v>
      </c>
      <c r="D32" s="155">
        <v>24.151</v>
      </c>
    </row>
    <row r="33" spans="2:4" ht="18.75" x14ac:dyDescent="0.25">
      <c r="B33" s="41">
        <v>12</v>
      </c>
      <c r="C33" s="155">
        <v>23.882999999999999</v>
      </c>
      <c r="D33" s="155">
        <v>23.882999999999999</v>
      </c>
    </row>
    <row r="34" spans="2:4" ht="18.75" x14ac:dyDescent="0.25">
      <c r="B34" s="41">
        <v>13</v>
      </c>
      <c r="C34" s="155">
        <v>25.835000000000001</v>
      </c>
      <c r="D34" s="155">
        <v>25.835000000000001</v>
      </c>
    </row>
    <row r="35" spans="2:4" ht="18.75" x14ac:dyDescent="0.25">
      <c r="B35" s="41">
        <v>14</v>
      </c>
      <c r="C35" s="155">
        <v>25.885000000000002</v>
      </c>
      <c r="D35" s="155">
        <v>25.885000000000002</v>
      </c>
    </row>
    <row r="36" spans="2:4" ht="18.75" x14ac:dyDescent="0.25">
      <c r="B36" s="41">
        <v>15</v>
      </c>
      <c r="C36" s="155">
        <v>24.641999999999999</v>
      </c>
      <c r="D36" s="155">
        <v>24.641999999999999</v>
      </c>
    </row>
    <row r="37" spans="2:4" ht="18.75" x14ac:dyDescent="0.25">
      <c r="B37" s="41">
        <v>16</v>
      </c>
      <c r="C37" s="155">
        <v>22.693999999999999</v>
      </c>
      <c r="D37" s="155">
        <v>22.693999999999999</v>
      </c>
    </row>
    <row r="38" spans="2:4" ht="18.75" x14ac:dyDescent="0.25">
      <c r="B38" s="41">
        <v>17</v>
      </c>
      <c r="C38" s="155">
        <v>20.687000000000001</v>
      </c>
      <c r="D38" s="155">
        <v>20.687000000000001</v>
      </c>
    </row>
    <row r="39" spans="2:4" ht="18.75" x14ac:dyDescent="0.25">
      <c r="B39" s="41">
        <v>18</v>
      </c>
      <c r="C39" s="155">
        <v>20.942</v>
      </c>
      <c r="D39" s="155">
        <v>20.942</v>
      </c>
    </row>
    <row r="40" spans="2:4" ht="18.75" x14ac:dyDescent="0.25">
      <c r="B40" s="41">
        <v>19</v>
      </c>
      <c r="C40" s="155">
        <v>20.814</v>
      </c>
      <c r="D40" s="155">
        <v>20.814</v>
      </c>
    </row>
    <row r="41" spans="2:4" ht="18.75" x14ac:dyDescent="0.25">
      <c r="B41" s="41">
        <v>20</v>
      </c>
      <c r="C41" s="155">
        <v>21.02</v>
      </c>
      <c r="D41" s="155">
        <v>21.02</v>
      </c>
    </row>
    <row r="42" spans="2:4" ht="18.75" x14ac:dyDescent="0.25">
      <c r="B42" s="41">
        <v>21</v>
      </c>
      <c r="C42" s="155">
        <v>20.835000000000001</v>
      </c>
      <c r="D42" s="155">
        <v>20.835000000000001</v>
      </c>
    </row>
    <row r="43" spans="2:4" ht="18.75" x14ac:dyDescent="0.25">
      <c r="B43" s="41">
        <v>22</v>
      </c>
      <c r="C43" s="155">
        <v>21.385000000000002</v>
      </c>
      <c r="D43" s="155">
        <v>21.385000000000002</v>
      </c>
    </row>
    <row r="44" spans="2:4" ht="18.75" x14ac:dyDescent="0.25">
      <c r="B44" s="41">
        <v>23</v>
      </c>
      <c r="C44" s="155">
        <v>21.177</v>
      </c>
      <c r="D44" s="155">
        <v>21.177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22.377652173913045</v>
      </c>
      <c r="D46" s="160"/>
    </row>
    <row r="47" spans="2:4" ht="31.5" x14ac:dyDescent="0.25">
      <c r="B47" s="44" t="s">
        <v>48</v>
      </c>
      <c r="C47" s="43">
        <f>_xlfn.STDEV.S(C21:C45)</f>
        <v>1.6433422178376409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'FOM303-32-Imprimir'!C32</f>
        <v>46044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'FOM303-32-Imprimir'!E32</f>
        <v>46044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21.027000000000001</v>
      </c>
      <c r="D21" s="155">
        <v>21.027000000000001</v>
      </c>
    </row>
    <row r="22" spans="2:7" ht="18.75" x14ac:dyDescent="0.25">
      <c r="B22" s="41">
        <v>1</v>
      </c>
      <c r="C22" s="155">
        <v>21.135000000000002</v>
      </c>
      <c r="D22" s="155">
        <v>21.135000000000002</v>
      </c>
    </row>
    <row r="23" spans="2:7" ht="18.75" x14ac:dyDescent="0.25">
      <c r="B23" s="41">
        <v>2</v>
      </c>
      <c r="C23" s="155">
        <v>21.111999999999998</v>
      </c>
      <c r="D23" s="155">
        <v>21.111999999999998</v>
      </c>
    </row>
    <row r="24" spans="2:7" ht="18.75" x14ac:dyDescent="0.25">
      <c r="B24" s="41">
        <v>3</v>
      </c>
      <c r="C24" s="155">
        <v>21.209</v>
      </c>
      <c r="D24" s="155">
        <v>21.209</v>
      </c>
    </row>
    <row r="25" spans="2:7" ht="18.75" x14ac:dyDescent="0.25">
      <c r="B25" s="41">
        <v>4</v>
      </c>
      <c r="C25" s="155">
        <v>21.417999999999999</v>
      </c>
      <c r="D25" s="155">
        <v>21.417999999999999</v>
      </c>
    </row>
    <row r="26" spans="2:7" ht="18.75" x14ac:dyDescent="0.25">
      <c r="B26" s="41">
        <v>5</v>
      </c>
      <c r="C26" s="155">
        <v>21.327000000000002</v>
      </c>
      <c r="D26" s="155">
        <v>21.327000000000002</v>
      </c>
    </row>
    <row r="27" spans="2:7" ht="18.75" x14ac:dyDescent="0.25">
      <c r="B27" s="41">
        <v>6</v>
      </c>
      <c r="C27" s="155">
        <v>20.922000000000001</v>
      </c>
      <c r="D27" s="155">
        <v>20.922000000000001</v>
      </c>
    </row>
    <row r="28" spans="2:7" ht="18.75" x14ac:dyDescent="0.25">
      <c r="B28" s="41">
        <v>7</v>
      </c>
      <c r="C28" s="155">
        <v>20.724</v>
      </c>
      <c r="D28" s="155">
        <v>20.724</v>
      </c>
    </row>
    <row r="29" spans="2:7" ht="18.75" x14ac:dyDescent="0.25">
      <c r="B29" s="41">
        <v>8</v>
      </c>
      <c r="C29" s="155">
        <v>20.564</v>
      </c>
      <c r="D29" s="155">
        <v>20.564</v>
      </c>
    </row>
    <row r="30" spans="2:7" ht="18.75" x14ac:dyDescent="0.25">
      <c r="B30" s="41">
        <v>9</v>
      </c>
      <c r="C30" s="155">
        <v>21.161999999999999</v>
      </c>
      <c r="D30" s="155">
        <v>21.161999999999999</v>
      </c>
    </row>
    <row r="31" spans="2:7" ht="18.75" x14ac:dyDescent="0.25">
      <c r="B31" s="41">
        <v>10</v>
      </c>
      <c r="C31" s="155">
        <v>21.916</v>
      </c>
      <c r="D31" s="155">
        <v>21.916</v>
      </c>
    </row>
    <row r="32" spans="2:7" ht="18.75" x14ac:dyDescent="0.25">
      <c r="B32" s="41">
        <v>11</v>
      </c>
      <c r="C32" s="155">
        <v>23.481000000000002</v>
      </c>
      <c r="D32" s="155">
        <v>23.481000000000002</v>
      </c>
    </row>
    <row r="33" spans="2:4" ht="18.75" x14ac:dyDescent="0.25">
      <c r="B33" s="41">
        <v>12</v>
      </c>
      <c r="C33" s="155">
        <v>24.495999999999999</v>
      </c>
      <c r="D33" s="155">
        <v>24.495999999999999</v>
      </c>
    </row>
    <row r="34" spans="2:4" ht="18.75" x14ac:dyDescent="0.25">
      <c r="B34" s="41">
        <v>13</v>
      </c>
      <c r="C34" s="155">
        <v>22.873999999999999</v>
      </c>
      <c r="D34" s="155">
        <v>22.873999999999999</v>
      </c>
    </row>
    <row r="35" spans="2:4" ht="18.75" x14ac:dyDescent="0.25">
      <c r="B35" s="41">
        <v>14</v>
      </c>
      <c r="C35" s="155">
        <v>21.509</v>
      </c>
      <c r="D35" s="155">
        <v>21.509</v>
      </c>
    </row>
    <row r="36" spans="2:4" ht="18.75" x14ac:dyDescent="0.25">
      <c r="B36" s="41">
        <v>15</v>
      </c>
      <c r="C36" s="155">
        <v>20.611999999999998</v>
      </c>
      <c r="D36" s="155">
        <v>20.611999999999998</v>
      </c>
    </row>
    <row r="37" spans="2:4" ht="18.75" x14ac:dyDescent="0.25">
      <c r="B37" s="41">
        <v>16</v>
      </c>
      <c r="C37" s="155">
        <v>20.510999999999999</v>
      </c>
      <c r="D37" s="155">
        <v>20.510999999999999</v>
      </c>
    </row>
    <row r="38" spans="2:4" ht="18.75" x14ac:dyDescent="0.25">
      <c r="B38" s="41">
        <v>17</v>
      </c>
      <c r="C38" s="155">
        <v>19.994</v>
      </c>
      <c r="D38" s="155">
        <v>19.994</v>
      </c>
    </row>
    <row r="39" spans="2:4" ht="18.75" x14ac:dyDescent="0.25">
      <c r="B39" s="41">
        <v>18</v>
      </c>
      <c r="C39" s="155">
        <v>21.111000000000001</v>
      </c>
      <c r="D39" s="155">
        <v>21.111000000000001</v>
      </c>
    </row>
    <row r="40" spans="2:4" ht="18.75" x14ac:dyDescent="0.25">
      <c r="B40" s="41">
        <v>19</v>
      </c>
      <c r="C40" s="155">
        <v>20.684999999999999</v>
      </c>
      <c r="D40" s="155">
        <v>20.684999999999999</v>
      </c>
    </row>
    <row r="41" spans="2:4" ht="18.75" x14ac:dyDescent="0.25">
      <c r="B41" s="41">
        <v>20</v>
      </c>
      <c r="C41" s="155">
        <v>21.295999999999999</v>
      </c>
      <c r="D41" s="155">
        <v>21.295999999999999</v>
      </c>
    </row>
    <row r="42" spans="2:4" ht="18.75" x14ac:dyDescent="0.25">
      <c r="B42" s="41">
        <v>21</v>
      </c>
      <c r="C42" s="155">
        <v>21.295999999999999</v>
      </c>
      <c r="D42" s="155">
        <v>21.295999999999999</v>
      </c>
    </row>
    <row r="43" spans="2:4" ht="18.75" x14ac:dyDescent="0.25">
      <c r="B43" s="41">
        <v>22</v>
      </c>
      <c r="C43" s="155">
        <v>21.213999999999999</v>
      </c>
      <c r="D43" s="155">
        <v>21.213999999999999</v>
      </c>
    </row>
    <row r="44" spans="2:4" ht="18.75" x14ac:dyDescent="0.25">
      <c r="B44" s="41">
        <v>23</v>
      </c>
      <c r="C44" s="155">
        <v>21.283000000000001</v>
      </c>
      <c r="D44" s="155">
        <v>21.283000000000001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21.384826086956522</v>
      </c>
      <c r="D46" s="160"/>
    </row>
    <row r="47" spans="2:4" ht="31.5" x14ac:dyDescent="0.25">
      <c r="B47" s="44" t="s">
        <v>48</v>
      </c>
      <c r="C47" s="43">
        <f>_xlfn.STDEV.S(C21:C45)</f>
        <v>0.98185861537173968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'FOM303-32-Imprimir'!C33</f>
        <v>46045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'FOM303-32-Imprimir'!E33</f>
        <v>46045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21.509</v>
      </c>
      <c r="D21" s="155">
        <v>21.509</v>
      </c>
    </row>
    <row r="22" spans="2:7" ht="18.75" x14ac:dyDescent="0.25">
      <c r="B22" s="41">
        <v>1</v>
      </c>
      <c r="C22" s="155">
        <v>22.149000000000001</v>
      </c>
      <c r="D22" s="155">
        <v>22.149000000000001</v>
      </c>
    </row>
    <row r="23" spans="2:7" ht="18.75" x14ac:dyDescent="0.25">
      <c r="B23" s="41">
        <v>2</v>
      </c>
      <c r="C23" s="155">
        <v>22.234999999999999</v>
      </c>
      <c r="D23" s="155">
        <v>22.234999999999999</v>
      </c>
    </row>
    <row r="24" spans="2:7" ht="18.75" x14ac:dyDescent="0.25">
      <c r="B24" s="41">
        <v>3</v>
      </c>
      <c r="C24" s="155">
        <v>22.734999999999999</v>
      </c>
      <c r="D24" s="155">
        <v>22.734999999999999</v>
      </c>
    </row>
    <row r="25" spans="2:7" ht="18.75" x14ac:dyDescent="0.25">
      <c r="B25" s="41">
        <v>4</v>
      </c>
      <c r="C25" s="155">
        <v>22.587</v>
      </c>
      <c r="D25" s="155">
        <v>22.587</v>
      </c>
    </row>
    <row r="26" spans="2:7" ht="18.75" x14ac:dyDescent="0.25">
      <c r="B26" s="41">
        <v>5</v>
      </c>
      <c r="C26" s="155">
        <v>22.428999999999998</v>
      </c>
      <c r="D26" s="155">
        <v>22.428999999999998</v>
      </c>
    </row>
    <row r="27" spans="2:7" ht="18.75" x14ac:dyDescent="0.25">
      <c r="B27" s="41">
        <v>6</v>
      </c>
      <c r="C27" s="155">
        <v>21.972000000000001</v>
      </c>
      <c r="D27" s="155">
        <v>21.972000000000001</v>
      </c>
    </row>
    <row r="28" spans="2:7" ht="18.75" x14ac:dyDescent="0.25">
      <c r="B28" s="41">
        <v>7</v>
      </c>
      <c r="C28" s="155">
        <v>20.99</v>
      </c>
      <c r="D28" s="155">
        <v>20.99</v>
      </c>
    </row>
    <row r="29" spans="2:7" ht="18.75" x14ac:dyDescent="0.25">
      <c r="B29" s="41">
        <v>8</v>
      </c>
      <c r="C29" s="155">
        <v>21.132999999999999</v>
      </c>
      <c r="D29" s="155">
        <v>21.132999999999999</v>
      </c>
    </row>
    <row r="30" spans="2:7" ht="18.75" x14ac:dyDescent="0.25">
      <c r="B30" s="41">
        <v>9</v>
      </c>
      <c r="C30" s="155">
        <v>21.082999999999998</v>
      </c>
      <c r="D30" s="155">
        <v>21.082999999999998</v>
      </c>
    </row>
    <row r="31" spans="2:7" ht="18.75" x14ac:dyDescent="0.25">
      <c r="B31" s="41">
        <v>10</v>
      </c>
      <c r="C31" s="155">
        <v>23.49</v>
      </c>
      <c r="D31" s="155">
        <v>23.49</v>
      </c>
    </row>
    <row r="32" spans="2:7" ht="18.75" x14ac:dyDescent="0.25">
      <c r="B32" s="41">
        <v>11</v>
      </c>
      <c r="C32" s="155">
        <v>22.384</v>
      </c>
      <c r="D32" s="155">
        <v>22.384</v>
      </c>
    </row>
    <row r="33" spans="2:4" ht="18.75" x14ac:dyDescent="0.25">
      <c r="B33" s="41">
        <v>12</v>
      </c>
      <c r="C33" s="155">
        <v>21.513000000000002</v>
      </c>
      <c r="D33" s="155">
        <v>21.513000000000002</v>
      </c>
    </row>
    <row r="34" spans="2:4" ht="18.75" x14ac:dyDescent="0.25">
      <c r="B34" s="41">
        <v>13</v>
      </c>
      <c r="C34" s="155">
        <v>20.875</v>
      </c>
      <c r="D34" s="155">
        <v>20.875</v>
      </c>
    </row>
    <row r="35" spans="2:4" ht="18.75" x14ac:dyDescent="0.25">
      <c r="B35" s="41">
        <v>14</v>
      </c>
      <c r="C35" s="155">
        <v>21.047999999999998</v>
      </c>
      <c r="D35" s="155">
        <v>21.047999999999998</v>
      </c>
    </row>
    <row r="36" spans="2:4" ht="18.75" x14ac:dyDescent="0.25">
      <c r="B36" s="41">
        <v>15</v>
      </c>
      <c r="C36" s="155">
        <v>21.009</v>
      </c>
      <c r="D36" s="155">
        <v>21.009</v>
      </c>
    </row>
    <row r="37" spans="2:4" ht="18.75" x14ac:dyDescent="0.25">
      <c r="B37" s="41">
        <v>16</v>
      </c>
      <c r="C37" s="155">
        <v>20.963999999999999</v>
      </c>
      <c r="D37" s="155">
        <v>20.963999999999999</v>
      </c>
    </row>
    <row r="38" spans="2:4" ht="18.75" x14ac:dyDescent="0.25">
      <c r="B38" s="41">
        <v>17</v>
      </c>
      <c r="C38" s="155">
        <v>20.919</v>
      </c>
      <c r="D38" s="155">
        <v>20.919</v>
      </c>
    </row>
    <row r="39" spans="2:4" ht="18.75" x14ac:dyDescent="0.25">
      <c r="B39" s="41">
        <v>18</v>
      </c>
      <c r="C39" s="155">
        <v>23.766999999999999</v>
      </c>
      <c r="D39" s="155">
        <v>23.766999999999999</v>
      </c>
    </row>
    <row r="40" spans="2:4" ht="18.75" x14ac:dyDescent="0.25">
      <c r="B40" s="41">
        <v>19</v>
      </c>
      <c r="C40" s="155">
        <v>22.343</v>
      </c>
      <c r="D40" s="155">
        <v>22.343</v>
      </c>
    </row>
    <row r="41" spans="2:4" ht="18.75" x14ac:dyDescent="0.25">
      <c r="B41" s="41">
        <v>20</v>
      </c>
      <c r="C41" s="155">
        <v>22.052</v>
      </c>
      <c r="D41" s="155">
        <v>22.052</v>
      </c>
    </row>
    <row r="42" spans="2:4" ht="18.75" x14ac:dyDescent="0.25">
      <c r="B42" s="41">
        <v>21</v>
      </c>
      <c r="C42" s="155">
        <v>24.006</v>
      </c>
      <c r="D42" s="155">
        <v>24.006</v>
      </c>
    </row>
    <row r="43" spans="2:4" ht="18.75" x14ac:dyDescent="0.25">
      <c r="B43" s="41">
        <v>22</v>
      </c>
      <c r="C43" s="155">
        <v>24.395</v>
      </c>
      <c r="D43" s="155">
        <v>24.395</v>
      </c>
    </row>
    <row r="44" spans="2:4" ht="18.75" x14ac:dyDescent="0.25">
      <c r="B44" s="41">
        <v>23</v>
      </c>
      <c r="C44" s="155">
        <v>23.190999999999999</v>
      </c>
      <c r="D44" s="155">
        <v>23.190999999999999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22.142130434782608</v>
      </c>
      <c r="D46" s="160"/>
    </row>
    <row r="47" spans="2:4" ht="31.5" x14ac:dyDescent="0.25">
      <c r="B47" s="44" t="s">
        <v>48</v>
      </c>
      <c r="C47" s="43">
        <f>_xlfn.STDEV.S(C21:C45)</f>
        <v>1.0652827038539745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'FOM303-32-Imprimir'!C34</f>
        <v>46046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'FOM303-32-Imprimir'!E34</f>
        <v>46046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23.396000000000001</v>
      </c>
      <c r="D21" s="155">
        <v>23.396000000000001</v>
      </c>
    </row>
    <row r="22" spans="2:7" ht="18.75" x14ac:dyDescent="0.25">
      <c r="B22" s="41">
        <v>1</v>
      </c>
      <c r="C22" s="155">
        <v>22.846</v>
      </c>
      <c r="D22" s="155">
        <v>22.846</v>
      </c>
    </row>
    <row r="23" spans="2:7" ht="18.75" x14ac:dyDescent="0.25">
      <c r="B23" s="41">
        <v>2</v>
      </c>
      <c r="C23" s="155">
        <v>22.518999999999998</v>
      </c>
      <c r="D23" s="155">
        <v>22.518999999999998</v>
      </c>
    </row>
    <row r="24" spans="2:7" ht="18.75" x14ac:dyDescent="0.25">
      <c r="B24" s="41">
        <v>3</v>
      </c>
      <c r="C24" s="155">
        <v>22.15</v>
      </c>
      <c r="D24" s="155">
        <v>22.15</v>
      </c>
    </row>
    <row r="25" spans="2:7" ht="18.75" x14ac:dyDescent="0.25">
      <c r="B25" s="41">
        <v>4</v>
      </c>
      <c r="C25" s="155">
        <v>22.861000000000001</v>
      </c>
      <c r="D25" s="155">
        <v>22.861000000000001</v>
      </c>
    </row>
    <row r="26" spans="2:7" ht="18.75" x14ac:dyDescent="0.25">
      <c r="B26" s="41">
        <v>5</v>
      </c>
      <c r="C26" s="155">
        <v>23.113</v>
      </c>
      <c r="D26" s="155">
        <v>23.113</v>
      </c>
    </row>
    <row r="27" spans="2:7" ht="18.75" x14ac:dyDescent="0.25">
      <c r="B27" s="41">
        <v>6</v>
      </c>
      <c r="C27" s="155">
        <v>23.254000000000001</v>
      </c>
      <c r="D27" s="155">
        <v>23.254000000000001</v>
      </c>
    </row>
    <row r="28" spans="2:7" ht="18.75" x14ac:dyDescent="0.25">
      <c r="B28" s="41">
        <v>7</v>
      </c>
      <c r="C28" s="155">
        <v>23.082999999999998</v>
      </c>
      <c r="D28" s="155">
        <v>23.082999999999998</v>
      </c>
    </row>
    <row r="29" spans="2:7" ht="18.75" x14ac:dyDescent="0.25">
      <c r="B29" s="41">
        <v>8</v>
      </c>
      <c r="C29" s="155">
        <v>23.154</v>
      </c>
      <c r="D29" s="155">
        <v>23.154</v>
      </c>
    </row>
    <row r="30" spans="2:7" ht="18.75" x14ac:dyDescent="0.25">
      <c r="B30" s="41">
        <v>9</v>
      </c>
      <c r="C30" s="155">
        <v>23.239000000000001</v>
      </c>
      <c r="D30" s="155">
        <v>23.239000000000001</v>
      </c>
    </row>
    <row r="31" spans="2:7" ht="18.75" x14ac:dyDescent="0.25">
      <c r="B31" s="41">
        <v>10</v>
      </c>
      <c r="C31" s="155">
        <v>23.513000000000002</v>
      </c>
      <c r="D31" s="155">
        <v>23.513000000000002</v>
      </c>
    </row>
    <row r="32" spans="2:7" ht="18.75" x14ac:dyDescent="0.25">
      <c r="B32" s="41">
        <v>11</v>
      </c>
      <c r="C32" s="155">
        <v>23.55</v>
      </c>
      <c r="D32" s="155">
        <v>23.55</v>
      </c>
    </row>
    <row r="33" spans="2:4" ht="18.75" x14ac:dyDescent="0.25">
      <c r="B33" s="41">
        <v>12</v>
      </c>
      <c r="C33" s="155">
        <v>23.378</v>
      </c>
      <c r="D33" s="155">
        <v>23.378</v>
      </c>
    </row>
    <row r="34" spans="2:4" ht="18.75" x14ac:dyDescent="0.25">
      <c r="B34" s="41">
        <v>13</v>
      </c>
      <c r="C34" s="155">
        <v>23.172999999999998</v>
      </c>
      <c r="D34" s="155">
        <v>23.172999999999998</v>
      </c>
    </row>
    <row r="35" spans="2:4" ht="18.75" x14ac:dyDescent="0.25">
      <c r="B35" s="41">
        <v>14</v>
      </c>
      <c r="C35" s="155">
        <v>22.702000000000002</v>
      </c>
      <c r="D35" s="155">
        <v>22.702000000000002</v>
      </c>
    </row>
    <row r="36" spans="2:4" ht="18.75" x14ac:dyDescent="0.25">
      <c r="B36" s="41">
        <v>15</v>
      </c>
      <c r="C36" s="155">
        <v>21.859000000000002</v>
      </c>
      <c r="D36" s="155">
        <v>21.859000000000002</v>
      </c>
    </row>
    <row r="37" spans="2:4" ht="18.75" x14ac:dyDescent="0.25">
      <c r="B37" s="41">
        <v>16</v>
      </c>
      <c r="C37" s="155">
        <v>21.431999999999999</v>
      </c>
      <c r="D37" s="155">
        <v>21.431999999999999</v>
      </c>
    </row>
    <row r="38" spans="2:4" ht="18.75" x14ac:dyDescent="0.25">
      <c r="B38" s="41">
        <v>17</v>
      </c>
      <c r="C38" s="155">
        <v>21.704000000000001</v>
      </c>
      <c r="D38" s="155">
        <v>21.704000000000001</v>
      </c>
    </row>
    <row r="39" spans="2:4" ht="18.75" x14ac:dyDescent="0.25">
      <c r="B39" s="41">
        <v>18</v>
      </c>
      <c r="C39" s="155">
        <v>23.5</v>
      </c>
      <c r="D39" s="155">
        <v>23.5</v>
      </c>
    </row>
    <row r="40" spans="2:4" ht="18.75" x14ac:dyDescent="0.25">
      <c r="B40" s="41">
        <v>19</v>
      </c>
      <c r="C40" s="155">
        <v>23.597999999999999</v>
      </c>
      <c r="D40" s="155">
        <v>23.597999999999999</v>
      </c>
    </row>
    <row r="41" spans="2:4" ht="18.75" x14ac:dyDescent="0.25">
      <c r="B41" s="41">
        <v>20</v>
      </c>
      <c r="C41" s="155">
        <v>23.385999999999999</v>
      </c>
      <c r="D41" s="155">
        <v>23.385999999999999</v>
      </c>
    </row>
    <row r="42" spans="2:4" ht="18.75" x14ac:dyDescent="0.25">
      <c r="B42" s="41">
        <v>21</v>
      </c>
      <c r="C42" s="155">
        <v>23.094999999999999</v>
      </c>
      <c r="D42" s="155">
        <v>23.094999999999999</v>
      </c>
    </row>
    <row r="43" spans="2:4" ht="18.75" x14ac:dyDescent="0.25">
      <c r="B43" s="41">
        <v>22</v>
      </c>
      <c r="C43" s="155">
        <v>23.513000000000002</v>
      </c>
      <c r="D43" s="155">
        <v>23.513000000000002</v>
      </c>
    </row>
    <row r="44" spans="2:4" ht="18.75" x14ac:dyDescent="0.25">
      <c r="B44" s="41">
        <v>23</v>
      </c>
      <c r="C44" s="155">
        <v>23.760999999999999</v>
      </c>
      <c r="D44" s="155">
        <v>23.760999999999999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22.973173913043478</v>
      </c>
      <c r="D46" s="160"/>
    </row>
    <row r="47" spans="2:4" ht="31.5" x14ac:dyDescent="0.25">
      <c r="B47" s="44" t="s">
        <v>48</v>
      </c>
      <c r="C47" s="43">
        <f>_xlfn.STDEV.S(C21:C45)</f>
        <v>0.63218090278066763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'FOM303-32-Imprimir'!C35</f>
        <v>46047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'FOM303-32-Imprimir'!E35</f>
        <v>46047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23.373999999999999</v>
      </c>
      <c r="D21" s="155">
        <v>23.373999999999999</v>
      </c>
    </row>
    <row r="22" spans="2:7" ht="18.75" x14ac:dyDescent="0.25">
      <c r="B22" s="41">
        <v>1</v>
      </c>
      <c r="C22" s="155">
        <v>22.756</v>
      </c>
      <c r="D22" s="155">
        <v>22.756</v>
      </c>
    </row>
    <row r="23" spans="2:7" ht="18.75" x14ac:dyDescent="0.25">
      <c r="B23" s="41">
        <v>2</v>
      </c>
      <c r="C23" s="155">
        <v>22.193999999999999</v>
      </c>
      <c r="D23" s="155">
        <v>22.193999999999999</v>
      </c>
    </row>
    <row r="24" spans="2:7" ht="18.75" x14ac:dyDescent="0.25">
      <c r="B24" s="41">
        <v>3</v>
      </c>
      <c r="C24" s="155">
        <v>23.224</v>
      </c>
      <c r="D24" s="155">
        <v>23.224</v>
      </c>
    </row>
    <row r="25" spans="2:7" ht="18.75" x14ac:dyDescent="0.25">
      <c r="B25" s="41">
        <v>4</v>
      </c>
      <c r="C25" s="155">
        <v>23.622</v>
      </c>
      <c r="D25" s="155">
        <v>23.622</v>
      </c>
    </row>
    <row r="26" spans="2:7" ht="18.75" x14ac:dyDescent="0.25">
      <c r="B26" s="41">
        <v>5</v>
      </c>
      <c r="C26" s="155">
        <v>23.585000000000001</v>
      </c>
      <c r="D26" s="155">
        <v>23.585000000000001</v>
      </c>
    </row>
    <row r="27" spans="2:7" ht="18.75" x14ac:dyDescent="0.25">
      <c r="B27" s="41">
        <v>6</v>
      </c>
      <c r="C27" s="155">
        <v>23.878</v>
      </c>
      <c r="D27" s="155">
        <v>23.878</v>
      </c>
    </row>
    <row r="28" spans="2:7" ht="18.75" x14ac:dyDescent="0.25">
      <c r="B28" s="41">
        <v>7</v>
      </c>
      <c r="C28" s="155">
        <v>24.045999999999999</v>
      </c>
      <c r="D28" s="155">
        <v>24.045999999999999</v>
      </c>
    </row>
    <row r="29" spans="2:7" ht="18.75" x14ac:dyDescent="0.25">
      <c r="B29" s="41">
        <v>8</v>
      </c>
      <c r="C29" s="155">
        <v>23.946999999999999</v>
      </c>
      <c r="D29" s="155">
        <v>23.946999999999999</v>
      </c>
    </row>
    <row r="30" spans="2:7" ht="18.75" x14ac:dyDescent="0.25">
      <c r="B30" s="41">
        <v>9</v>
      </c>
      <c r="C30" s="155">
        <v>24.030999999999999</v>
      </c>
      <c r="D30" s="155">
        <v>24.030999999999999</v>
      </c>
    </row>
    <row r="31" spans="2:7" ht="18.75" x14ac:dyDescent="0.25">
      <c r="B31" s="41">
        <v>10</v>
      </c>
      <c r="C31" s="155">
        <v>23.459</v>
      </c>
      <c r="D31" s="155">
        <v>23.459</v>
      </c>
    </row>
    <row r="32" spans="2:7" ht="18.75" x14ac:dyDescent="0.25">
      <c r="B32" s="41">
        <v>11</v>
      </c>
      <c r="C32" s="155">
        <v>23.792999999999999</v>
      </c>
      <c r="D32" s="155">
        <v>23.792999999999999</v>
      </c>
    </row>
    <row r="33" spans="2:4" ht="18.75" x14ac:dyDescent="0.25">
      <c r="B33" s="41">
        <v>12</v>
      </c>
      <c r="C33" s="155">
        <v>23.388999999999999</v>
      </c>
      <c r="D33" s="155">
        <v>23.388999999999999</v>
      </c>
    </row>
    <row r="34" spans="2:4" ht="18.75" x14ac:dyDescent="0.25">
      <c r="B34" s="41">
        <v>13</v>
      </c>
      <c r="C34" s="155">
        <v>23.135000000000002</v>
      </c>
      <c r="D34" s="155">
        <v>23.135000000000002</v>
      </c>
    </row>
    <row r="35" spans="2:4" ht="18.75" x14ac:dyDescent="0.25">
      <c r="B35" s="41">
        <v>14</v>
      </c>
      <c r="C35" s="155">
        <v>23.492999999999999</v>
      </c>
      <c r="D35" s="155">
        <v>23.492999999999999</v>
      </c>
    </row>
    <row r="36" spans="2:4" ht="18.75" x14ac:dyDescent="0.25">
      <c r="B36" s="41">
        <v>15</v>
      </c>
      <c r="C36" s="155">
        <v>24.004000000000001</v>
      </c>
      <c r="D36" s="155">
        <v>24.004000000000001</v>
      </c>
    </row>
    <row r="37" spans="2:4" ht="18.75" x14ac:dyDescent="0.25">
      <c r="B37" s="41">
        <v>16</v>
      </c>
      <c r="C37" s="155">
        <v>23.593</v>
      </c>
      <c r="D37" s="155">
        <v>23.593</v>
      </c>
    </row>
    <row r="38" spans="2:4" ht="18.75" x14ac:dyDescent="0.25">
      <c r="B38" s="41">
        <v>17</v>
      </c>
      <c r="C38" s="155">
        <v>23.734000000000002</v>
      </c>
      <c r="D38" s="155">
        <v>23.734000000000002</v>
      </c>
    </row>
    <row r="39" spans="2:4" ht="18.75" x14ac:dyDescent="0.25">
      <c r="B39" s="41">
        <v>18</v>
      </c>
      <c r="C39" s="155">
        <v>22.643000000000001</v>
      </c>
      <c r="D39" s="155">
        <v>22.643000000000001</v>
      </c>
    </row>
    <row r="40" spans="2:4" ht="18.75" x14ac:dyDescent="0.25">
      <c r="B40" s="41">
        <v>19</v>
      </c>
      <c r="C40" s="155">
        <v>22.724</v>
      </c>
      <c r="D40" s="155">
        <v>22.724</v>
      </c>
    </row>
    <row r="41" spans="2:4" ht="18.75" x14ac:dyDescent="0.25">
      <c r="B41" s="41">
        <v>20</v>
      </c>
      <c r="C41" s="155">
        <v>22.228000000000002</v>
      </c>
      <c r="D41" s="155">
        <v>22.228000000000002</v>
      </c>
    </row>
    <row r="42" spans="2:4" ht="18.75" x14ac:dyDescent="0.25">
      <c r="B42" s="41">
        <v>21</v>
      </c>
      <c r="C42" s="155">
        <v>22.687000000000001</v>
      </c>
      <c r="D42" s="155">
        <v>22.687000000000001</v>
      </c>
    </row>
    <row r="43" spans="2:4" ht="18.75" x14ac:dyDescent="0.25">
      <c r="B43" s="41">
        <v>22</v>
      </c>
      <c r="C43" s="155">
        <v>22.053999999999998</v>
      </c>
      <c r="D43" s="155">
        <v>22.053999999999998</v>
      </c>
    </row>
    <row r="44" spans="2:4" ht="18.75" x14ac:dyDescent="0.25">
      <c r="B44" s="41">
        <v>23</v>
      </c>
      <c r="C44" s="155">
        <v>23.091000000000001</v>
      </c>
      <c r="D44" s="155">
        <v>23.091000000000001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23.274347826086959</v>
      </c>
      <c r="D46" s="160"/>
    </row>
    <row r="47" spans="2:4" ht="31.5" x14ac:dyDescent="0.25">
      <c r="B47" s="44" t="s">
        <v>48</v>
      </c>
      <c r="C47" s="43">
        <f>_xlfn.STDEV.S(C21:C45)</f>
        <v>0.60945199903719616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'FOM303-32-Imprimir'!C36</f>
        <v>46048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'FOM303-32-Imprimir'!E36</f>
        <v>46048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ht="12.95" customHeight="1" x14ac:dyDescent="0.25">
      <c r="B17" s="159" t="s">
        <v>45</v>
      </c>
      <c r="C17" s="159" t="s">
        <v>46</v>
      </c>
      <c r="D17" s="159"/>
      <c r="E17" s="25"/>
      <c r="G17" s="25"/>
    </row>
    <row r="18" spans="2:7" ht="12.95" customHeight="1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22.939</v>
      </c>
      <c r="D21" s="155">
        <v>22.939</v>
      </c>
    </row>
    <row r="22" spans="2:7" ht="18.75" x14ac:dyDescent="0.25">
      <c r="B22" s="41">
        <v>1</v>
      </c>
      <c r="C22" s="155">
        <v>22.715</v>
      </c>
      <c r="D22" s="155">
        <v>22.715</v>
      </c>
    </row>
    <row r="23" spans="2:7" ht="18.75" x14ac:dyDescent="0.25">
      <c r="B23" s="41">
        <v>2</v>
      </c>
      <c r="C23" s="155">
        <v>22.286999999999999</v>
      </c>
      <c r="D23" s="155">
        <v>22.286999999999999</v>
      </c>
    </row>
    <row r="24" spans="2:7" ht="18.75" x14ac:dyDescent="0.25">
      <c r="B24" s="41">
        <v>3</v>
      </c>
      <c r="C24" s="155">
        <v>23.271999999999998</v>
      </c>
      <c r="D24" s="155">
        <v>23.271999999999998</v>
      </c>
    </row>
    <row r="25" spans="2:7" ht="18.75" x14ac:dyDescent="0.25">
      <c r="B25" s="41">
        <v>4</v>
      </c>
      <c r="C25" s="155">
        <v>22.873999999999999</v>
      </c>
      <c r="D25" s="155">
        <v>22.873999999999999</v>
      </c>
    </row>
    <row r="26" spans="2:7" ht="18.75" x14ac:dyDescent="0.25">
      <c r="B26" s="41">
        <v>5</v>
      </c>
      <c r="C26" s="155">
        <v>23.077999999999999</v>
      </c>
      <c r="D26" s="155">
        <v>23.077999999999999</v>
      </c>
    </row>
    <row r="27" spans="2:7" ht="18.75" x14ac:dyDescent="0.25">
      <c r="B27" s="41">
        <v>6</v>
      </c>
      <c r="C27" s="155">
        <v>23.076000000000001</v>
      </c>
      <c r="D27" s="155">
        <v>23.076000000000001</v>
      </c>
    </row>
    <row r="28" spans="2:7" ht="18.75" x14ac:dyDescent="0.25">
      <c r="B28" s="41">
        <v>7</v>
      </c>
      <c r="C28" s="155">
        <v>22.911000000000001</v>
      </c>
      <c r="D28" s="155">
        <v>22.911000000000001</v>
      </c>
    </row>
    <row r="29" spans="2:7" ht="18.75" x14ac:dyDescent="0.25">
      <c r="B29" s="41">
        <v>8</v>
      </c>
      <c r="C29" s="155">
        <v>22.991</v>
      </c>
      <c r="D29" s="155">
        <v>22.991</v>
      </c>
    </row>
    <row r="30" spans="2:7" ht="18.75" x14ac:dyDescent="0.25">
      <c r="B30" s="41">
        <v>9</v>
      </c>
      <c r="C30" s="155">
        <v>22.824000000000002</v>
      </c>
      <c r="D30" s="155">
        <v>22.824000000000002</v>
      </c>
    </row>
    <row r="31" spans="2:7" ht="18.75" x14ac:dyDescent="0.25">
      <c r="B31" s="41">
        <v>10</v>
      </c>
      <c r="C31" s="155">
        <v>23.209</v>
      </c>
      <c r="D31" s="155">
        <v>23.209</v>
      </c>
    </row>
    <row r="32" spans="2:7" ht="18.75" x14ac:dyDescent="0.25">
      <c r="B32" s="41">
        <v>11</v>
      </c>
      <c r="C32" s="155">
        <v>23.670999999999999</v>
      </c>
      <c r="D32" s="155">
        <v>23.670999999999999</v>
      </c>
    </row>
    <row r="33" spans="2:4" ht="18.75" x14ac:dyDescent="0.25">
      <c r="B33" s="41">
        <v>12</v>
      </c>
      <c r="C33" s="155">
        <v>23.135000000000002</v>
      </c>
      <c r="D33" s="155">
        <v>23.135000000000002</v>
      </c>
    </row>
    <row r="34" spans="2:4" ht="18.75" x14ac:dyDescent="0.25">
      <c r="B34" s="41">
        <v>13</v>
      </c>
      <c r="C34" s="155">
        <v>23.465</v>
      </c>
      <c r="D34" s="155">
        <v>23.465</v>
      </c>
    </row>
    <row r="35" spans="2:4" ht="18.75" x14ac:dyDescent="0.25">
      <c r="B35" s="41">
        <v>14</v>
      </c>
      <c r="C35" s="155">
        <v>23.266999999999999</v>
      </c>
      <c r="D35" s="155">
        <v>23.266999999999999</v>
      </c>
    </row>
    <row r="36" spans="2:4" ht="18.75" x14ac:dyDescent="0.25">
      <c r="B36" s="41">
        <v>15</v>
      </c>
      <c r="C36" s="155">
        <v>23.434999999999999</v>
      </c>
      <c r="D36" s="155">
        <v>23.434999999999999</v>
      </c>
    </row>
    <row r="37" spans="2:4" ht="18.75" x14ac:dyDescent="0.25">
      <c r="B37" s="41">
        <v>16</v>
      </c>
      <c r="C37" s="155">
        <v>23.864999999999998</v>
      </c>
      <c r="D37" s="155">
        <v>23.864999999999998</v>
      </c>
    </row>
    <row r="38" spans="2:4" ht="18.75" x14ac:dyDescent="0.25">
      <c r="B38" s="41">
        <v>17</v>
      </c>
      <c r="C38" s="155">
        <v>23.885000000000002</v>
      </c>
      <c r="D38" s="155">
        <v>23.885000000000002</v>
      </c>
    </row>
    <row r="39" spans="2:4" ht="18.75" x14ac:dyDescent="0.25">
      <c r="B39" s="41">
        <v>18</v>
      </c>
      <c r="C39" s="155">
        <v>23.187000000000001</v>
      </c>
      <c r="D39" s="155">
        <v>23.187000000000001</v>
      </c>
    </row>
    <row r="40" spans="2:4" ht="18.75" x14ac:dyDescent="0.25">
      <c r="B40" s="41">
        <v>19</v>
      </c>
      <c r="C40" s="155">
        <v>22.091000000000001</v>
      </c>
      <c r="D40" s="155">
        <v>22.091000000000001</v>
      </c>
    </row>
    <row r="41" spans="2:4" ht="18.75" x14ac:dyDescent="0.25">
      <c r="B41" s="41">
        <v>20</v>
      </c>
      <c r="C41" s="155">
        <v>23.196000000000002</v>
      </c>
      <c r="D41" s="155">
        <v>23.196000000000002</v>
      </c>
    </row>
    <row r="42" spans="2:4" ht="18.75" x14ac:dyDescent="0.25">
      <c r="B42" s="41">
        <v>21</v>
      </c>
      <c r="C42" s="155">
        <v>22.332000000000001</v>
      </c>
      <c r="D42" s="155">
        <v>22.332000000000001</v>
      </c>
    </row>
    <row r="43" spans="2:4" ht="18.75" x14ac:dyDescent="0.25">
      <c r="B43" s="41">
        <v>22</v>
      </c>
      <c r="C43" s="155">
        <v>22.77</v>
      </c>
      <c r="D43" s="155">
        <v>22.77</v>
      </c>
    </row>
    <row r="44" spans="2:4" ht="18.75" x14ac:dyDescent="0.25">
      <c r="B44" s="41">
        <v>23</v>
      </c>
      <c r="C44" s="155">
        <v>22.209</v>
      </c>
      <c r="D44" s="155">
        <v>22.209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23.032391304347826</v>
      </c>
      <c r="D46" s="160"/>
    </row>
    <row r="47" spans="2:4" ht="31.5" x14ac:dyDescent="0.25">
      <c r="B47" s="44" t="s">
        <v>48</v>
      </c>
      <c r="C47" s="43">
        <f>_xlfn.STDEV.S(C21:C45)</f>
        <v>0.47819070236265243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'FOM303-32-Imprimir'!C37</f>
        <v>46049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'FOM303-32-Imprimir'!E37</f>
        <v>46049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22.283999999999999</v>
      </c>
      <c r="D21" s="155">
        <v>22.283999999999999</v>
      </c>
    </row>
    <row r="22" spans="2:7" ht="18.75" x14ac:dyDescent="0.25">
      <c r="B22" s="41">
        <v>1</v>
      </c>
      <c r="C22" s="155">
        <v>22.5</v>
      </c>
      <c r="D22" s="155">
        <v>22.5</v>
      </c>
    </row>
    <row r="23" spans="2:7" ht="18.75" x14ac:dyDescent="0.25">
      <c r="B23" s="41">
        <v>2</v>
      </c>
      <c r="C23" s="155">
        <v>22.140999999999998</v>
      </c>
      <c r="D23" s="155">
        <v>22.140999999999998</v>
      </c>
    </row>
    <row r="24" spans="2:7" ht="18.75" x14ac:dyDescent="0.25">
      <c r="B24" s="41">
        <v>3</v>
      </c>
      <c r="C24" s="155">
        <v>22.765000000000001</v>
      </c>
      <c r="D24" s="155">
        <v>22.765000000000001</v>
      </c>
    </row>
    <row r="25" spans="2:7" ht="18.75" x14ac:dyDescent="0.25">
      <c r="B25" s="41">
        <v>4</v>
      </c>
      <c r="C25" s="155">
        <v>23.158000000000001</v>
      </c>
      <c r="D25" s="155">
        <v>23.158000000000001</v>
      </c>
    </row>
    <row r="26" spans="2:7" ht="18.75" x14ac:dyDescent="0.25">
      <c r="B26" s="41">
        <v>5</v>
      </c>
      <c r="C26" s="155">
        <v>23.760999999999999</v>
      </c>
      <c r="D26" s="155">
        <v>23.760999999999999</v>
      </c>
    </row>
    <row r="27" spans="2:7" ht="18.75" x14ac:dyDescent="0.25">
      <c r="B27" s="41">
        <v>6</v>
      </c>
      <c r="C27" s="155">
        <v>23.292999999999999</v>
      </c>
      <c r="D27" s="155">
        <v>23.292999999999999</v>
      </c>
    </row>
    <row r="28" spans="2:7" ht="18.75" x14ac:dyDescent="0.25">
      <c r="B28" s="41">
        <v>7</v>
      </c>
      <c r="C28" s="155">
        <v>23.167000000000002</v>
      </c>
      <c r="D28" s="155">
        <v>23.167000000000002</v>
      </c>
    </row>
    <row r="29" spans="2:7" ht="18.75" x14ac:dyDescent="0.25">
      <c r="B29" s="41">
        <v>8</v>
      </c>
      <c r="C29" s="155">
        <v>23.071999999999999</v>
      </c>
      <c r="D29" s="155">
        <v>23.071999999999999</v>
      </c>
    </row>
    <row r="30" spans="2:7" ht="18.75" x14ac:dyDescent="0.25">
      <c r="B30" s="41">
        <v>9</v>
      </c>
      <c r="C30" s="155">
        <v>22.95</v>
      </c>
      <c r="D30" s="155">
        <v>22.95</v>
      </c>
    </row>
    <row r="31" spans="2:7" ht="18.75" x14ac:dyDescent="0.25">
      <c r="B31" s="41">
        <v>10</v>
      </c>
      <c r="C31" s="155">
        <v>22.824000000000002</v>
      </c>
      <c r="D31" s="155">
        <v>22.824000000000002</v>
      </c>
    </row>
    <row r="32" spans="2:7" ht="18.75" x14ac:dyDescent="0.25">
      <c r="B32" s="41">
        <v>11</v>
      </c>
      <c r="C32" s="155">
        <v>22.82</v>
      </c>
      <c r="D32" s="155">
        <v>22.82</v>
      </c>
    </row>
    <row r="33" spans="2:4" ht="18.75" x14ac:dyDescent="0.25">
      <c r="B33" s="41">
        <v>12</v>
      </c>
      <c r="C33" s="155">
        <v>22.75</v>
      </c>
      <c r="D33" s="155">
        <v>22.75</v>
      </c>
    </row>
    <row r="34" spans="2:4" ht="18.75" x14ac:dyDescent="0.25">
      <c r="B34" s="41">
        <v>13</v>
      </c>
      <c r="C34" s="155">
        <v>22.724</v>
      </c>
      <c r="D34" s="155">
        <v>22.724</v>
      </c>
    </row>
    <row r="35" spans="2:4" ht="18.75" x14ac:dyDescent="0.25">
      <c r="B35" s="41">
        <v>14</v>
      </c>
      <c r="C35" s="155">
        <v>22.803999999999998</v>
      </c>
      <c r="D35" s="155">
        <v>22.803999999999998</v>
      </c>
    </row>
    <row r="36" spans="2:4" ht="18.75" x14ac:dyDescent="0.25">
      <c r="B36" s="41">
        <v>15</v>
      </c>
      <c r="C36" s="155">
        <v>22.861000000000001</v>
      </c>
      <c r="D36" s="155">
        <v>22.861000000000001</v>
      </c>
    </row>
    <row r="37" spans="2:4" ht="18.75" x14ac:dyDescent="0.25">
      <c r="B37" s="41">
        <v>16</v>
      </c>
      <c r="C37" s="155">
        <v>23.433</v>
      </c>
      <c r="D37" s="155">
        <v>23.433</v>
      </c>
    </row>
    <row r="38" spans="2:4" ht="18.75" x14ac:dyDescent="0.25">
      <c r="B38" s="41">
        <v>17</v>
      </c>
      <c r="C38" s="155">
        <v>23.234999999999999</v>
      </c>
      <c r="D38" s="155">
        <v>23.234999999999999</v>
      </c>
    </row>
    <row r="39" spans="2:4" ht="18.75" x14ac:dyDescent="0.25">
      <c r="B39" s="41">
        <v>18</v>
      </c>
      <c r="C39" s="155">
        <v>22.91</v>
      </c>
      <c r="D39" s="155">
        <v>22.91</v>
      </c>
    </row>
    <row r="40" spans="2:4" ht="18.75" x14ac:dyDescent="0.25">
      <c r="B40" s="41">
        <v>19</v>
      </c>
      <c r="C40" s="155">
        <v>21.704000000000001</v>
      </c>
      <c r="D40" s="155">
        <v>21.704000000000001</v>
      </c>
    </row>
    <row r="41" spans="2:4" ht="18.75" x14ac:dyDescent="0.25">
      <c r="B41" s="41">
        <v>20</v>
      </c>
      <c r="C41" s="155">
        <v>22.08</v>
      </c>
      <c r="D41" s="155">
        <v>22.08</v>
      </c>
    </row>
    <row r="42" spans="2:4" ht="18.75" x14ac:dyDescent="0.25">
      <c r="B42" s="41">
        <v>21</v>
      </c>
      <c r="C42" s="155">
        <v>22.302</v>
      </c>
      <c r="D42" s="155">
        <v>22.302</v>
      </c>
    </row>
    <row r="43" spans="2:4" ht="18.75" x14ac:dyDescent="0.25">
      <c r="B43" s="41">
        <v>22</v>
      </c>
      <c r="C43" s="155">
        <v>22.603999999999999</v>
      </c>
      <c r="D43" s="155">
        <v>22.603999999999999</v>
      </c>
    </row>
    <row r="44" spans="2:4" ht="18.75" x14ac:dyDescent="0.25">
      <c r="B44" s="41">
        <v>23</v>
      </c>
      <c r="C44" s="155">
        <v>22.285</v>
      </c>
      <c r="D44" s="155">
        <v>22.285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22.788826086956522</v>
      </c>
      <c r="D46" s="160"/>
    </row>
    <row r="47" spans="2:4" ht="31.5" x14ac:dyDescent="0.25">
      <c r="B47" s="44" t="s">
        <v>48</v>
      </c>
      <c r="C47" s="43">
        <f>_xlfn.STDEV.S(C21:C45)</f>
        <v>0.47452658139378823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'FOM303-32-Imprimir'!C38</f>
        <v>46050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'FOM303-32-Imprimir'!E38</f>
        <v>46050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23.417000000000002</v>
      </c>
      <c r="D21" s="155">
        <v>23.417000000000002</v>
      </c>
    </row>
    <row r="22" spans="2:7" ht="18.75" x14ac:dyDescent="0.25">
      <c r="B22" s="41">
        <v>1</v>
      </c>
      <c r="C22" s="155">
        <v>24.713000000000001</v>
      </c>
      <c r="D22" s="155">
        <v>24.713000000000001</v>
      </c>
    </row>
    <row r="23" spans="2:7" ht="18.75" x14ac:dyDescent="0.25">
      <c r="B23" s="41">
        <v>2</v>
      </c>
      <c r="C23" s="155">
        <v>22.378</v>
      </c>
      <c r="D23" s="155">
        <v>22.378</v>
      </c>
    </row>
    <row r="24" spans="2:7" ht="18.75" x14ac:dyDescent="0.25">
      <c r="B24" s="41">
        <v>3</v>
      </c>
      <c r="C24" s="155">
        <v>23.393000000000001</v>
      </c>
      <c r="D24" s="155">
        <v>23.393000000000001</v>
      </c>
    </row>
    <row r="25" spans="2:7" ht="18.75" x14ac:dyDescent="0.25">
      <c r="B25" s="41">
        <v>4</v>
      </c>
      <c r="C25" s="155">
        <v>23.513000000000002</v>
      </c>
      <c r="D25" s="155">
        <v>23.513000000000002</v>
      </c>
    </row>
    <row r="26" spans="2:7" ht="18.75" x14ac:dyDescent="0.25">
      <c r="B26" s="41">
        <v>5</v>
      </c>
      <c r="C26" s="155">
        <v>23.920999999999999</v>
      </c>
      <c r="D26" s="155">
        <v>23.920999999999999</v>
      </c>
    </row>
    <row r="27" spans="2:7" ht="18.75" x14ac:dyDescent="0.25">
      <c r="B27" s="41">
        <v>6</v>
      </c>
      <c r="C27" s="155">
        <v>23.571999999999999</v>
      </c>
      <c r="D27" s="155">
        <v>23.571999999999999</v>
      </c>
    </row>
    <row r="28" spans="2:7" ht="18.75" x14ac:dyDescent="0.25">
      <c r="B28" s="41">
        <v>7</v>
      </c>
      <c r="C28" s="155">
        <v>23.542999999999999</v>
      </c>
      <c r="D28" s="155">
        <v>23.542999999999999</v>
      </c>
    </row>
    <row r="29" spans="2:7" ht="18.75" x14ac:dyDescent="0.25">
      <c r="B29" s="41">
        <v>8</v>
      </c>
      <c r="C29" s="155">
        <v>23.254000000000001</v>
      </c>
      <c r="D29" s="155">
        <v>23.254000000000001</v>
      </c>
    </row>
    <row r="30" spans="2:7" ht="18.75" x14ac:dyDescent="0.25">
      <c r="B30" s="41">
        <v>9</v>
      </c>
      <c r="C30" s="155">
        <v>23.266999999999999</v>
      </c>
      <c r="D30" s="155">
        <v>23.266999999999999</v>
      </c>
    </row>
    <row r="31" spans="2:7" ht="18.75" x14ac:dyDescent="0.25">
      <c r="B31" s="41">
        <v>10</v>
      </c>
      <c r="C31" s="155">
        <v>23.562999999999999</v>
      </c>
      <c r="D31" s="155">
        <v>23.562999999999999</v>
      </c>
    </row>
    <row r="32" spans="2:7" ht="18.75" x14ac:dyDescent="0.25">
      <c r="B32" s="41">
        <v>11</v>
      </c>
      <c r="C32" s="155">
        <v>23.658000000000001</v>
      </c>
      <c r="D32" s="155">
        <v>23.658000000000001</v>
      </c>
    </row>
    <row r="33" spans="2:4" ht="18.75" x14ac:dyDescent="0.25">
      <c r="B33" s="41">
        <v>12</v>
      </c>
      <c r="C33" s="155">
        <v>23.181999999999999</v>
      </c>
      <c r="D33" s="155">
        <v>23.181999999999999</v>
      </c>
    </row>
    <row r="34" spans="2:4" ht="18.75" x14ac:dyDescent="0.25">
      <c r="B34" s="41">
        <v>13</v>
      </c>
      <c r="C34" s="155">
        <v>23.4</v>
      </c>
      <c r="D34" s="155">
        <v>23.4</v>
      </c>
    </row>
    <row r="35" spans="2:4" ht="18.75" x14ac:dyDescent="0.25">
      <c r="B35" s="41">
        <v>14</v>
      </c>
      <c r="C35" s="155">
        <v>23.45</v>
      </c>
      <c r="D35" s="155">
        <v>23.45</v>
      </c>
    </row>
    <row r="36" spans="2:4" ht="18.75" x14ac:dyDescent="0.25">
      <c r="B36" s="41">
        <v>15</v>
      </c>
      <c r="C36" s="155">
        <v>23.219000000000001</v>
      </c>
      <c r="D36" s="155">
        <v>23.219000000000001</v>
      </c>
    </row>
    <row r="37" spans="2:4" ht="18.75" x14ac:dyDescent="0.25">
      <c r="B37" s="41">
        <v>16</v>
      </c>
      <c r="C37" s="155">
        <v>23.352</v>
      </c>
      <c r="D37" s="155">
        <v>23.352</v>
      </c>
    </row>
    <row r="38" spans="2:4" ht="18.75" x14ac:dyDescent="0.25">
      <c r="B38" s="41">
        <v>17</v>
      </c>
      <c r="C38" s="155">
        <v>23.434999999999999</v>
      </c>
      <c r="D38" s="155">
        <v>23.434999999999999</v>
      </c>
    </row>
    <row r="39" spans="2:4" ht="18.75" x14ac:dyDescent="0.25">
      <c r="B39" s="41">
        <v>18</v>
      </c>
      <c r="C39" s="155">
        <v>23.437000000000001</v>
      </c>
      <c r="D39" s="155">
        <v>23.437000000000001</v>
      </c>
    </row>
    <row r="40" spans="2:4" ht="18.75" x14ac:dyDescent="0.25">
      <c r="B40" s="41">
        <v>19</v>
      </c>
      <c r="C40" s="155">
        <v>22.498000000000001</v>
      </c>
      <c r="D40" s="155">
        <v>22.498000000000001</v>
      </c>
    </row>
    <row r="41" spans="2:4" ht="18.75" x14ac:dyDescent="0.25">
      <c r="B41" s="41">
        <v>20</v>
      </c>
      <c r="C41" s="155">
        <v>23.189</v>
      </c>
      <c r="D41" s="155">
        <v>23.189</v>
      </c>
    </row>
    <row r="42" spans="2:4" ht="18.75" x14ac:dyDescent="0.25">
      <c r="B42" s="41">
        <v>21</v>
      </c>
      <c r="C42" s="155">
        <v>24.709</v>
      </c>
      <c r="D42" s="155">
        <v>24.709</v>
      </c>
    </row>
    <row r="43" spans="2:4" ht="18.75" x14ac:dyDescent="0.25">
      <c r="B43" s="41">
        <v>22</v>
      </c>
      <c r="C43" s="155">
        <v>24.396999999999998</v>
      </c>
      <c r="D43" s="155">
        <v>24.396999999999998</v>
      </c>
    </row>
    <row r="44" spans="2:4" ht="18.75" x14ac:dyDescent="0.25">
      <c r="B44" s="41">
        <v>23</v>
      </c>
      <c r="C44" s="155">
        <v>22.574000000000002</v>
      </c>
      <c r="D44" s="155">
        <v>22.574000000000002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23.461608695652171</v>
      </c>
      <c r="D46" s="160"/>
    </row>
    <row r="47" spans="2:4" ht="31.5" x14ac:dyDescent="0.25">
      <c r="B47" s="44" t="s">
        <v>48</v>
      </c>
      <c r="C47" s="43">
        <f>_xlfn.STDEV.S(C21:C45)</f>
        <v>0.57047137260034475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'FOM303-32-Imprimir'!C39</f>
        <v>46051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'FOM303-32-Imprimir'!E39</f>
        <v>46051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22.35</v>
      </c>
      <c r="D21" s="155">
        <v>22.35</v>
      </c>
    </row>
    <row r="22" spans="2:7" ht="18.75" x14ac:dyDescent="0.25">
      <c r="B22" s="41">
        <v>1</v>
      </c>
      <c r="C22" s="155">
        <v>23.388999999999999</v>
      </c>
      <c r="D22" s="155">
        <v>23.388999999999999</v>
      </c>
    </row>
    <row r="23" spans="2:7" ht="18.75" x14ac:dyDescent="0.25">
      <c r="B23" s="41">
        <v>2</v>
      </c>
      <c r="C23" s="155">
        <v>24.484000000000002</v>
      </c>
      <c r="D23" s="155">
        <v>24.484000000000002</v>
      </c>
    </row>
    <row r="24" spans="2:7" ht="18.75" x14ac:dyDescent="0.25">
      <c r="B24" s="41">
        <v>3</v>
      </c>
      <c r="C24" s="155">
        <v>22.536999999999999</v>
      </c>
      <c r="D24" s="155">
        <v>22.536999999999999</v>
      </c>
    </row>
    <row r="25" spans="2:7" ht="18.75" x14ac:dyDescent="0.25">
      <c r="B25" s="41">
        <v>4</v>
      </c>
      <c r="C25" s="155">
        <v>22.954000000000001</v>
      </c>
      <c r="D25" s="155">
        <v>22.954000000000001</v>
      </c>
    </row>
    <row r="26" spans="2:7" ht="18.75" x14ac:dyDescent="0.25">
      <c r="B26" s="41">
        <v>5</v>
      </c>
      <c r="C26" s="155">
        <v>23.574000000000002</v>
      </c>
      <c r="D26" s="155">
        <v>23.574000000000002</v>
      </c>
    </row>
    <row r="27" spans="2:7" ht="18.75" x14ac:dyDescent="0.25">
      <c r="B27" s="41">
        <v>6</v>
      </c>
      <c r="C27" s="155">
        <v>24.167000000000002</v>
      </c>
      <c r="D27" s="155">
        <v>24.167000000000002</v>
      </c>
    </row>
    <row r="28" spans="2:7" ht="18.75" x14ac:dyDescent="0.25">
      <c r="B28" s="41">
        <v>7</v>
      </c>
      <c r="C28" s="155">
        <v>24.009</v>
      </c>
      <c r="D28" s="155">
        <v>24.009</v>
      </c>
    </row>
    <row r="29" spans="2:7" ht="18.75" x14ac:dyDescent="0.25">
      <c r="B29" s="41">
        <v>8</v>
      </c>
      <c r="C29" s="155">
        <v>24.056999999999999</v>
      </c>
      <c r="D29" s="155">
        <v>24.056999999999999</v>
      </c>
    </row>
    <row r="30" spans="2:7" ht="18.75" x14ac:dyDescent="0.25">
      <c r="B30" s="41">
        <v>9</v>
      </c>
      <c r="C30" s="155">
        <v>24.088999999999999</v>
      </c>
      <c r="D30" s="155">
        <v>24.088999999999999</v>
      </c>
    </row>
    <row r="31" spans="2:7" ht="18.75" x14ac:dyDescent="0.25">
      <c r="B31" s="41">
        <v>10</v>
      </c>
      <c r="C31" s="155">
        <v>23.995999999999999</v>
      </c>
      <c r="D31" s="155">
        <v>23.995999999999999</v>
      </c>
    </row>
    <row r="32" spans="2:7" ht="18.75" x14ac:dyDescent="0.25">
      <c r="B32" s="41">
        <v>11</v>
      </c>
      <c r="C32" s="155">
        <v>23.367000000000001</v>
      </c>
      <c r="D32" s="155">
        <v>23.367000000000001</v>
      </c>
    </row>
    <row r="33" spans="2:4" ht="18.75" x14ac:dyDescent="0.25">
      <c r="B33" s="41">
        <v>12</v>
      </c>
      <c r="C33" s="155">
        <v>23.530999999999999</v>
      </c>
      <c r="D33" s="155">
        <v>23.530999999999999</v>
      </c>
    </row>
    <row r="34" spans="2:4" ht="18.75" x14ac:dyDescent="0.25">
      <c r="B34" s="41">
        <v>13</v>
      </c>
      <c r="C34" s="155">
        <v>23.454000000000001</v>
      </c>
      <c r="D34" s="155">
        <v>23.454000000000001</v>
      </c>
    </row>
    <row r="35" spans="2:4" ht="18.75" x14ac:dyDescent="0.25">
      <c r="B35" s="41">
        <v>14</v>
      </c>
      <c r="C35" s="155">
        <v>23.741</v>
      </c>
      <c r="D35" s="155">
        <v>23.741</v>
      </c>
    </row>
    <row r="36" spans="2:4" ht="18.75" x14ac:dyDescent="0.25">
      <c r="B36" s="41">
        <v>15</v>
      </c>
      <c r="C36" s="155">
        <v>23.834</v>
      </c>
      <c r="D36" s="155">
        <v>23.834</v>
      </c>
    </row>
    <row r="37" spans="2:4" ht="18.75" x14ac:dyDescent="0.25">
      <c r="B37" s="41">
        <v>16</v>
      </c>
      <c r="C37" s="155">
        <v>23.818999999999999</v>
      </c>
      <c r="D37" s="155">
        <v>23.818999999999999</v>
      </c>
    </row>
    <row r="38" spans="2:4" ht="18.75" x14ac:dyDescent="0.25">
      <c r="B38" s="41">
        <v>17</v>
      </c>
      <c r="C38" s="155">
        <v>23.939</v>
      </c>
      <c r="D38" s="155">
        <v>23.939</v>
      </c>
    </row>
    <row r="39" spans="2:4" ht="18.75" x14ac:dyDescent="0.25">
      <c r="B39" s="41">
        <v>18</v>
      </c>
      <c r="C39" s="155">
        <v>24.126000000000001</v>
      </c>
      <c r="D39" s="155">
        <v>24.126000000000001</v>
      </c>
    </row>
    <row r="40" spans="2:4" ht="18.75" x14ac:dyDescent="0.25">
      <c r="B40" s="41">
        <v>19</v>
      </c>
      <c r="C40" s="155">
        <v>23.058</v>
      </c>
      <c r="D40" s="155">
        <v>23.058</v>
      </c>
    </row>
    <row r="41" spans="2:4" ht="18.75" x14ac:dyDescent="0.25">
      <c r="B41" s="41">
        <v>20</v>
      </c>
      <c r="C41" s="155">
        <v>22.934000000000001</v>
      </c>
      <c r="D41" s="155">
        <v>22.934000000000001</v>
      </c>
    </row>
    <row r="42" spans="2:4" ht="18.75" x14ac:dyDescent="0.25">
      <c r="B42" s="41">
        <v>21</v>
      </c>
      <c r="C42" s="155">
        <v>22.617000000000001</v>
      </c>
      <c r="D42" s="155">
        <v>22.617000000000001</v>
      </c>
    </row>
    <row r="43" spans="2:4" ht="18.75" x14ac:dyDescent="0.25">
      <c r="B43" s="41">
        <v>22</v>
      </c>
      <c r="C43" s="155">
        <v>24.719000000000001</v>
      </c>
      <c r="D43" s="155">
        <v>24.719000000000001</v>
      </c>
    </row>
    <row r="44" spans="2:4" ht="18.75" x14ac:dyDescent="0.25">
      <c r="B44" s="41">
        <v>23</v>
      </c>
      <c r="C44" s="155">
        <v>24.724</v>
      </c>
      <c r="D44" s="155">
        <v>24.724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23.700826086956528</v>
      </c>
      <c r="D46" s="160"/>
    </row>
    <row r="47" spans="2:4" ht="31.5" x14ac:dyDescent="0.25">
      <c r="B47" s="44" t="s">
        <v>48</v>
      </c>
      <c r="C47" s="43">
        <f>_xlfn.STDEV.S(C21:C45)</f>
        <v>0.65262300051185862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75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75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75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75" x14ac:dyDescent="0.25">
      <c r="A11" s="22" t="s">
        <v>40</v>
      </c>
      <c r="B11" s="152">
        <f>'FOM303-32-Imprimir'!C40</f>
        <v>46052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75" x14ac:dyDescent="0.25">
      <c r="A12" s="22" t="s">
        <v>42</v>
      </c>
      <c r="B12" s="152">
        <f>'FOM303-32-Imprimir'!E40</f>
        <v>46052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ht="12.95" customHeight="1" x14ac:dyDescent="0.25">
      <c r="B17" s="159" t="s">
        <v>45</v>
      </c>
      <c r="C17" s="159" t="s">
        <v>46</v>
      </c>
      <c r="D17" s="159"/>
      <c r="E17" s="25"/>
      <c r="G17" s="25"/>
    </row>
    <row r="18" spans="2:7" ht="12.95" customHeight="1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24.838000000000001</v>
      </c>
      <c r="D21" s="155">
        <v>24.838000000000001</v>
      </c>
    </row>
    <row r="22" spans="2:7" ht="18.75" x14ac:dyDescent="0.25">
      <c r="B22" s="41">
        <v>1</v>
      </c>
      <c r="C22" s="155">
        <v>24.536000000000001</v>
      </c>
      <c r="D22" s="155">
        <v>24.536000000000001</v>
      </c>
    </row>
    <row r="23" spans="2:7" ht="18.75" x14ac:dyDescent="0.25">
      <c r="B23" s="41">
        <v>2</v>
      </c>
      <c r="C23" s="155">
        <v>23.992999999999999</v>
      </c>
      <c r="D23" s="155">
        <v>23.992999999999999</v>
      </c>
    </row>
    <row r="24" spans="2:7" ht="18.75" x14ac:dyDescent="0.25">
      <c r="B24" s="41">
        <v>3</v>
      </c>
      <c r="C24" s="155">
        <v>24.018999999999998</v>
      </c>
      <c r="D24" s="155">
        <v>24.018999999999998</v>
      </c>
    </row>
    <row r="25" spans="2:7" ht="18.75" x14ac:dyDescent="0.25">
      <c r="B25" s="41">
        <v>4</v>
      </c>
      <c r="C25" s="155">
        <v>22.582000000000001</v>
      </c>
      <c r="D25" s="155">
        <v>22.582000000000001</v>
      </c>
    </row>
    <row r="26" spans="2:7" ht="18.75" x14ac:dyDescent="0.25">
      <c r="B26" s="41">
        <v>5</v>
      </c>
      <c r="C26" s="155">
        <v>23.155999999999999</v>
      </c>
      <c r="D26" s="155">
        <v>23.155999999999999</v>
      </c>
    </row>
    <row r="27" spans="2:7" ht="18.75" x14ac:dyDescent="0.25">
      <c r="B27" s="41">
        <v>6</v>
      </c>
      <c r="C27" s="155">
        <v>23.539000000000001</v>
      </c>
      <c r="D27" s="155">
        <v>23.539000000000001</v>
      </c>
    </row>
    <row r="28" spans="2:7" ht="18.75" x14ac:dyDescent="0.25">
      <c r="B28" s="41">
        <v>7</v>
      </c>
      <c r="C28" s="155">
        <v>23.686</v>
      </c>
      <c r="D28" s="155">
        <v>23.686</v>
      </c>
    </row>
    <row r="29" spans="2:7" ht="18.75" x14ac:dyDescent="0.25">
      <c r="B29" s="41">
        <v>8</v>
      </c>
      <c r="C29" s="155">
        <v>22.992999999999999</v>
      </c>
      <c r="D29" s="155">
        <v>22.992999999999999</v>
      </c>
    </row>
    <row r="30" spans="2:7" ht="18.75" x14ac:dyDescent="0.25">
      <c r="B30" s="41">
        <v>9</v>
      </c>
      <c r="C30" s="155">
        <v>22.664999999999999</v>
      </c>
      <c r="D30" s="155">
        <v>22.664999999999999</v>
      </c>
    </row>
    <row r="31" spans="2:7" ht="18.75" x14ac:dyDescent="0.25">
      <c r="B31" s="41">
        <v>10</v>
      </c>
      <c r="C31" s="155">
        <v>23.013000000000002</v>
      </c>
      <c r="D31" s="155">
        <v>23.013000000000002</v>
      </c>
    </row>
    <row r="32" spans="2:7" ht="18.75" x14ac:dyDescent="0.25">
      <c r="B32" s="41">
        <v>11</v>
      </c>
      <c r="C32" s="155">
        <v>23.173999999999999</v>
      </c>
      <c r="D32" s="155">
        <v>23.173999999999999</v>
      </c>
    </row>
    <row r="33" spans="2:4" ht="18.75" x14ac:dyDescent="0.25">
      <c r="B33" s="41">
        <v>12</v>
      </c>
      <c r="C33" s="155">
        <v>22.498000000000001</v>
      </c>
      <c r="D33" s="155">
        <v>22.498000000000001</v>
      </c>
    </row>
    <row r="34" spans="2:4" ht="18.75" x14ac:dyDescent="0.25">
      <c r="B34" s="41">
        <v>13</v>
      </c>
      <c r="C34" s="155">
        <v>21.803999999999998</v>
      </c>
      <c r="D34" s="155">
        <v>21.803999999999998</v>
      </c>
    </row>
    <row r="35" spans="2:4" ht="18.75" x14ac:dyDescent="0.25">
      <c r="B35" s="41">
        <v>14</v>
      </c>
      <c r="C35" s="155">
        <v>21.213000000000001</v>
      </c>
      <c r="D35" s="155">
        <v>21.213000000000001</v>
      </c>
    </row>
    <row r="36" spans="2:4" ht="18.75" x14ac:dyDescent="0.25">
      <c r="B36" s="41">
        <v>15</v>
      </c>
      <c r="C36" s="155">
        <v>21.231000000000002</v>
      </c>
      <c r="D36" s="155">
        <v>21.231000000000002</v>
      </c>
    </row>
    <row r="37" spans="2:4" ht="18.75" x14ac:dyDescent="0.25">
      <c r="B37" s="41">
        <v>16</v>
      </c>
      <c r="C37" s="155">
        <v>21.76</v>
      </c>
      <c r="D37" s="155">
        <v>21.76</v>
      </c>
    </row>
    <row r="38" spans="2:4" ht="18.75" x14ac:dyDescent="0.25">
      <c r="B38" s="41">
        <v>17</v>
      </c>
      <c r="C38" s="155">
        <v>21.952000000000002</v>
      </c>
      <c r="D38" s="155">
        <v>21.952000000000002</v>
      </c>
    </row>
    <row r="39" spans="2:4" ht="18.75" x14ac:dyDescent="0.25">
      <c r="B39" s="41">
        <v>18</v>
      </c>
      <c r="C39" s="155">
        <v>23.626000000000001</v>
      </c>
      <c r="D39" s="155">
        <v>23.626000000000001</v>
      </c>
    </row>
    <row r="40" spans="2:4" ht="18.75" x14ac:dyDescent="0.25">
      <c r="B40" s="41">
        <v>19</v>
      </c>
      <c r="C40" s="155">
        <v>23.376000000000001</v>
      </c>
      <c r="D40" s="155">
        <v>23.376000000000001</v>
      </c>
    </row>
    <row r="41" spans="2:4" ht="18.75" x14ac:dyDescent="0.25">
      <c r="B41" s="41">
        <v>20</v>
      </c>
      <c r="C41" s="155">
        <v>22.803999999999998</v>
      </c>
      <c r="D41" s="155">
        <v>22.803999999999998</v>
      </c>
    </row>
    <row r="42" spans="2:4" ht="18.75" x14ac:dyDescent="0.25">
      <c r="B42" s="41">
        <v>21</v>
      </c>
      <c r="C42" s="155">
        <v>22.794</v>
      </c>
      <c r="D42" s="155">
        <v>22.794</v>
      </c>
    </row>
    <row r="43" spans="2:4" ht="18.75" x14ac:dyDescent="0.25">
      <c r="B43" s="41">
        <v>22</v>
      </c>
      <c r="C43" s="155">
        <v>23.471</v>
      </c>
      <c r="D43" s="155">
        <v>23.471</v>
      </c>
    </row>
    <row r="44" spans="2:4" ht="18.75" x14ac:dyDescent="0.25">
      <c r="B44" s="41">
        <v>23</v>
      </c>
      <c r="C44" s="155">
        <v>24.545000000000002</v>
      </c>
      <c r="D44" s="155">
        <v>24.545000000000002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22.975217391304341</v>
      </c>
      <c r="D46" s="160"/>
    </row>
    <row r="47" spans="2:4" ht="31.5" x14ac:dyDescent="0.25">
      <c r="B47" s="44" t="s">
        <v>48</v>
      </c>
      <c r="C47" s="43">
        <f>_xlfn.STDEV.S(C21:C45)</f>
        <v>0.99262229195840324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tabSelected="1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137" t="s">
        <v>0</v>
      </c>
      <c r="C1" s="138"/>
      <c r="D1" s="138"/>
      <c r="E1" s="139"/>
      <c r="F1" s="140" t="s">
        <v>34</v>
      </c>
      <c r="G1" s="141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146" t="s">
        <v>2</v>
      </c>
      <c r="C2" s="147"/>
      <c r="D2" s="147"/>
      <c r="E2" s="148"/>
      <c r="F2" s="142"/>
      <c r="G2" s="143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149"/>
      <c r="C3" s="150"/>
      <c r="D3" s="150"/>
      <c r="E3" s="151"/>
      <c r="F3" s="144"/>
      <c r="G3" s="145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6" customHeight="1" x14ac:dyDescent="0.25">
      <c r="A7" s="20" t="s">
        <v>3</v>
      </c>
      <c r="B7" s="134" t="str" cm="1">
        <f t="array" ref="B7">'Dia 1'!B7:B7</f>
        <v>AEROCIVIL</v>
      </c>
      <c r="C7" s="135"/>
      <c r="D7" s="20" t="s">
        <v>5</v>
      </c>
      <c r="E7" s="136" t="str" cm="1">
        <f t="array" ref="E7">'Dia 1'!E7:E7</f>
        <v>Bogotá DC</v>
      </c>
      <c r="F7" s="136"/>
      <c r="G7" s="136"/>
    </row>
    <row r="8" spans="1:12" ht="15.6" customHeight="1" x14ac:dyDescent="0.25">
      <c r="A8" s="20" t="s">
        <v>36</v>
      </c>
      <c r="B8" s="134" t="str" cm="1">
        <f t="array" ref="B8">'Dia 1'!B8:B8</f>
        <v>CA4 Funza</v>
      </c>
      <c r="C8" s="135"/>
      <c r="D8" s="21" t="s">
        <v>10</v>
      </c>
      <c r="E8" s="136" t="str" cm="1">
        <f t="array" ref="E8">'Dia 1'!E8:E8</f>
        <v xml:space="preserve">Distrito Capital </v>
      </c>
      <c r="F8" s="136"/>
      <c r="G8" s="136"/>
    </row>
    <row r="9" spans="1:12" ht="15.6" customHeight="1" x14ac:dyDescent="0.25">
      <c r="A9" s="20" t="s">
        <v>9</v>
      </c>
      <c r="B9" s="134" cm="1">
        <f t="array" ref="B9">'Dia 1'!B9:B9</f>
        <v>2078871.8419999999</v>
      </c>
      <c r="C9" s="135"/>
      <c r="D9" s="21" t="s">
        <v>14</v>
      </c>
      <c r="E9" s="136" cm="1">
        <f t="array" ref="E9">'Dia 1'!E9:E9</f>
        <v>-4870008.2280000001</v>
      </c>
      <c r="F9" s="136"/>
      <c r="G9" s="136"/>
    </row>
    <row r="10" spans="1:12" ht="15.6" customHeight="1" x14ac:dyDescent="0.25">
      <c r="A10" s="20" t="s">
        <v>37</v>
      </c>
      <c r="B10" s="134" t="str" cm="1">
        <f t="array" ref="B10">'Dia 1'!B10:B10</f>
        <v>Leonardo Pérez</v>
      </c>
      <c r="C10" s="135"/>
      <c r="D10" s="20" t="s">
        <v>39</v>
      </c>
      <c r="E10" s="136" cm="1">
        <f t="array" ref="E10">'Dia 1'!E10:E10</f>
        <v>2550</v>
      </c>
      <c r="F10" s="136"/>
      <c r="G10" s="136"/>
    </row>
    <row r="11" spans="1:12" ht="15.6" customHeight="1" x14ac:dyDescent="0.25">
      <c r="A11" s="22" t="s">
        <v>40</v>
      </c>
      <c r="B11" s="152">
        <f>'FOM303-32-Imprimir'!C41</f>
        <v>46053</v>
      </c>
      <c r="C11" s="153"/>
      <c r="D11" s="23" t="s">
        <v>41</v>
      </c>
      <c r="E11" s="154" cm="1">
        <f t="array" ref="E11">'Dia 1'!E11:E11</f>
        <v>0</v>
      </c>
      <c r="F11" s="154"/>
      <c r="G11" s="154"/>
    </row>
    <row r="12" spans="1:12" ht="15.6" customHeight="1" x14ac:dyDescent="0.25">
      <c r="A12" s="22" t="s">
        <v>42</v>
      </c>
      <c r="B12" s="152">
        <f>'FOM303-32-Imprimir'!E41</f>
        <v>46053</v>
      </c>
      <c r="C12" s="153"/>
      <c r="D12" s="22" t="s">
        <v>43</v>
      </c>
      <c r="E12" s="154" cm="1">
        <f t="array" ref="E12">'Dia 1'!E12:E12</f>
        <v>0.95833333333333337</v>
      </c>
      <c r="F12" s="154"/>
      <c r="G12" s="154"/>
    </row>
    <row r="15" spans="1:12" x14ac:dyDescent="0.25">
      <c r="B15" s="158" t="s">
        <v>44</v>
      </c>
      <c r="C15" s="158"/>
      <c r="D15" s="158"/>
      <c r="E15" s="24"/>
    </row>
    <row r="16" spans="1:12" ht="12.75" customHeight="1" x14ac:dyDescent="0.25"/>
    <row r="17" spans="2:7" x14ac:dyDescent="0.25">
      <c r="B17" s="159" t="s">
        <v>45</v>
      </c>
      <c r="C17" s="159" t="s">
        <v>46</v>
      </c>
      <c r="D17" s="159"/>
      <c r="E17" s="25"/>
      <c r="G17" s="25"/>
    </row>
    <row r="18" spans="2:7" x14ac:dyDescent="0.25">
      <c r="B18" s="159"/>
      <c r="C18" s="159"/>
      <c r="D18" s="159"/>
      <c r="E18" s="25"/>
      <c r="G18" s="25"/>
    </row>
    <row r="19" spans="2:7" ht="18.75" customHeight="1" x14ac:dyDescent="0.25">
      <c r="B19" s="159"/>
      <c r="C19" s="159"/>
      <c r="D19" s="159"/>
    </row>
    <row r="20" spans="2:7" x14ac:dyDescent="0.25">
      <c r="B20" s="159"/>
      <c r="C20" s="159"/>
      <c r="D20" s="159"/>
    </row>
    <row r="21" spans="2:7" ht="18.75" x14ac:dyDescent="0.25">
      <c r="B21" s="41">
        <v>0</v>
      </c>
      <c r="C21" s="155">
        <v>24.477</v>
      </c>
      <c r="D21" s="155">
        <v>24.477</v>
      </c>
    </row>
    <row r="22" spans="2:7" ht="18.75" x14ac:dyDescent="0.25">
      <c r="B22" s="41">
        <v>1</v>
      </c>
      <c r="C22" s="155">
        <v>24.946999999999999</v>
      </c>
      <c r="D22" s="155">
        <v>24.946999999999999</v>
      </c>
    </row>
    <row r="23" spans="2:7" ht="18.75" x14ac:dyDescent="0.25">
      <c r="B23" s="41">
        <v>2</v>
      </c>
      <c r="C23" s="155">
        <v>23.658999999999999</v>
      </c>
      <c r="D23" s="155">
        <v>23.658999999999999</v>
      </c>
    </row>
    <row r="24" spans="2:7" ht="18.75" x14ac:dyDescent="0.25">
      <c r="B24" s="41">
        <v>3</v>
      </c>
      <c r="C24" s="155">
        <v>22.707999999999998</v>
      </c>
      <c r="D24" s="155">
        <v>22.707999999999998</v>
      </c>
    </row>
    <row r="25" spans="2:7" ht="18.75" x14ac:dyDescent="0.25">
      <c r="B25" s="41">
        <v>4</v>
      </c>
      <c r="C25" s="155">
        <v>23.925999999999998</v>
      </c>
      <c r="D25" s="155">
        <v>23.925999999999998</v>
      </c>
    </row>
    <row r="26" spans="2:7" ht="18.75" x14ac:dyDescent="0.25">
      <c r="B26" s="41">
        <v>5</v>
      </c>
      <c r="C26" s="155">
        <v>23.771000000000001</v>
      </c>
      <c r="D26" s="155">
        <v>23.771000000000001</v>
      </c>
    </row>
    <row r="27" spans="2:7" ht="18.75" x14ac:dyDescent="0.25">
      <c r="B27" s="41">
        <v>6</v>
      </c>
      <c r="C27" s="155">
        <v>24.37</v>
      </c>
      <c r="D27" s="155">
        <v>24.37</v>
      </c>
    </row>
    <row r="28" spans="2:7" ht="18.75" x14ac:dyDescent="0.25">
      <c r="B28" s="41">
        <v>7</v>
      </c>
      <c r="C28" s="155">
        <v>23.797000000000001</v>
      </c>
      <c r="D28" s="155">
        <v>23.797000000000001</v>
      </c>
    </row>
    <row r="29" spans="2:7" ht="18.75" x14ac:dyDescent="0.25">
      <c r="B29" s="41">
        <v>8</v>
      </c>
      <c r="C29" s="155">
        <v>23.808</v>
      </c>
      <c r="D29" s="155">
        <v>23.808</v>
      </c>
    </row>
    <row r="30" spans="2:7" ht="18.75" x14ac:dyDescent="0.25">
      <c r="B30" s="41">
        <v>9</v>
      </c>
      <c r="C30" s="155">
        <v>24.015000000000001</v>
      </c>
      <c r="D30" s="155">
        <v>24.015000000000001</v>
      </c>
    </row>
    <row r="31" spans="2:7" ht="18.75" x14ac:dyDescent="0.25">
      <c r="B31" s="41">
        <v>10</v>
      </c>
      <c r="C31" s="155">
        <v>23.276</v>
      </c>
      <c r="D31" s="155">
        <v>23.276</v>
      </c>
    </row>
    <row r="32" spans="2:7" ht="18.75" x14ac:dyDescent="0.25">
      <c r="B32" s="41">
        <v>11</v>
      </c>
      <c r="C32" s="155">
        <v>22.867000000000001</v>
      </c>
      <c r="D32" s="155">
        <v>22.867000000000001</v>
      </c>
    </row>
    <row r="33" spans="2:4" ht="18.75" x14ac:dyDescent="0.25">
      <c r="B33" s="41">
        <v>12</v>
      </c>
      <c r="C33" s="155">
        <v>22.963000000000001</v>
      </c>
      <c r="D33" s="155">
        <v>22.963000000000001</v>
      </c>
    </row>
    <row r="34" spans="2:4" ht="18.75" x14ac:dyDescent="0.25">
      <c r="B34" s="41">
        <v>13</v>
      </c>
      <c r="C34" s="155">
        <v>22.754000000000001</v>
      </c>
      <c r="D34" s="155">
        <v>22.754000000000001</v>
      </c>
    </row>
    <row r="35" spans="2:4" ht="18.75" x14ac:dyDescent="0.25">
      <c r="B35" s="41">
        <v>14</v>
      </c>
      <c r="C35" s="155">
        <v>22.113</v>
      </c>
      <c r="D35" s="155">
        <v>22.113</v>
      </c>
    </row>
    <row r="36" spans="2:4" ht="18.75" x14ac:dyDescent="0.25">
      <c r="B36" s="41">
        <v>15</v>
      </c>
      <c r="C36" s="155">
        <v>22.044</v>
      </c>
      <c r="D36" s="155">
        <v>22.044</v>
      </c>
    </row>
    <row r="37" spans="2:4" ht="18.75" x14ac:dyDescent="0.25">
      <c r="B37" s="41">
        <v>16</v>
      </c>
      <c r="C37" s="155">
        <v>21.754000000000001</v>
      </c>
      <c r="D37" s="155">
        <v>21.754000000000001</v>
      </c>
    </row>
    <row r="38" spans="2:4" ht="18.75" x14ac:dyDescent="0.25">
      <c r="B38" s="41">
        <v>17</v>
      </c>
      <c r="C38" s="155">
        <v>22.341000000000001</v>
      </c>
      <c r="D38" s="155">
        <v>22.341000000000001</v>
      </c>
    </row>
    <row r="39" spans="2:4" ht="18.75" x14ac:dyDescent="0.25">
      <c r="B39" s="41">
        <v>18</v>
      </c>
      <c r="C39" s="155">
        <v>23.684000000000001</v>
      </c>
      <c r="D39" s="155">
        <v>23.684000000000001</v>
      </c>
    </row>
    <row r="40" spans="2:4" ht="18.75" x14ac:dyDescent="0.25">
      <c r="B40" s="41">
        <v>19</v>
      </c>
      <c r="C40" s="155">
        <v>22.968</v>
      </c>
      <c r="D40" s="155">
        <v>22.968</v>
      </c>
    </row>
    <row r="41" spans="2:4" ht="18.75" x14ac:dyDescent="0.25">
      <c r="B41" s="41">
        <v>20</v>
      </c>
      <c r="C41" s="155">
        <v>22.655999999999999</v>
      </c>
      <c r="D41" s="155">
        <v>22.655999999999999</v>
      </c>
    </row>
    <row r="42" spans="2:4" ht="18.75" x14ac:dyDescent="0.25">
      <c r="B42" s="41">
        <v>21</v>
      </c>
      <c r="C42" s="155">
        <v>23.170999999999999</v>
      </c>
      <c r="D42" s="155">
        <v>23.170999999999999</v>
      </c>
    </row>
    <row r="43" spans="2:4" ht="18.75" x14ac:dyDescent="0.25">
      <c r="B43" s="41">
        <v>22</v>
      </c>
      <c r="C43" s="155">
        <v>22.728000000000002</v>
      </c>
      <c r="D43" s="155">
        <v>22.728000000000002</v>
      </c>
    </row>
    <row r="44" spans="2:4" ht="18.75" x14ac:dyDescent="0.25">
      <c r="B44" s="41">
        <v>23</v>
      </c>
      <c r="C44" s="155">
        <v>22.3</v>
      </c>
      <c r="D44" s="155">
        <v>22.3</v>
      </c>
    </row>
    <row r="45" spans="2:4" ht="18.75" x14ac:dyDescent="0.25">
      <c r="B45" s="41">
        <v>24</v>
      </c>
      <c r="C45" s="155"/>
      <c r="D45" s="155"/>
    </row>
    <row r="46" spans="2:4" ht="33.75" customHeight="1" x14ac:dyDescent="0.25">
      <c r="B46" s="42" t="s">
        <v>47</v>
      </c>
      <c r="C46" s="160">
        <f>AVERAGE(C22:C45)</f>
        <v>23.157391304347833</v>
      </c>
      <c r="D46" s="160"/>
    </row>
    <row r="47" spans="2:4" ht="31.5" x14ac:dyDescent="0.25">
      <c r="B47" s="44" t="s">
        <v>48</v>
      </c>
      <c r="C47" s="43">
        <f>_xlfn.STDEV.S(C21:C45)</f>
        <v>0.83614580653293258</v>
      </c>
      <c r="D47" s="45" t="s">
        <v>49</v>
      </c>
    </row>
    <row r="48" spans="2:4" ht="15.75" x14ac:dyDescent="0.25">
      <c r="B48" s="42" t="s">
        <v>50</v>
      </c>
      <c r="C48" s="161" t="str">
        <f>IF(ABS(C47)&gt;=2.5,"NO CUMPLE CON DS T°C DEL SHELTER"," CUMPLE CON DS T°C DEL SHELTER")</f>
        <v xml:space="preserve"> CUMPLE CON DS T°C DEL SHELTER</v>
      </c>
      <c r="D48" s="161"/>
    </row>
    <row r="50" spans="1:5" ht="15.75" x14ac:dyDescent="0.25">
      <c r="A50" s="162"/>
      <c r="B50" s="162"/>
      <c r="C50" s="162"/>
      <c r="D50" s="162"/>
      <c r="E50" s="16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27" customWidth="1"/>
    <col min="3" max="3" width="67.5703125" style="27" customWidth="1"/>
    <col min="4" max="16384" width="11.42578125" style="27"/>
  </cols>
  <sheetData>
    <row r="2" spans="1:3" ht="15" x14ac:dyDescent="0.25">
      <c r="A2" s="26" t="s">
        <v>51</v>
      </c>
    </row>
    <row r="4" spans="1:3" ht="15" x14ac:dyDescent="0.25">
      <c r="A4" s="28" t="s">
        <v>52</v>
      </c>
      <c r="B4" s="28" t="s">
        <v>53</v>
      </c>
      <c r="C4" s="28" t="s">
        <v>54</v>
      </c>
    </row>
    <row r="5" spans="1:3" x14ac:dyDescent="0.2">
      <c r="A5" s="29">
        <v>44278</v>
      </c>
      <c r="B5" s="30">
        <v>6</v>
      </c>
      <c r="C5" s="31" t="s">
        <v>55</v>
      </c>
    </row>
    <row r="6" spans="1:3" x14ac:dyDescent="0.2">
      <c r="A6" s="29">
        <v>45439</v>
      </c>
      <c r="B6" s="30">
        <v>7</v>
      </c>
      <c r="C6" s="31" t="s">
        <v>56</v>
      </c>
    </row>
    <row r="7" spans="1:3" x14ac:dyDescent="0.2">
      <c r="A7" s="29"/>
      <c r="B7" s="30"/>
      <c r="C7" s="31"/>
    </row>
    <row r="8" spans="1:3" x14ac:dyDescent="0.2">
      <c r="A8" s="29"/>
      <c r="B8" s="30"/>
      <c r="C8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