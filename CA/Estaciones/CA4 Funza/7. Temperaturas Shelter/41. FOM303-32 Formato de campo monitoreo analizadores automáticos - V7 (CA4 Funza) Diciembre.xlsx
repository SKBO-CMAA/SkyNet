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7. Temperaturas Shelter\"/>
    </mc:Choice>
  </mc:AlternateContent>
  <xr:revisionPtr revIDLastSave="0" documentId="8_{43FD98C3-CAC4-41BF-9965-4EADB937CDD7}" xr6:coauthVersionLast="47" xr6:coauthVersionMax="47" xr10:uidLastSave="{00000000-0000-0000-0000-000000000000}"/>
  <bookViews>
    <workbookView xWindow="20370" yWindow="-975" windowWidth="29040" windowHeight="15720" firstSheet="19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5" l="1"/>
  <c r="C47" i="5"/>
  <c r="C48" i="5" s="1"/>
  <c r="C46" i="21"/>
  <c r="C47" i="21"/>
  <c r="C48" i="21" s="1"/>
  <c r="E41" i="1"/>
  <c r="E12" i="34" a="1"/>
  <c r="E12" i="34" s="1"/>
  <c r="E11" i="34" a="1"/>
  <c r="E11" i="34" s="1"/>
  <c r="E10" i="34" a="1"/>
  <c r="E10" i="34" s="1"/>
  <c r="E9" i="34" a="1"/>
  <c r="E9" i="34" s="1"/>
  <c r="E8" i="34" a="1"/>
  <c r="E8" i="34" s="1"/>
  <c r="E7" i="34" a="1"/>
  <c r="E7" i="34" s="1"/>
  <c r="B12" i="34" a="1"/>
  <c r="B12" i="34" s="1"/>
  <c r="B11" i="34" a="1"/>
  <c r="B11" i="34" s="1"/>
  <c r="B10" i="34" a="1"/>
  <c r="B10" i="34" s="1"/>
  <c r="B9" i="34" a="1"/>
  <c r="B9" i="34" s="1"/>
  <c r="B8" i="34" a="1"/>
  <c r="B8" i="34" s="1"/>
  <c r="B7" i="34" a="1"/>
  <c r="B7" i="34" s="1"/>
  <c r="E12" i="33" a="1"/>
  <c r="E12" i="33" s="1"/>
  <c r="E11" i="33" a="1"/>
  <c r="E11" i="33" s="1"/>
  <c r="E10" i="33" a="1"/>
  <c r="E10" i="33" s="1"/>
  <c r="E9" i="33" a="1"/>
  <c r="E9" i="33" s="1"/>
  <c r="E8" i="33" a="1"/>
  <c r="E8" i="33" s="1"/>
  <c r="E7" i="33" a="1"/>
  <c r="E7" i="33" s="1"/>
  <c r="E12" i="32" a="1"/>
  <c r="E12" i="32" s="1"/>
  <c r="E11" i="32" a="1"/>
  <c r="E11" i="32" s="1"/>
  <c r="E10" i="32" a="1"/>
  <c r="E10" i="32" s="1"/>
  <c r="E9" i="32" a="1"/>
  <c r="E9" i="32" s="1"/>
  <c r="E8" i="32" a="1"/>
  <c r="E8" i="32" s="1"/>
  <c r="E7" i="32" a="1"/>
  <c r="E7" i="32" s="1"/>
  <c r="E12" i="31" a="1"/>
  <c r="E12" i="31" s="1"/>
  <c r="E11" i="31" a="1"/>
  <c r="E11" i="31" s="1"/>
  <c r="E10" i="31" a="1"/>
  <c r="E10" i="31" s="1"/>
  <c r="E9" i="31" a="1"/>
  <c r="E9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9" i="30" a="1"/>
  <c r="E9" i="30" s="1"/>
  <c r="E8" i="30" a="1"/>
  <c r="E8" i="30" s="1"/>
  <c r="E7" i="30" a="1"/>
  <c r="E7" i="30" s="1"/>
  <c r="E12" i="29" a="1"/>
  <c r="E12" i="29" s="1"/>
  <c r="E11" i="29" a="1"/>
  <c r="E11" i="29" s="1"/>
  <c r="E10" i="29" a="1"/>
  <c r="E10" i="29" s="1"/>
  <c r="E9" i="29" a="1"/>
  <c r="E9" i="29" s="1"/>
  <c r="E8" i="29" a="1"/>
  <c r="E8" i="29" s="1"/>
  <c r="E7" i="29" a="1"/>
  <c r="E7" i="29" s="1"/>
  <c r="E12" i="28" a="1"/>
  <c r="E12" i="28" s="1"/>
  <c r="E11" i="28"/>
  <c r="E11" i="28" a="1"/>
  <c r="E10" i="28" a="1"/>
  <c r="E10" i="28" s="1"/>
  <c r="E9" i="28" a="1"/>
  <c r="E9" i="28" s="1"/>
  <c r="E8" i="28" a="1"/>
  <c r="E8" i="28" s="1"/>
  <c r="E7" i="28" a="1"/>
  <c r="E7" i="28" s="1"/>
  <c r="E12" i="27" a="1"/>
  <c r="E12" i="27" s="1"/>
  <c r="E11" i="27" a="1"/>
  <c r="E11" i="27" s="1"/>
  <c r="E10" i="27" a="1"/>
  <c r="E10" i="27" s="1"/>
  <c r="E9" i="27" a="1"/>
  <c r="E9" i="27" s="1"/>
  <c r="E8" i="27" a="1"/>
  <c r="E8" i="27" s="1"/>
  <c r="E7" i="27" a="1"/>
  <c r="E7" i="27" s="1"/>
  <c r="E12" i="26" a="1"/>
  <c r="E12" i="26" s="1"/>
  <c r="E11" i="26" a="1"/>
  <c r="E11" i="26" s="1"/>
  <c r="E10" i="26" a="1"/>
  <c r="E10" i="26" s="1"/>
  <c r="E9" i="26" a="1"/>
  <c r="E9" i="26" s="1"/>
  <c r="E8" i="26" a="1"/>
  <c r="E8" i="26" s="1"/>
  <c r="E7" i="26" a="1"/>
  <c r="E7" i="26" s="1"/>
  <c r="E12" i="25" a="1"/>
  <c r="E12" i="25" s="1"/>
  <c r="E11" i="25" a="1"/>
  <c r="E11" i="25" s="1"/>
  <c r="E10" i="25" a="1"/>
  <c r="E10" i="25" s="1"/>
  <c r="E9" i="25" a="1"/>
  <c r="E9" i="25" s="1"/>
  <c r="E8" i="25" a="1"/>
  <c r="E8" i="25" s="1"/>
  <c r="E7" i="25" a="1"/>
  <c r="E7" i="25" s="1"/>
  <c r="E12" i="24" a="1"/>
  <c r="E12" i="24" s="1"/>
  <c r="E11" i="24" a="1"/>
  <c r="E11" i="24" s="1"/>
  <c r="E10" i="24" a="1"/>
  <c r="E10" i="24" s="1"/>
  <c r="E9" i="24"/>
  <c r="E9" i="24" a="1"/>
  <c r="E8" i="24" a="1"/>
  <c r="E8" i="24" s="1"/>
  <c r="E7" i="24" a="1"/>
  <c r="E7" i="24" s="1"/>
  <c r="E12" i="23"/>
  <c r="E12" i="23" a="1"/>
  <c r="E11" i="23" a="1"/>
  <c r="E11" i="23" s="1"/>
  <c r="E10" i="23" a="1"/>
  <c r="E10" i="23" s="1"/>
  <c r="E9" i="23" a="1"/>
  <c r="E9" i="23" s="1"/>
  <c r="E8" i="23" a="1"/>
  <c r="E8" i="23" s="1"/>
  <c r="E7" i="23" a="1"/>
  <c r="E7" i="23" s="1"/>
  <c r="E12" i="22"/>
  <c r="E12" i="22" a="1"/>
  <c r="E11" i="22" a="1"/>
  <c r="E11" i="22" s="1"/>
  <c r="E10" i="22" a="1"/>
  <c r="E10" i="22" s="1"/>
  <c r="E9" i="22" a="1"/>
  <c r="E9" i="22" s="1"/>
  <c r="E8" i="22" a="1"/>
  <c r="E8" i="22" s="1"/>
  <c r="E7" i="22" a="1"/>
  <c r="E7" i="22" s="1"/>
  <c r="E12" i="21"/>
  <c r="E12" i="21" a="1"/>
  <c r="E11" i="21" a="1"/>
  <c r="E11" i="21" s="1"/>
  <c r="E10" i="21" a="1"/>
  <c r="E10" i="21" s="1"/>
  <c r="E9" i="21" a="1"/>
  <c r="E9" i="21" s="1"/>
  <c r="E8" i="21" a="1"/>
  <c r="E8" i="21" s="1"/>
  <c r="E7" i="21" a="1"/>
  <c r="E7" i="21" s="1"/>
  <c r="E12" i="20" a="1"/>
  <c r="E12" i="20" s="1"/>
  <c r="E11" i="20" a="1"/>
  <c r="E11" i="20" s="1"/>
  <c r="E10" i="20" a="1"/>
  <c r="E10" i="20" s="1"/>
  <c r="E9" i="20" a="1"/>
  <c r="E9" i="20" s="1"/>
  <c r="E8" i="20" a="1"/>
  <c r="E8" i="20" s="1"/>
  <c r="E7" i="20" a="1"/>
  <c r="E7" i="20" s="1"/>
  <c r="B12" i="33" a="1"/>
  <c r="B12" i="33" s="1"/>
  <c r="B11" i="33" a="1"/>
  <c r="B11" i="33" s="1"/>
  <c r="B10" i="33" a="1"/>
  <c r="B10" i="33" s="1"/>
  <c r="B9" i="33" a="1"/>
  <c r="B9" i="33" s="1"/>
  <c r="B8" i="33" a="1"/>
  <c r="B8" i="33" s="1"/>
  <c r="B7" i="33" a="1"/>
  <c r="B7" i="33" s="1"/>
  <c r="B12" i="32" a="1"/>
  <c r="B12" i="32" s="1"/>
  <c r="B11" i="32" a="1"/>
  <c r="B11" i="32" s="1"/>
  <c r="B10" i="32" a="1"/>
  <c r="B10" i="32" s="1"/>
  <c r="B9" i="32" a="1"/>
  <c r="B9" i="32" s="1"/>
  <c r="B8" i="32" a="1"/>
  <c r="B8" i="32" s="1"/>
  <c r="B7" i="32" a="1"/>
  <c r="B7" i="32" s="1"/>
  <c r="B12" i="31" a="1"/>
  <c r="B12" i="31" s="1"/>
  <c r="B11" i="31" a="1"/>
  <c r="B11" i="31" s="1"/>
  <c r="B10" i="31" a="1"/>
  <c r="B10" i="31" s="1"/>
  <c r="B9" i="31" a="1"/>
  <c r="B9" i="31" s="1"/>
  <c r="B8" i="31" a="1"/>
  <c r="B8" i="31" s="1"/>
  <c r="B7" i="31" a="1"/>
  <c r="B7" i="31" s="1"/>
  <c r="B12" i="30" a="1"/>
  <c r="B12" i="30" s="1"/>
  <c r="B11" i="30" a="1"/>
  <c r="B11" i="30" s="1"/>
  <c r="B10" i="30" a="1"/>
  <c r="B10" i="30" s="1"/>
  <c r="B9" i="30" a="1"/>
  <c r="B9" i="30" s="1"/>
  <c r="B8" i="30" a="1"/>
  <c r="B8" i="30" s="1"/>
  <c r="B7" i="30" a="1"/>
  <c r="B7" i="30" s="1"/>
  <c r="B12" i="29" a="1"/>
  <c r="B12" i="29" s="1"/>
  <c r="B11" i="29" a="1"/>
  <c r="B11" i="29" s="1"/>
  <c r="B10" i="29"/>
  <c r="B10" i="29" a="1"/>
  <c r="B9" i="29" a="1"/>
  <c r="B9" i="29" s="1"/>
  <c r="B8" i="29" a="1"/>
  <c r="B8" i="29" s="1"/>
  <c r="B7" i="29" a="1"/>
  <c r="B7" i="29" s="1"/>
  <c r="B12" i="28" a="1"/>
  <c r="B12" i="28" s="1"/>
  <c r="B11" i="28" a="1"/>
  <c r="B11" i="28" s="1"/>
  <c r="B10" i="28" a="1"/>
  <c r="B10" i="28" s="1"/>
  <c r="B9" i="28" a="1"/>
  <c r="B9" i="28" s="1"/>
  <c r="B8" i="28" a="1"/>
  <c r="B8" i="28" s="1"/>
  <c r="B7" i="28" a="1"/>
  <c r="B7" i="28" s="1"/>
  <c r="B12" i="27" a="1"/>
  <c r="B12" i="27" s="1"/>
  <c r="B11" i="27" a="1"/>
  <c r="B11" i="27" s="1"/>
  <c r="B10" i="27" a="1"/>
  <c r="B10" i="27" s="1"/>
  <c r="B9" i="27" a="1"/>
  <c r="B9" i="27" s="1"/>
  <c r="B8" i="27" a="1"/>
  <c r="B8" i="27" s="1"/>
  <c r="B7" i="27" a="1"/>
  <c r="B7" i="27" s="1"/>
  <c r="B12" i="26" a="1"/>
  <c r="B12" i="26" s="1"/>
  <c r="B11" i="26" a="1"/>
  <c r="B11" i="26" s="1"/>
  <c r="B10" i="26" a="1"/>
  <c r="B10" i="26" s="1"/>
  <c r="B9" i="26"/>
  <c r="B9" i="26" a="1"/>
  <c r="B8" i="26" a="1"/>
  <c r="B8" i="26" s="1"/>
  <c r="B7" i="26" a="1"/>
  <c r="B7" i="26" s="1"/>
  <c r="B12" i="25" a="1"/>
  <c r="B12" i="25" s="1"/>
  <c r="B11" i="25" a="1"/>
  <c r="B11" i="25" s="1"/>
  <c r="B10" i="25" a="1"/>
  <c r="B10" i="25" s="1"/>
  <c r="B9" i="25" a="1"/>
  <c r="B9" i="25" s="1"/>
  <c r="B8" i="25" a="1"/>
  <c r="B8" i="25" s="1"/>
  <c r="B7" i="25" a="1"/>
  <c r="B7" i="25" s="1"/>
  <c r="B12" i="24" a="1"/>
  <c r="B12" i="24" s="1"/>
  <c r="B11" i="24" a="1"/>
  <c r="B11" i="24" s="1"/>
  <c r="B10" i="24" a="1"/>
  <c r="B10" i="24" s="1"/>
  <c r="B9" i="24" a="1"/>
  <c r="B9" i="24" s="1"/>
  <c r="B8" i="24" a="1"/>
  <c r="B8" i="24" s="1"/>
  <c r="B7" i="24" a="1"/>
  <c r="B7" i="24" s="1"/>
  <c r="B12" i="23" a="1"/>
  <c r="B12" i="23" s="1"/>
  <c r="B11" i="23" a="1"/>
  <c r="B11" i="23" s="1"/>
  <c r="B10" i="23" a="1"/>
  <c r="B10" i="23" s="1"/>
  <c r="B9" i="23" a="1"/>
  <c r="B9" i="23" s="1"/>
  <c r="B8" i="23" a="1"/>
  <c r="B8" i="23" s="1"/>
  <c r="B7" i="23" a="1"/>
  <c r="B7" i="23" s="1"/>
  <c r="B12" i="22" a="1"/>
  <c r="B12" i="22" s="1"/>
  <c r="B11" i="22" a="1"/>
  <c r="B11" i="22" s="1"/>
  <c r="B10" i="22" a="1"/>
  <c r="B10" i="22" s="1"/>
  <c r="B9" i="22" a="1"/>
  <c r="B9" i="22" s="1"/>
  <c r="B8" i="22" a="1"/>
  <c r="B8" i="22" s="1"/>
  <c r="B7" i="22" a="1"/>
  <c r="B7" i="22" s="1"/>
  <c r="B12" i="21" a="1"/>
  <c r="B12" i="21" s="1"/>
  <c r="B11" i="21" a="1"/>
  <c r="B11" i="21" s="1"/>
  <c r="B10" i="21" a="1"/>
  <c r="B10" i="21" s="1"/>
  <c r="B9" i="21" a="1"/>
  <c r="B9" i="21" s="1"/>
  <c r="B8" i="21" a="1"/>
  <c r="B8" i="21" s="1"/>
  <c r="B7" i="21" a="1"/>
  <c r="B7" i="21" s="1"/>
  <c r="B12" i="20" a="1"/>
  <c r="B12" i="20" s="1"/>
  <c r="B11" i="20" a="1"/>
  <c r="B11" i="20" s="1"/>
  <c r="B10" i="20" a="1"/>
  <c r="B10" i="20" s="1"/>
  <c r="B9" i="20" a="1"/>
  <c r="B9" i="20" s="1"/>
  <c r="B8" i="20" a="1"/>
  <c r="B8" i="20" s="1"/>
  <c r="B7" i="20" a="1"/>
  <c r="B7" i="20" s="1"/>
  <c r="E8" i="19" a="1"/>
  <c r="E8" i="19" s="1"/>
  <c r="E9" i="19" a="1"/>
  <c r="E9" i="19" s="1"/>
  <c r="E10" i="19" a="1"/>
  <c r="E10" i="19" s="1"/>
  <c r="E11" i="19" a="1"/>
  <c r="E11" i="19"/>
  <c r="E12" i="19" a="1"/>
  <c r="E12" i="19" s="1"/>
  <c r="E7" i="19" a="1"/>
  <c r="E7" i="19" s="1"/>
  <c r="B8" i="19" a="1"/>
  <c r="B8" i="19" s="1"/>
  <c r="B9" i="19" a="1"/>
  <c r="B9" i="19" s="1"/>
  <c r="B10" i="19" a="1"/>
  <c r="B10" i="19"/>
  <c r="B11" i="19" a="1"/>
  <c r="B11" i="19"/>
  <c r="B12" i="19" a="1"/>
  <c r="B12" i="19" s="1"/>
  <c r="B7" i="19" a="1"/>
  <c r="B7" i="19" s="1"/>
  <c r="E8" i="18" a="1"/>
  <c r="E8" i="18"/>
  <c r="E9" i="18" a="1"/>
  <c r="E9" i="18" s="1"/>
  <c r="E10" i="18" a="1"/>
  <c r="E10" i="18"/>
  <c r="E11" i="18" a="1"/>
  <c r="E11" i="18"/>
  <c r="E12" i="18" a="1"/>
  <c r="E12" i="18"/>
  <c r="E7" i="18" a="1"/>
  <c r="E7" i="18" s="1"/>
  <c r="B8" i="18" a="1"/>
  <c r="B8" i="18" s="1"/>
  <c r="B9" i="18" a="1"/>
  <c r="B9" i="18" s="1"/>
  <c r="B10" i="18" a="1"/>
  <c r="B10" i="18" s="1"/>
  <c r="B11" i="18" a="1"/>
  <c r="B11" i="18" s="1"/>
  <c r="B12" i="18" a="1"/>
  <c r="B12" i="18" s="1"/>
  <c r="B7" i="18" a="1"/>
  <c r="B7" i="18"/>
  <c r="E8" i="17" a="1"/>
  <c r="E8" i="17" s="1"/>
  <c r="E9" i="17" a="1"/>
  <c r="E9" i="17" s="1"/>
  <c r="E10" i="17" a="1"/>
  <c r="E10" i="17"/>
  <c r="E11" i="17" a="1"/>
  <c r="E11" i="17"/>
  <c r="E12" i="17" a="1"/>
  <c r="E12" i="17" s="1"/>
  <c r="E7" i="17" a="1"/>
  <c r="E7" i="17" s="1"/>
  <c r="B8" i="17" a="1"/>
  <c r="B8" i="17" s="1"/>
  <c r="B9" i="17" a="1"/>
  <c r="B9" i="17" s="1"/>
  <c r="B10" i="17" a="1"/>
  <c r="B10" i="17" s="1"/>
  <c r="B11" i="17" a="1"/>
  <c r="B11" i="17"/>
  <c r="B12" i="17" a="1"/>
  <c r="B12" i="17" s="1"/>
  <c r="B7" i="17" a="1"/>
  <c r="B7" i="17" s="1"/>
  <c r="E8" i="16" a="1"/>
  <c r="E8" i="16"/>
  <c r="E9" i="16" a="1"/>
  <c r="E9" i="16" s="1"/>
  <c r="E10" i="16" a="1"/>
  <c r="E10" i="16" s="1"/>
  <c r="E11" i="16" a="1"/>
  <c r="E11" i="16"/>
  <c r="E12" i="16" a="1"/>
  <c r="E12" i="16" s="1"/>
  <c r="E7" i="16" a="1"/>
  <c r="E7" i="16" s="1"/>
  <c r="B8" i="16" a="1"/>
  <c r="B8" i="16" s="1"/>
  <c r="B9" i="16" a="1"/>
  <c r="B9" i="16" s="1"/>
  <c r="B10" i="16" a="1"/>
  <c r="B10" i="16"/>
  <c r="B11" i="16" a="1"/>
  <c r="B11" i="16" s="1"/>
  <c r="B12" i="16" a="1"/>
  <c r="B12" i="16" s="1"/>
  <c r="B7" i="16" a="1"/>
  <c r="B7" i="16" s="1"/>
  <c r="E8" i="15" a="1"/>
  <c r="E8" i="15" s="1"/>
  <c r="E9" i="15" a="1"/>
  <c r="E9" i="15" s="1"/>
  <c r="E10" i="15" a="1"/>
  <c r="E10" i="15"/>
  <c r="E11" i="15" a="1"/>
  <c r="E11" i="15"/>
  <c r="E12" i="15" a="1"/>
  <c r="E12" i="15" s="1"/>
  <c r="E7" i="15" a="1"/>
  <c r="E7" i="15"/>
  <c r="B12" i="15" a="1"/>
  <c r="B12" i="15" s="1"/>
  <c r="B8" i="15" a="1"/>
  <c r="B8" i="15" s="1"/>
  <c r="B9" i="15" a="1"/>
  <c r="B9" i="15" s="1"/>
  <c r="B10" i="15" a="1"/>
  <c r="B10" i="15" s="1"/>
  <c r="B11" i="15" a="1"/>
  <c r="B11" i="15" s="1"/>
  <c r="B7" i="15" a="1"/>
  <c r="B7" i="15" s="1"/>
  <c r="E8" i="14" a="1"/>
  <c r="E8" i="14" s="1"/>
  <c r="E9" i="14" a="1"/>
  <c r="E9" i="14" s="1"/>
  <c r="E10" i="14" a="1"/>
  <c r="E10" i="14" s="1"/>
  <c r="E11" i="14" a="1"/>
  <c r="E11" i="14" s="1"/>
  <c r="E12" i="14" a="1"/>
  <c r="E12" i="14" s="1"/>
  <c r="E7" i="14" a="1"/>
  <c r="E7" i="14"/>
  <c r="B8" i="14" a="1"/>
  <c r="B8" i="14"/>
  <c r="B9" i="14" a="1"/>
  <c r="B9" i="14" s="1"/>
  <c r="B10" i="14" a="1"/>
  <c r="B10" i="14" s="1"/>
  <c r="B11" i="14" a="1"/>
  <c r="B11" i="14" s="1"/>
  <c r="B12" i="14" a="1"/>
  <c r="B12" i="14" s="1"/>
  <c r="B7" i="14" a="1"/>
  <c r="B7" i="14" s="1"/>
  <c r="E8" i="13" a="1"/>
  <c r="E8" i="13" s="1"/>
  <c r="E9" i="13" a="1"/>
  <c r="E9" i="13" s="1"/>
  <c r="E10" i="13" a="1"/>
  <c r="E10" i="13"/>
  <c r="E11" i="13" a="1"/>
  <c r="E11" i="13"/>
  <c r="E12" i="13" a="1"/>
  <c r="E12" i="13" s="1"/>
  <c r="E7" i="13" a="1"/>
  <c r="E7" i="13" s="1"/>
  <c r="B8" i="13" a="1"/>
  <c r="B8" i="13" s="1"/>
  <c r="B9" i="13" a="1"/>
  <c r="B9" i="13" s="1"/>
  <c r="B10" i="13" a="1"/>
  <c r="B10" i="13"/>
  <c r="B11" i="13" a="1"/>
  <c r="B11" i="13" s="1"/>
  <c r="B12" i="13" a="1"/>
  <c r="B12" i="13" s="1"/>
  <c r="B7" i="13" a="1"/>
  <c r="B7" i="13" s="1"/>
  <c r="E8" i="12" a="1"/>
  <c r="E8" i="12" s="1"/>
  <c r="E9" i="12" a="1"/>
  <c r="E9" i="12" s="1"/>
  <c r="E10" i="12" a="1"/>
  <c r="E10" i="12" s="1"/>
  <c r="E11" i="12" a="1"/>
  <c r="E11" i="12" s="1"/>
  <c r="E12" i="12" a="1"/>
  <c r="E12" i="12" s="1"/>
  <c r="E7" i="12" a="1"/>
  <c r="E7" i="12" s="1"/>
  <c r="B8" i="12" a="1"/>
  <c r="B8" i="12" s="1"/>
  <c r="B9" i="12" a="1"/>
  <c r="B9" i="12" s="1"/>
  <c r="B10" i="12" a="1"/>
  <c r="B10" i="12"/>
  <c r="B11" i="12" a="1"/>
  <c r="B11" i="12"/>
  <c r="B12" i="12" a="1"/>
  <c r="B12" i="12" s="1"/>
  <c r="B7" i="12" a="1"/>
  <c r="B7" i="12" s="1"/>
  <c r="E8" i="11" a="1"/>
  <c r="E8" i="11" s="1"/>
  <c r="E9" i="11" a="1"/>
  <c r="E9" i="11" s="1"/>
  <c r="E10" i="11" a="1"/>
  <c r="E10" i="11" s="1"/>
  <c r="E11" i="11" a="1"/>
  <c r="E11" i="11"/>
  <c r="E12" i="11" a="1"/>
  <c r="E12" i="11" s="1"/>
  <c r="E7" i="11" a="1"/>
  <c r="E7" i="11" s="1"/>
  <c r="B8" i="11" a="1"/>
  <c r="B8" i="11"/>
  <c r="B9" i="11" a="1"/>
  <c r="B9" i="11" s="1"/>
  <c r="B10" i="11" a="1"/>
  <c r="B10" i="11" s="1"/>
  <c r="B11" i="11" a="1"/>
  <c r="B11" i="11"/>
  <c r="B12" i="11" a="1"/>
  <c r="B12" i="11" s="1"/>
  <c r="B7" i="11" a="1"/>
  <c r="B7" i="11" s="1"/>
  <c r="E8" i="10" a="1"/>
  <c r="E8" i="10" s="1"/>
  <c r="E9" i="10" a="1"/>
  <c r="E9" i="10" s="1"/>
  <c r="E10" i="10" a="1"/>
  <c r="E10" i="10" s="1"/>
  <c r="E11" i="10" a="1"/>
  <c r="E11" i="10" s="1"/>
  <c r="E12" i="10" a="1"/>
  <c r="E12" i="10" s="1"/>
  <c r="E7" i="10" a="1"/>
  <c r="E7" i="10" s="1"/>
  <c r="B8" i="10" a="1"/>
  <c r="B8" i="10" s="1"/>
  <c r="B9" i="10" a="1"/>
  <c r="B9" i="10" s="1"/>
  <c r="B10" i="10" a="1"/>
  <c r="B10" i="10"/>
  <c r="B11" i="10" a="1"/>
  <c r="B11" i="10" s="1"/>
  <c r="B12" i="10" a="1"/>
  <c r="B12" i="10" s="1"/>
  <c r="B7" i="10" a="1"/>
  <c r="B7" i="10" s="1"/>
  <c r="E8" i="9" a="1"/>
  <c r="E8" i="9" s="1"/>
  <c r="E9" i="9" a="1"/>
  <c r="E9" i="9" s="1"/>
  <c r="E10" i="9" a="1"/>
  <c r="E10" i="9"/>
  <c r="E11" i="9" a="1"/>
  <c r="E11" i="9"/>
  <c r="E7" i="9" a="1"/>
  <c r="E7" i="9" s="1"/>
  <c r="B8" i="9" a="1"/>
  <c r="B8" i="9" s="1"/>
  <c r="B9" i="9" a="1"/>
  <c r="B9" i="9" s="1"/>
  <c r="B10" i="9" a="1"/>
  <c r="B10" i="9" s="1"/>
  <c r="B11" i="9" a="1"/>
  <c r="B11" i="9" s="1"/>
  <c r="B12" i="9" a="1"/>
  <c r="B12" i="9" s="1"/>
  <c r="B7" i="9" a="1"/>
  <c r="B7" i="9" s="1"/>
  <c r="E8" i="8" a="1"/>
  <c r="E8" i="8" s="1"/>
  <c r="E9" i="8" a="1"/>
  <c r="E9" i="8"/>
  <c r="E10" i="8" a="1"/>
  <c r="E10" i="8"/>
  <c r="E11" i="8" a="1"/>
  <c r="E11" i="8"/>
  <c r="E12" i="8" a="1"/>
  <c r="E12" i="8"/>
  <c r="E7" i="8" a="1"/>
  <c r="E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B7" i="8" a="1"/>
  <c r="B7" i="8" s="1"/>
  <c r="E8" i="3" a="1"/>
  <c r="E8" i="3" s="1"/>
  <c r="E9" i="3" a="1"/>
  <c r="E9" i="3" s="1"/>
  <c r="E10" i="3" a="1"/>
  <c r="E10" i="3" s="1"/>
  <c r="E11" i="3" a="1"/>
  <c r="E11" i="3"/>
  <c r="E12" i="3" a="1"/>
  <c r="E12" i="3"/>
  <c r="E7" i="3" a="1"/>
  <c r="E7" i="3" s="1"/>
  <c r="B8" i="3" a="1"/>
  <c r="B8" i="3"/>
  <c r="B9" i="3" a="1"/>
  <c r="B9" i="3" s="1"/>
  <c r="B10" i="3" a="1"/>
  <c r="B10" i="3"/>
  <c r="B11" i="3" a="1"/>
  <c r="B11" i="3"/>
  <c r="B12" i="3" a="1"/>
  <c r="B12" i="3"/>
  <c r="B7" i="3" a="1"/>
  <c r="B7" i="3" s="1"/>
  <c r="E8" i="7" a="1"/>
  <c r="E8" i="7" s="1"/>
  <c r="E9" i="7" a="1"/>
  <c r="E9" i="7"/>
  <c r="E10" i="7" a="1"/>
  <c r="E10" i="7"/>
  <c r="E11" i="7" a="1"/>
  <c r="E11" i="7"/>
  <c r="E12" i="7" a="1"/>
  <c r="E12" i="7" s="1"/>
  <c r="E7" i="7" a="1"/>
  <c r="E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7" i="7" a="1"/>
  <c r="B7" i="7" s="1"/>
  <c r="E8" i="6" a="1"/>
  <c r="E8" i="6"/>
  <c r="E9" i="6" a="1"/>
  <c r="E9" i="6"/>
  <c r="E10" i="6" a="1"/>
  <c r="E10" i="6" s="1"/>
  <c r="E11" i="6" a="1"/>
  <c r="E11" i="6"/>
  <c r="E12" i="6" a="1"/>
  <c r="E12" i="6"/>
  <c r="E7" i="6" a="1"/>
  <c r="E7" i="6" s="1"/>
  <c r="B10" i="6" a="1"/>
  <c r="B10" i="6" s="1"/>
  <c r="B11" i="6" a="1"/>
  <c r="B11" i="6" s="1"/>
  <c r="B12" i="6" a="1"/>
  <c r="B12" i="6" s="1"/>
  <c r="B9" i="6" a="1"/>
  <c r="B9" i="6" s="1"/>
  <c r="B8" i="6" a="1"/>
  <c r="B8" i="6" s="1"/>
  <c r="B7" i="6" a="1"/>
  <c r="B7" i="6" s="1"/>
  <c r="E9" i="5" a="1"/>
  <c r="E9" i="5" s="1"/>
  <c r="E8" i="5" a="1"/>
  <c r="E8" i="5" s="1"/>
  <c r="E7" i="5" a="1"/>
  <c r="E7" i="5" s="1"/>
  <c r="B9" i="5" a="1"/>
  <c r="B9" i="5" s="1"/>
  <c r="C47" i="34"/>
  <c r="C48" i="34" s="1"/>
  <c r="C46" i="34"/>
  <c r="E4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1" i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7" i="6"/>
  <c r="C48" i="6" s="1"/>
  <c r="C46" i="6"/>
  <c r="C46" i="3"/>
  <c r="C47" i="3"/>
  <c r="C48" i="3" s="1"/>
  <c r="G17" i="1"/>
  <c r="G15" i="1"/>
  <c r="G39" i="1"/>
  <c r="G12" i="1"/>
  <c r="G35" i="1"/>
  <c r="G21" i="1"/>
  <c r="G24" i="1"/>
  <c r="G16" i="1"/>
  <c r="G29" i="1"/>
  <c r="G31" i="1"/>
  <c r="G38" i="1"/>
  <c r="G14" i="1"/>
  <c r="G13" i="1"/>
  <c r="G11" i="1"/>
  <c r="G32" i="1"/>
  <c r="G33" i="1"/>
  <c r="G28" i="1"/>
  <c r="G27" i="1"/>
  <c r="G20" i="1"/>
  <c r="G36" i="1"/>
  <c r="G18" i="1"/>
  <c r="G19" i="1"/>
  <c r="G22" i="1"/>
  <c r="G41" i="1"/>
  <c r="G25" i="1"/>
  <c r="G40" i="1"/>
  <c r="G34" i="1"/>
  <c r="G37" i="1"/>
  <c r="G26" i="1"/>
  <c r="G23" i="1"/>
  <c r="G30" i="1"/>
  <c r="H41" i="1" l="1" a="1"/>
  <c r="H37" i="1" a="1"/>
  <c r="H20" i="1" a="1"/>
  <c r="H14" i="1" a="1"/>
  <c r="H36" i="1" a="1"/>
  <c r="H13" i="1" a="1"/>
  <c r="H28" i="1" a="1"/>
  <c r="H39" i="1" a="1"/>
  <c r="H33" i="1" a="1"/>
  <c r="H35" i="1" a="1"/>
  <c r="H27" i="1" a="1"/>
  <c r="H30" i="1" a="1"/>
  <c r="H26" i="1" a="1"/>
  <c r="H40" i="1" a="1"/>
  <c r="H21" i="1" a="1"/>
  <c r="H11" i="1" a="1"/>
  <c r="H25" i="1" a="1"/>
  <c r="H16" i="1" a="1"/>
  <c r="H38" i="1" a="1"/>
  <c r="H19" i="1" a="1"/>
  <c r="H31" i="1" a="1"/>
  <c r="H12" i="1" a="1"/>
  <c r="H34" i="1" a="1"/>
  <c r="H29" i="1" a="1"/>
  <c r="H24" i="1" a="1"/>
  <c r="H18" i="1" a="1"/>
  <c r="H23" i="1" a="1"/>
  <c r="H15" i="1" a="1"/>
  <c r="H22" i="1" a="1"/>
  <c r="H32" i="1" a="1"/>
  <c r="H17" i="1" a="1"/>
  <c r="H17" i="1" l="1"/>
  <c r="H32" i="1"/>
  <c r="H22" i="1"/>
  <c r="H15" i="1"/>
  <c r="H23" i="1"/>
  <c r="H18" i="1"/>
  <c r="H24" i="1"/>
  <c r="H29" i="1"/>
  <c r="H34" i="1"/>
  <c r="H12" i="1"/>
  <c r="H31" i="1"/>
  <c r="H19" i="1"/>
  <c r="H38" i="1"/>
  <c r="H16" i="1"/>
  <c r="H25" i="1"/>
  <c r="H11" i="1"/>
  <c r="H21" i="1"/>
  <c r="H40" i="1"/>
  <c r="H26" i="1"/>
  <c r="H30" i="1"/>
  <c r="H27" i="1"/>
  <c r="H35" i="1"/>
  <c r="H33" i="1"/>
  <c r="H39" i="1"/>
  <c r="H28" i="1"/>
  <c r="H13" i="1"/>
  <c r="H36" i="1"/>
  <c r="H14" i="1"/>
  <c r="H20" i="1"/>
  <c r="H37" i="1"/>
  <c r="H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C11" authorId="0" shapeId="0" xr:uid="{00185C22-1622-453E-8938-AA6B44E63A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2227087-2AAD-46B9-BE0F-B2DE0BBAE0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B677C97-601F-4CCC-BB84-DC1566044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9303A3-2978-4D77-8873-5A0DDA6642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6151AB-B0CA-467E-A953-7B9E6CE301F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B2C22D-61BF-4387-AB00-112802EC0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4ABCC3-FCEC-4867-9861-EF08ACA2CD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44164-F867-4878-B6DA-9E11C123E51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B4F4CAB-74DF-4369-9AF4-68A8A4A363A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B2267F-4823-4C82-B91E-C427A814540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4E7ECD-1862-429A-8004-196FAB9BBF0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D080292-643B-4725-966A-60173C1D583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D76DB8B-1958-48B2-8670-627F1432F8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7D00C-88EA-4D76-B75F-425E267887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6F749D-425A-4A02-B840-B614C70A787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5BB10C-3DF5-4A11-A992-131659D027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A2E69A7-05C5-4A00-B04C-03B220EB09B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A27259F-DCA7-4ADE-B616-B099ACB3F0F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A315767-7F7A-4FE7-B1E9-574DA23979B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CA3CEB6-B8B9-458C-9771-96A37C646CC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03A0060-490C-45DC-9689-A9BBF00EE34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1810F03-7BE1-47E6-88B4-C5317DE08FD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91D3D13-2A79-4605-99AD-85A8FD6D22D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B870BF7-CC41-4E29-A17D-BF5FCF9486A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D099671-8EEB-494A-B9D0-C35385D53F7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D861ECB-8622-4725-80A0-E1260F383F1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2529C07-2144-491F-BC46-B43056F2F79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12A8D26-4B83-4E8E-90DE-D92981EB1D1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39C7255-D6EC-4ABC-B7CD-B3A81C5862F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FCB16B3-42D0-425B-A8EB-308AAEACB3F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2F8429D-30E1-46B8-A608-DF1B1DEE7AB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D5E57AE-DEB7-49B4-A72D-A235FA19E28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281EC74-C88E-43B3-A7DC-48ABC4AB99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12D02A-968A-41F6-BFCE-3560B49FEEC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7F5CF41-5E15-4DF2-B935-73362070B68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6D0806B-86BC-4B3A-AD25-74960768E8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803B3CD-0728-428B-95A8-7753E4C7369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A130D6E-9509-44CC-9CA9-17D3AD13C56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D44C84A-5535-407C-BE63-71E9334CAB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6C9DF50-D7CC-4D14-960B-9E2AC7E1B51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FFB689D-EA2E-491F-9CD8-F589E35446A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C6CB765-FB69-4266-B983-8D90F1E296B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CBE7291-C12B-4514-AC44-6739E3BE315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E9B0560-6531-4B6F-847D-D4A551F6B12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F6B03CB-EE3F-40B2-B9A6-3C22811761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74F6F40-EE14-4241-B53E-47C4268F138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539EDC3-367B-407B-95CA-C6C491EE4FF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8A45A78-5AD0-4AEF-830A-ABE67D02AB1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D85576-C346-44FD-935A-D89ADFFD9FD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C35EC96-A594-41E0-B8E8-C627001B86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A000798-E5DE-4A62-A5A0-FF888BDCF9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5F17604-B1C9-4741-A701-2671E874D07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4B2F789-6A2F-4F44-8B10-305F2E0F5F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<sst xmlns="http://schemas.openxmlformats.org/spreadsheetml/2006/main" count="757" uniqueCount="57">
  <si>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</si>
  <si>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</si>
  <si>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</si>
  <si>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</si>
  <si>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</si>
  <si>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</si>
  <si>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</si>
  <si>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</si>
  <si>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</si>
  <si>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</si>
  <si>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</si>
  <si>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</si>
  <si>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</si>
  <si>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TAEEET-3595-22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</si>
  <si>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</si>
  <si>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</si>
  <si>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</si>
  <si>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</si>
  <si>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</si>
  <si>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</si>
  <si>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</si>
  <si>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</si>
  <si>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</si>
  <si>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CA4 Funza</t>
  </si>
  <si>
    <t>Elaboró:</t>
  </si>
  <si>
    <t>Alexander Diaz Herrera</t>
  </si>
  <si>
    <t xml:space="preserve">Revisó </t>
  </si>
  <si>
    <t>Verificó:</t>
  </si>
  <si>
    <t>Leonardo Perez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</si>
  <si>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</si>
  <si>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</si>
  <si>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</si>
  <si>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</si>
  <si>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</si>
  <si>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</si>
  <si>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AEROCIVIL</t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</si>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</sst>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1" xfId="0" applyFont="1" applyBorder="1" applyAlignment="1" applyProtection="1">
      <alignment horizontal="center" vertical="center"/>
      <protection locked="0"/>
    </xf>
    <xf numFmtId="164" fontId="0" fillId="0" borderId="3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5" fillId="5" borderId="41" xfId="1" applyFont="1" applyFill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/>
    </xf>
    <xf numFmtId="164" fontId="13" fillId="0" borderId="41" xfId="1" applyNumberFormat="1" applyFont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 wrapText="1"/>
    </xf>
    <xf numFmtId="1" fontId="14" fillId="6" borderId="41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0" fillId="0" borderId="46" xfId="0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/>
    </xf>
    <xf numFmtId="20" fontId="0" fillId="0" borderId="46" xfId="0" applyNumberForma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23" fillId="0" borderId="42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52" xfId="0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20" fontId="0" fillId="0" borderId="52" xfId="0" applyNumberFormat="1" applyBorder="1" applyAlignment="1">
      <alignment horizontal="center" vertical="center"/>
    </xf>
    <xf numFmtId="164" fontId="0" fillId="0" borderId="53" xfId="0" applyNumberFormat="1" applyBorder="1" applyAlignment="1">
      <alignment horizontal="center" vertical="center"/>
    </xf>
    <xf numFmtId="0" fontId="0" fillId="0" borderId="44" xfId="0" applyBorder="1"/>
    <xf numFmtId="0" fontId="5" fillId="0" borderId="55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58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58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0" fillId="0" borderId="4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0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0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59" xfId="1" applyNumberFormat="1" applyFont="1" applyFill="1" applyBorder="1" applyAlignment="1" applyProtection="1">
      <alignment horizontal="center" vertical="center"/>
      <protection locked="0"/>
    </xf>
    <xf numFmtId="164" fontId="14" fillId="3" borderId="60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1" xfId="1" applyFont="1" applyFill="1" applyBorder="1" applyAlignment="1">
      <alignment horizontal="center" vertical="center" wrapText="1"/>
    </xf>
    <xf numFmtId="164" fontId="13" fillId="0" borderId="59" xfId="1" applyNumberFormat="1" applyFont="1" applyBorder="1" applyAlignment="1">
      <alignment horizontal="center" vertical="center"/>
    </xf>
    <xf numFmtId="164" fontId="13" fillId="0" borderId="60" xfId="1" applyNumberFormat="1" applyFont="1" applyBorder="1" applyAlignment="1">
      <alignment horizontal="center" vertical="center"/>
    </xf>
    <xf numFmtId="0" fontId="16" fillId="0" borderId="59" xfId="1" applyFont="1" applyBorder="1" applyAlignment="1">
      <alignment horizontal="center" vertical="center"/>
    </xf>
    <xf numFmtId="0" fontId="16" fillId="0" borderId="60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4" fontId="14" fillId="3" borderId="5" xfId="1" applyNumberFormat="1" applyFont="1" applyFill="1" applyBorder="1" applyAlignment="1" applyProtection="1">
      <alignment horizontal="center" vertical="center"/>
      <protection locked="0"/>
    </xf>
    <xf numFmtId="14" fontId="14" fillId="3" borderId="40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0" fontId="16" fillId="0" borderId="41" xfId="1" applyFont="1" applyBorder="1" applyAlignment="1">
      <alignment horizontal="center" vertical="center"/>
    </xf>
    <xf numFmtId="164" fontId="13" fillId="0" borderId="4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9CB2230-D100-4FED-A62D-4EC26870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view="pageBreakPreview" zoomScaleNormal="100" zoomScaleSheetLayoutView="100" workbookViewId="0">
      <selection activeCell="I20" sqref="I20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66"/>
      <c r="B1" s="67"/>
      <c r="C1" s="85" t="s">
        <v>0</v>
      </c>
      <c r="D1" s="86"/>
      <c r="E1" s="86"/>
      <c r="F1" s="86"/>
      <c r="G1" s="86"/>
      <c r="H1" s="87"/>
      <c r="I1" s="63" t="s">
        <v>1</v>
      </c>
      <c r="K1" s="1"/>
      <c r="L1" s="1"/>
    </row>
    <row r="2" spans="1:12" ht="22.5" customHeight="1" x14ac:dyDescent="0.25">
      <c r="A2" s="68"/>
      <c r="B2" s="69"/>
      <c r="C2" s="88"/>
      <c r="D2" s="89"/>
      <c r="E2" s="89"/>
      <c r="F2" s="89"/>
      <c r="G2" s="89"/>
      <c r="H2" s="90"/>
      <c r="I2" s="64"/>
      <c r="K2" s="1"/>
      <c r="L2" s="1"/>
    </row>
    <row r="3" spans="1:12" ht="22.5" customHeight="1" thickBot="1" x14ac:dyDescent="0.3">
      <c r="A3" s="70"/>
      <c r="B3" s="71"/>
      <c r="C3" s="91" t="s">
        <v>2</v>
      </c>
      <c r="D3" s="92"/>
      <c r="E3" s="92"/>
      <c r="F3" s="92"/>
      <c r="G3" s="92"/>
      <c r="H3" s="93"/>
      <c r="I3" s="65"/>
      <c r="K3" s="2"/>
      <c r="L3" s="2"/>
    </row>
    <row r="4" spans="1:12" ht="6.75" customHeight="1" thickBot="1" x14ac:dyDescent="0.3">
      <c r="A4" s="34"/>
      <c r="B4" s="35"/>
      <c r="C4" s="35"/>
      <c r="D4" s="35"/>
      <c r="E4" s="35"/>
      <c r="F4" s="35"/>
      <c r="G4" s="35"/>
      <c r="H4" s="35"/>
      <c r="I4" s="36"/>
    </row>
    <row r="5" spans="1:12" x14ac:dyDescent="0.25">
      <c r="A5" s="98" t="s">
        <v>3</v>
      </c>
      <c r="B5" s="99"/>
      <c r="C5" s="108" t="s">
        <v>4</v>
      </c>
      <c r="D5" s="108"/>
      <c r="E5" s="108"/>
      <c r="F5" s="108"/>
      <c r="G5" s="108"/>
      <c r="H5" s="108"/>
      <c r="I5" s="109"/>
    </row>
    <row r="6" spans="1:12" x14ac:dyDescent="0.25">
      <c r="A6" s="100" t="s">
        <v>5</v>
      </c>
      <c r="B6" s="101"/>
      <c r="C6" s="75" t="s">
        <v>6</v>
      </c>
      <c r="D6" s="75"/>
      <c r="E6" s="11" t="s">
        <v>7</v>
      </c>
      <c r="F6" s="40" t="s">
        <v>8</v>
      </c>
      <c r="G6" s="11" t="s">
        <v>9</v>
      </c>
      <c r="H6" s="75">
        <v>2078871.8419999999</v>
      </c>
      <c r="I6" s="96"/>
    </row>
    <row r="7" spans="1:12" ht="15.75" thickBot="1" x14ac:dyDescent="0.3">
      <c r="A7" s="102" t="s">
        <v>10</v>
      </c>
      <c r="B7" s="103"/>
      <c r="C7" s="76" t="s">
        <v>11</v>
      </c>
      <c r="D7" s="76"/>
      <c r="E7" s="12" t="s">
        <v>12</v>
      </c>
      <c r="F7" s="41" t="s">
        <v>13</v>
      </c>
      <c r="G7" s="12" t="s">
        <v>14</v>
      </c>
      <c r="H7" s="76">
        <v>-4870008.2280000001</v>
      </c>
      <c r="I7" s="97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77" t="s">
        <v>15</v>
      </c>
      <c r="B9" s="78"/>
      <c r="C9" s="74" t="s">
        <v>16</v>
      </c>
      <c r="D9" s="74"/>
      <c r="E9" s="81" t="s">
        <v>17</v>
      </c>
      <c r="F9" s="82"/>
      <c r="G9" s="83" t="s">
        <v>18</v>
      </c>
      <c r="H9" s="94" t="s">
        <v>19</v>
      </c>
      <c r="I9" s="72" t="s">
        <v>20</v>
      </c>
    </row>
    <row r="10" spans="1:12" x14ac:dyDescent="0.25">
      <c r="A10" s="79"/>
      <c r="B10" s="80"/>
      <c r="C10" s="62" t="s">
        <v>21</v>
      </c>
      <c r="D10" s="62" t="s">
        <v>22</v>
      </c>
      <c r="E10" s="62" t="s">
        <v>21</v>
      </c>
      <c r="F10" s="62" t="s">
        <v>22</v>
      </c>
      <c r="G10" s="84"/>
      <c r="H10" s="95"/>
      <c r="I10" s="73"/>
    </row>
    <row r="11" spans="1:12" ht="18" customHeight="1" x14ac:dyDescent="0.25">
      <c r="A11" s="104" t="s">
        <v>23</v>
      </c>
      <c r="B11" s="105"/>
      <c r="C11" s="49">
        <v>45992</v>
      </c>
      <c r="D11" s="50">
        <v>0</v>
      </c>
      <c r="E11" s="49">
        <f>C11</f>
        <v>45992</v>
      </c>
      <c r="F11" s="50">
        <v>0.95833333333333337</v>
      </c>
      <c r="G11" s="48">
        <f ca="1">COUNT(INDIRECT("'Dia " &amp; ROW()-10 &amp; "'!C21:C45"))</f>
        <v>24</v>
      </c>
      <c r="H11" s="51" cm="1">
        <f t="array" aca="1" ref="H11" ca="1">IF(G11=24,INDIRECT("'" &amp; "Dia " &amp; ROW()-10 &amp; "'!C47"),"-")</f>
        <v>1.0269076521708058</v>
      </c>
      <c r="I11" s="52"/>
    </row>
    <row r="12" spans="1:12" ht="18" customHeight="1" x14ac:dyDescent="0.25">
      <c r="A12" s="106" t="s">
        <v>23</v>
      </c>
      <c r="B12" s="107"/>
      <c r="C12" s="33">
        <v>45993</v>
      </c>
      <c r="D12" s="9">
        <v>0</v>
      </c>
      <c r="E12" s="33">
        <f t="shared" ref="E12:E40" si="0">C12</f>
        <v>45993</v>
      </c>
      <c r="F12" s="9">
        <v>0.95833333333333337</v>
      </c>
      <c r="G12" s="13">
        <f t="shared" ref="G12:G41" ca="1" si="1">COUNT(INDIRECT("'Dia " &amp; ROW()-10 &amp; "'!C21:C45"))</f>
        <v>24</v>
      </c>
      <c r="H12" s="39" cm="1">
        <f t="array" aca="1" ref="H12" ca="1">IF(G12=24,INDIRECT("'" &amp; "Dia " &amp; ROW()-10 &amp; "'!C47"),"-")</f>
        <v>0.72720955156272427</v>
      </c>
      <c r="I12" s="53"/>
    </row>
    <row r="13" spans="1:12" ht="18" customHeight="1" x14ac:dyDescent="0.25">
      <c r="A13" s="106" t="s">
        <v>23</v>
      </c>
      <c r="B13" s="107"/>
      <c r="C13" s="33">
        <v>45994</v>
      </c>
      <c r="D13" s="9">
        <v>0</v>
      </c>
      <c r="E13" s="33">
        <f t="shared" si="0"/>
        <v>45994</v>
      </c>
      <c r="F13" s="9">
        <v>0.95833333333333304</v>
      </c>
      <c r="G13" s="13">
        <f t="shared" ca="1" si="1"/>
        <v>24</v>
      </c>
      <c r="H13" s="39" cm="1">
        <f t="array" aca="1" ref="H13" ca="1">IF(G13=24,INDIRECT("'" &amp; "Dia " &amp; ROW()-10 &amp; "'!C47"),"-")</f>
        <v>0.48032351529758166</v>
      </c>
      <c r="I13" s="53"/>
    </row>
    <row r="14" spans="1:12" ht="18" customHeight="1" x14ac:dyDescent="0.25">
      <c r="A14" s="106" t="s">
        <v>23</v>
      </c>
      <c r="B14" s="107"/>
      <c r="C14" s="33">
        <v>45995</v>
      </c>
      <c r="D14" s="9">
        <v>0</v>
      </c>
      <c r="E14" s="33">
        <f t="shared" si="0"/>
        <v>45995</v>
      </c>
      <c r="F14" s="9">
        <v>0.95833333333333304</v>
      </c>
      <c r="G14" s="13">
        <f t="shared" ca="1" si="1"/>
        <v>24</v>
      </c>
      <c r="H14" s="39" cm="1">
        <f t="array" aca="1" ref="H14" ca="1">IF(G14=24,INDIRECT("'" &amp; "Dia " &amp; ROW()-10 &amp; "'!C47"),"-")</f>
        <v>0.55391363843164176</v>
      </c>
      <c r="I14" s="53"/>
    </row>
    <row r="15" spans="1:12" ht="18" customHeight="1" x14ac:dyDescent="0.25">
      <c r="A15" s="106" t="s">
        <v>23</v>
      </c>
      <c r="B15" s="107"/>
      <c r="C15" s="33">
        <v>45996</v>
      </c>
      <c r="D15" s="9">
        <v>0</v>
      </c>
      <c r="E15" s="33">
        <f t="shared" si="0"/>
        <v>45996</v>
      </c>
      <c r="F15" s="9">
        <v>0.95833333333333304</v>
      </c>
      <c r="G15" s="13">
        <f t="shared" ca="1" si="1"/>
        <v>24</v>
      </c>
      <c r="H15" s="39" cm="1">
        <f t="array" aca="1" ref="H15" ca="1">IF(G15=24,INDIRECT("'" &amp; "Dia " &amp; ROW()-10 &amp; "'!C47"),"-")</f>
        <v>0.6369667576587642</v>
      </c>
      <c r="I15" s="53"/>
    </row>
    <row r="16" spans="1:12" ht="18" customHeight="1" x14ac:dyDescent="0.25">
      <c r="A16" s="106" t="s">
        <v>23</v>
      </c>
      <c r="B16" s="107"/>
      <c r="C16" s="33">
        <v>45997</v>
      </c>
      <c r="D16" s="9">
        <v>0</v>
      </c>
      <c r="E16" s="33">
        <f t="shared" si="0"/>
        <v>45997</v>
      </c>
      <c r="F16" s="9">
        <v>0.95833333333333304</v>
      </c>
      <c r="G16" s="13">
        <f t="shared" ca="1" si="1"/>
        <v>24</v>
      </c>
      <c r="H16" s="39" cm="1">
        <f t="array" aca="1" ref="H16" ca="1">IF(G16=24,INDIRECT("'" &amp; "Dia " &amp; ROW()-10 &amp; "'!C47"),"-")</f>
        <v>0.64248897667191762</v>
      </c>
      <c r="I16" s="53"/>
    </row>
    <row r="17" spans="1:9" ht="18" customHeight="1" x14ac:dyDescent="0.25">
      <c r="A17" s="106" t="s">
        <v>23</v>
      </c>
      <c r="B17" s="107"/>
      <c r="C17" s="33">
        <v>45998</v>
      </c>
      <c r="D17" s="9">
        <v>0</v>
      </c>
      <c r="E17" s="33">
        <f t="shared" si="0"/>
        <v>45998</v>
      </c>
      <c r="F17" s="9">
        <v>0.95833333333333304</v>
      </c>
      <c r="G17" s="13">
        <f t="shared" ca="1" si="1"/>
        <v>24</v>
      </c>
      <c r="H17" s="39" cm="1">
        <f t="array" aca="1" ref="H17" ca="1">IF(G17=24,INDIRECT("'" &amp; "Dia " &amp; ROW()-10 &amp; "'!C47"),"-")</f>
        <v>0.65694339971932325</v>
      </c>
      <c r="I17" s="53"/>
    </row>
    <row r="18" spans="1:9" ht="18" customHeight="1" x14ac:dyDescent="0.25">
      <c r="A18" s="106" t="s">
        <v>23</v>
      </c>
      <c r="B18" s="107"/>
      <c r="C18" s="33">
        <v>45999</v>
      </c>
      <c r="D18" s="9">
        <v>0</v>
      </c>
      <c r="E18" s="33">
        <f t="shared" si="0"/>
        <v>45999</v>
      </c>
      <c r="F18" s="9">
        <v>0.95833333333333304</v>
      </c>
      <c r="G18" s="13">
        <f t="shared" ca="1" si="1"/>
        <v>24</v>
      </c>
      <c r="H18" s="39" cm="1">
        <f t="array" aca="1" ref="H18" ca="1">IF(G18=24,INDIRECT("'" &amp; "Dia " &amp; ROW()-10 &amp; "'!C47"),"-")</f>
        <v>1.0357995966150142</v>
      </c>
      <c r="I18" s="53"/>
    </row>
    <row r="19" spans="1:9" ht="18" customHeight="1" x14ac:dyDescent="0.25">
      <c r="A19" s="106" t="s">
        <v>23</v>
      </c>
      <c r="B19" s="107"/>
      <c r="C19" s="33">
        <v>46000</v>
      </c>
      <c r="D19" s="9">
        <v>0</v>
      </c>
      <c r="E19" s="33">
        <f t="shared" si="0"/>
        <v>46000</v>
      </c>
      <c r="F19" s="9">
        <v>0.95833333333333304</v>
      </c>
      <c r="G19" s="13">
        <f t="shared" ca="1" si="1"/>
        <v>24</v>
      </c>
      <c r="H19" s="39" cm="1">
        <f t="array" aca="1" ref="H19" ca="1">IF(G19=24,INDIRECT("'" &amp; "Dia " &amp; ROW()-10 &amp; "'!C47"),"-")</f>
        <v>0.62955325775332593</v>
      </c>
      <c r="I19" s="53"/>
    </row>
    <row r="20" spans="1:9" ht="18" customHeight="1" x14ac:dyDescent="0.25">
      <c r="A20" s="106" t="s">
        <v>23</v>
      </c>
      <c r="B20" s="107"/>
      <c r="C20" s="33">
        <v>46001</v>
      </c>
      <c r="D20" s="9">
        <v>0</v>
      </c>
      <c r="E20" s="33">
        <f t="shared" si="0"/>
        <v>46001</v>
      </c>
      <c r="F20" s="9">
        <v>0.95833333333333304</v>
      </c>
      <c r="G20" s="13">
        <f t="shared" ca="1" si="1"/>
        <v>24</v>
      </c>
      <c r="H20" s="39" cm="1">
        <f t="array" aca="1" ref="H20" ca="1">IF(G20=24,INDIRECT("'" &amp; "Dia " &amp; ROW()-10 &amp; "'!C47"),"-")</f>
        <v>0.66299162644722054</v>
      </c>
      <c r="I20" s="54"/>
    </row>
    <row r="21" spans="1:9" ht="18" customHeight="1" x14ac:dyDescent="0.25">
      <c r="A21" s="106" t="s">
        <v>23</v>
      </c>
      <c r="B21" s="107"/>
      <c r="C21" s="33">
        <v>46002</v>
      </c>
      <c r="D21" s="9">
        <v>0</v>
      </c>
      <c r="E21" s="33">
        <f t="shared" si="0"/>
        <v>46002</v>
      </c>
      <c r="F21" s="9">
        <v>0.95833333333333304</v>
      </c>
      <c r="G21" s="13">
        <f t="shared" ca="1" si="1"/>
        <v>24</v>
      </c>
      <c r="H21" s="39" cm="1">
        <f t="array" aca="1" ref="H21" ca="1">IF(G21=24,INDIRECT("'" &amp; "Dia " &amp; ROW()-10 &amp; "'!C47"),"-")</f>
        <v>1.4422741678898359</v>
      </c>
      <c r="I21" s="55"/>
    </row>
    <row r="22" spans="1:9" ht="18" customHeight="1" x14ac:dyDescent="0.25">
      <c r="A22" s="106" t="s">
        <v>23</v>
      </c>
      <c r="B22" s="107"/>
      <c r="C22" s="33">
        <v>46003</v>
      </c>
      <c r="D22" s="9">
        <v>0</v>
      </c>
      <c r="E22" s="33">
        <f t="shared" si="0"/>
        <v>46003</v>
      </c>
      <c r="F22" s="9">
        <v>0.95833333333333304</v>
      </c>
      <c r="G22" s="13">
        <f t="shared" ca="1" si="1"/>
        <v>24</v>
      </c>
      <c r="H22" s="39" cm="1">
        <f t="array" aca="1" ref="H22" ca="1">IF(G22=24,INDIRECT("'" &amp; "Dia " &amp; ROW()-10 &amp; "'!C47"),"-")</f>
        <v>0.35996255843943115</v>
      </c>
      <c r="I22" s="54"/>
    </row>
    <row r="23" spans="1:9" ht="18" customHeight="1" x14ac:dyDescent="0.25">
      <c r="A23" s="106" t="s">
        <v>23</v>
      </c>
      <c r="B23" s="107"/>
      <c r="C23" s="33">
        <v>46004</v>
      </c>
      <c r="D23" s="9">
        <v>0</v>
      </c>
      <c r="E23" s="33">
        <f t="shared" si="0"/>
        <v>46004</v>
      </c>
      <c r="F23" s="9">
        <v>0.95833333333333304</v>
      </c>
      <c r="G23" s="13">
        <f t="shared" ca="1" si="1"/>
        <v>24</v>
      </c>
      <c r="H23" s="39" cm="1">
        <f t="array" aca="1" ref="H23" ca="1">IF(G23=24,INDIRECT("'" &amp; "Dia " &amp; ROW()-10 &amp; "'!C47"),"-")</f>
        <v>0.63880621792369185</v>
      </c>
      <c r="I23" s="54"/>
    </row>
    <row r="24" spans="1:9" ht="18" customHeight="1" x14ac:dyDescent="0.25">
      <c r="A24" s="106" t="s">
        <v>23</v>
      </c>
      <c r="B24" s="107"/>
      <c r="C24" s="33">
        <v>46005</v>
      </c>
      <c r="D24" s="9">
        <v>0</v>
      </c>
      <c r="E24" s="33">
        <f t="shared" si="0"/>
        <v>46005</v>
      </c>
      <c r="F24" s="9">
        <v>0.95833333333333304</v>
      </c>
      <c r="G24" s="13">
        <f t="shared" ca="1" si="1"/>
        <v>24</v>
      </c>
      <c r="H24" s="39" cm="1">
        <f t="array" aca="1" ref="H24" ca="1">IF(G24=24,INDIRECT("'" &amp; "Dia " &amp; ROW()-10 &amp; "'!C47"),"-")</f>
        <v>0.49011442024035184</v>
      </c>
      <c r="I24" s="54"/>
    </row>
    <row r="25" spans="1:9" ht="18" customHeight="1" x14ac:dyDescent="0.25">
      <c r="A25" s="106" t="s">
        <v>23</v>
      </c>
      <c r="B25" s="107"/>
      <c r="C25" s="33">
        <v>46006</v>
      </c>
      <c r="D25" s="9">
        <v>0</v>
      </c>
      <c r="E25" s="33">
        <f t="shared" si="0"/>
        <v>46006</v>
      </c>
      <c r="F25" s="9">
        <v>0.95833333333333304</v>
      </c>
      <c r="G25" s="13">
        <f t="shared" ca="1" si="1"/>
        <v>24</v>
      </c>
      <c r="H25" s="39" cm="1">
        <f t="array" aca="1" ref="H25" ca="1">IF(G25=24,INDIRECT("'" &amp; "Dia " &amp; ROW()-10 &amp; "'!C47"),"-")</f>
        <v>0.7320854022802834</v>
      </c>
      <c r="I25" s="56"/>
    </row>
    <row r="26" spans="1:9" ht="18" customHeight="1" x14ac:dyDescent="0.25">
      <c r="A26" s="106" t="s">
        <v>23</v>
      </c>
      <c r="B26" s="107"/>
      <c r="C26" s="33">
        <v>46007</v>
      </c>
      <c r="D26" s="9">
        <v>0</v>
      </c>
      <c r="E26" s="33">
        <f t="shared" si="0"/>
        <v>46007</v>
      </c>
      <c r="F26" s="9">
        <v>0.95833333333333304</v>
      </c>
      <c r="G26" s="13">
        <f t="shared" ca="1" si="1"/>
        <v>24</v>
      </c>
      <c r="H26" s="39" cm="1">
        <f t="array" aca="1" ref="H26" ca="1">IF(G26=24,INDIRECT("'" &amp; "Dia " &amp; ROW()-10 &amp; "'!C47"),"-")</f>
        <v>0.53872942309135841</v>
      </c>
      <c r="I26" s="54"/>
    </row>
    <row r="27" spans="1:9" ht="18" customHeight="1" x14ac:dyDescent="0.25">
      <c r="A27" s="106" t="s">
        <v>23</v>
      </c>
      <c r="B27" s="107"/>
      <c r="C27" s="33">
        <v>46008</v>
      </c>
      <c r="D27" s="9">
        <v>0</v>
      </c>
      <c r="E27" s="33">
        <f t="shared" si="0"/>
        <v>46008</v>
      </c>
      <c r="F27" s="9">
        <v>0.95833333333333304</v>
      </c>
      <c r="G27" s="13">
        <f t="shared" ca="1" si="1"/>
        <v>24</v>
      </c>
      <c r="H27" s="39" cm="1">
        <f t="array" aca="1" ref="H27" ca="1">IF(G27=24,INDIRECT("'" &amp; "Dia " &amp; ROW()-10 &amp; "'!C47"),"-")</f>
        <v>1.4395069103437941</v>
      </c>
      <c r="I27" s="54"/>
    </row>
    <row r="28" spans="1:9" ht="18" customHeight="1" x14ac:dyDescent="0.25">
      <c r="A28" s="106" t="s">
        <v>23</v>
      </c>
      <c r="B28" s="107"/>
      <c r="C28" s="33">
        <v>46009</v>
      </c>
      <c r="D28" s="9">
        <v>0</v>
      </c>
      <c r="E28" s="33">
        <f t="shared" si="0"/>
        <v>46009</v>
      </c>
      <c r="F28" s="9">
        <v>0.95833333333333304</v>
      </c>
      <c r="G28" s="13">
        <f t="shared" ca="1" si="1"/>
        <v>24</v>
      </c>
      <c r="H28" s="39" cm="1">
        <f t="array" aca="1" ref="H28" ca="1">IF(G28=24,INDIRECT("'" &amp; "Dia " &amp; ROW()-10 &amp; "'!C47"),"-")</f>
        <v>1.3223650248921326</v>
      </c>
      <c r="I28" s="54"/>
    </row>
    <row r="29" spans="1:9" ht="18" customHeight="1" x14ac:dyDescent="0.25">
      <c r="A29" s="106" t="s">
        <v>23</v>
      </c>
      <c r="B29" s="107"/>
      <c r="C29" s="33">
        <v>46010</v>
      </c>
      <c r="D29" s="9">
        <v>0</v>
      </c>
      <c r="E29" s="33">
        <f t="shared" si="0"/>
        <v>46010</v>
      </c>
      <c r="F29" s="9">
        <v>0.95833333333333304</v>
      </c>
      <c r="G29" s="13">
        <f t="shared" ca="1" si="1"/>
        <v>24</v>
      </c>
      <c r="H29" s="39" cm="1">
        <f t="array" aca="1" ref="H29" ca="1">IF(G29=24,INDIRECT("'" &amp; "Dia " &amp; ROW()-10 &amp; "'!C47"),"-")</f>
        <v>0.67183744906860798</v>
      </c>
      <c r="I29" s="54"/>
    </row>
    <row r="30" spans="1:9" ht="18" customHeight="1" x14ac:dyDescent="0.25">
      <c r="A30" s="106" t="s">
        <v>23</v>
      </c>
      <c r="B30" s="107"/>
      <c r="C30" s="33">
        <v>46011</v>
      </c>
      <c r="D30" s="9">
        <v>0</v>
      </c>
      <c r="E30" s="33">
        <f t="shared" si="0"/>
        <v>46011</v>
      </c>
      <c r="F30" s="9">
        <v>0.95833333333333304</v>
      </c>
      <c r="G30" s="13">
        <f t="shared" ca="1" si="1"/>
        <v>24</v>
      </c>
      <c r="H30" s="39" cm="1">
        <f t="array" aca="1" ref="H30" ca="1">IF(G30=24,INDIRECT("'" &amp; "Dia " &amp; ROW()-10 &amp; "'!C47"),"-")</f>
        <v>0.4976877549722068</v>
      </c>
      <c r="I30" s="54"/>
    </row>
    <row r="31" spans="1:9" ht="18" customHeight="1" x14ac:dyDescent="0.25">
      <c r="A31" s="106" t="s">
        <v>23</v>
      </c>
      <c r="B31" s="107"/>
      <c r="C31" s="33">
        <v>46012</v>
      </c>
      <c r="D31" s="9">
        <v>0</v>
      </c>
      <c r="E31" s="33">
        <f t="shared" si="0"/>
        <v>46012</v>
      </c>
      <c r="F31" s="9">
        <v>0.95833333333333304</v>
      </c>
      <c r="G31" s="13">
        <f t="shared" ca="1" si="1"/>
        <v>24</v>
      </c>
      <c r="H31" s="39" cm="1">
        <f t="array" aca="1" ref="H31" ca="1">IF(G31=24,INDIRECT("'" &amp; "Dia " &amp; ROW()-10 &amp; "'!C47"),"-")</f>
        <v>1.3920941971085103</v>
      </c>
      <c r="I31" s="54"/>
    </row>
    <row r="32" spans="1:9" ht="18" customHeight="1" x14ac:dyDescent="0.25">
      <c r="A32" s="106" t="s">
        <v>23</v>
      </c>
      <c r="B32" s="107"/>
      <c r="C32" s="33">
        <v>46013</v>
      </c>
      <c r="D32" s="9">
        <v>0</v>
      </c>
      <c r="E32" s="33">
        <f t="shared" si="0"/>
        <v>46013</v>
      </c>
      <c r="F32" s="9">
        <v>0.95833333333333304</v>
      </c>
      <c r="G32" s="13">
        <f t="shared" ca="1" si="1"/>
        <v>24</v>
      </c>
      <c r="H32" s="39" cm="1">
        <f t="array" aca="1" ref="H32" ca="1">IF(G32=24,INDIRECT("'" &amp; "Dia " &amp; ROW()-10 &amp; "'!C47"),"-")</f>
        <v>0.57663446180074251</v>
      </c>
      <c r="I32" s="54"/>
    </row>
    <row r="33" spans="1:9" ht="18" customHeight="1" x14ac:dyDescent="0.25">
      <c r="A33" s="106" t="s">
        <v>23</v>
      </c>
      <c r="B33" s="107"/>
      <c r="C33" s="33">
        <v>46014</v>
      </c>
      <c r="D33" s="9">
        <v>0</v>
      </c>
      <c r="E33" s="33">
        <f t="shared" si="0"/>
        <v>46014</v>
      </c>
      <c r="F33" s="9">
        <v>0.95833333333333304</v>
      </c>
      <c r="G33" s="13">
        <f t="shared" ca="1" si="1"/>
        <v>24</v>
      </c>
      <c r="H33" s="39" cm="1">
        <f t="array" aca="1" ref="H33" ca="1">IF(G33=24,INDIRECT("'" &amp; "Dia " &amp; ROW()-10 &amp; "'!C47"),"-")</f>
        <v>0.36039090843701627</v>
      </c>
      <c r="I33" s="54"/>
    </row>
    <row r="34" spans="1:9" ht="18" customHeight="1" x14ac:dyDescent="0.25">
      <c r="A34" s="106" t="s">
        <v>23</v>
      </c>
      <c r="B34" s="107"/>
      <c r="C34" s="33">
        <v>46015</v>
      </c>
      <c r="D34" s="9">
        <v>0</v>
      </c>
      <c r="E34" s="33">
        <f t="shared" si="0"/>
        <v>46015</v>
      </c>
      <c r="F34" s="9">
        <v>0.95833333333333304</v>
      </c>
      <c r="G34" s="13">
        <f t="shared" ca="1" si="1"/>
        <v>24</v>
      </c>
      <c r="H34" s="39" cm="1">
        <f t="array" aca="1" ref="H34" ca="1">IF(G34=24,INDIRECT("'" &amp; "Dia " &amp; ROW()-10 &amp; "'!C47"),"-")</f>
        <v>0.43367664563706265</v>
      </c>
      <c r="I34" s="54"/>
    </row>
    <row r="35" spans="1:9" ht="18" customHeight="1" x14ac:dyDescent="0.25">
      <c r="A35" s="106" t="s">
        <v>23</v>
      </c>
      <c r="B35" s="107"/>
      <c r="C35" s="33">
        <v>46016</v>
      </c>
      <c r="D35" s="9">
        <v>0</v>
      </c>
      <c r="E35" s="33">
        <f t="shared" si="0"/>
        <v>46016</v>
      </c>
      <c r="F35" s="9">
        <v>0.95833333333333304</v>
      </c>
      <c r="G35" s="13">
        <f t="shared" ca="1" si="1"/>
        <v>24</v>
      </c>
      <c r="H35" s="39" cm="1">
        <f t="array" aca="1" ref="H35" ca="1">IF(G35=24,INDIRECT("'" &amp; "Dia " &amp; ROW()-10 &amp; "'!C47"),"-")</f>
        <v>0.45013060705288338</v>
      </c>
      <c r="I35" s="54"/>
    </row>
    <row r="36" spans="1:9" ht="18" customHeight="1" x14ac:dyDescent="0.25">
      <c r="A36" s="106" t="s">
        <v>23</v>
      </c>
      <c r="B36" s="107"/>
      <c r="C36" s="33">
        <v>46017</v>
      </c>
      <c r="D36" s="9">
        <v>0</v>
      </c>
      <c r="E36" s="33">
        <f t="shared" si="0"/>
        <v>46017</v>
      </c>
      <c r="F36" s="9">
        <v>0.95833333333333304</v>
      </c>
      <c r="G36" s="13">
        <f t="shared" ca="1" si="1"/>
        <v>24</v>
      </c>
      <c r="H36" s="39" cm="1">
        <f t="array" aca="1" ref="H36" ca="1">IF(G36=24,INDIRECT("'" &amp; "Dia " &amp; ROW()-10 &amp; "'!C47"),"-")</f>
        <v>0.29334843196484267</v>
      </c>
      <c r="I36" s="54"/>
    </row>
    <row r="37" spans="1:9" ht="18" customHeight="1" x14ac:dyDescent="0.25">
      <c r="A37" s="106" t="s">
        <v>23</v>
      </c>
      <c r="B37" s="107"/>
      <c r="C37" s="33">
        <v>46018</v>
      </c>
      <c r="D37" s="9">
        <v>0</v>
      </c>
      <c r="E37" s="33">
        <f t="shared" si="0"/>
        <v>46018</v>
      </c>
      <c r="F37" s="9">
        <v>0.95833333333333304</v>
      </c>
      <c r="G37" s="13">
        <f t="shared" ca="1" si="1"/>
        <v>24</v>
      </c>
      <c r="H37" s="39" cm="1">
        <f t="array" aca="1" ref="H37" ca="1">IF(G37=24,INDIRECT("'" &amp; "Dia " &amp; ROW()-10 &amp; "'!C47"),"-")</f>
        <v>0.34691455741281246</v>
      </c>
      <c r="I37" s="54"/>
    </row>
    <row r="38" spans="1:9" ht="18" customHeight="1" x14ac:dyDescent="0.25">
      <c r="A38" s="106" t="s">
        <v>23</v>
      </c>
      <c r="B38" s="107"/>
      <c r="C38" s="33">
        <v>46019</v>
      </c>
      <c r="D38" s="9">
        <v>0</v>
      </c>
      <c r="E38" s="33">
        <f t="shared" si="0"/>
        <v>46019</v>
      </c>
      <c r="F38" s="9">
        <v>0.95833333333333304</v>
      </c>
      <c r="G38" s="13">
        <f t="shared" ca="1" si="1"/>
        <v>24</v>
      </c>
      <c r="H38" s="39" cm="1">
        <f t="array" aca="1" ref="H38" ca="1">IF(G38=24,INDIRECT("'" &amp; "Dia " &amp; ROW()-10 &amp; "'!C47"),"-")</f>
        <v>0.66660766632037927</v>
      </c>
      <c r="I38" s="54"/>
    </row>
    <row r="39" spans="1:9" x14ac:dyDescent="0.25">
      <c r="A39" s="106" t="s">
        <v>23</v>
      </c>
      <c r="B39" s="107"/>
      <c r="C39" s="33">
        <v>46020</v>
      </c>
      <c r="D39" s="9">
        <v>0</v>
      </c>
      <c r="E39" s="33">
        <f t="shared" si="0"/>
        <v>46020</v>
      </c>
      <c r="F39" s="9">
        <v>0.95833333333333304</v>
      </c>
      <c r="G39" s="13">
        <f t="shared" ca="1" si="1"/>
        <v>24</v>
      </c>
      <c r="H39" s="39" cm="1">
        <f t="array" aca="1" ref="H39" ca="1">IF(G39=24,INDIRECT("'" &amp; "Dia " &amp; ROW()-10 &amp; "'!C47"),"-")</f>
        <v>0.51417495471674901</v>
      </c>
      <c r="I39" s="54"/>
    </row>
    <row r="40" spans="1:9" x14ac:dyDescent="0.25">
      <c r="A40" s="106" t="s">
        <v>23</v>
      </c>
      <c r="B40" s="107"/>
      <c r="C40" s="33">
        <v>46021</v>
      </c>
      <c r="D40" s="9">
        <v>0</v>
      </c>
      <c r="E40" s="33">
        <f t="shared" si="0"/>
        <v>46021</v>
      </c>
      <c r="F40" s="9">
        <v>0.95833333333333304</v>
      </c>
      <c r="G40" s="13">
        <f t="shared" ca="1" si="1"/>
        <v>24</v>
      </c>
      <c r="H40" s="39" cm="1">
        <f t="array" aca="1" ref="H40" ca="1">IF(G40=24,INDIRECT("'" &amp; "Dia " &amp; ROW()-10 &amp; "'!C47"),"-")</f>
        <v>0.45793484126082767</v>
      </c>
      <c r="I40" s="54"/>
    </row>
    <row r="41" spans="1:9" x14ac:dyDescent="0.25">
      <c r="A41" s="130" t="s">
        <v>23</v>
      </c>
      <c r="B41" s="131"/>
      <c r="C41" s="33">
        <v>46022</v>
      </c>
      <c r="D41" s="59">
        <v>0</v>
      </c>
      <c r="E41" s="58">
        <f t="shared" ref="E41" si="2">C41</f>
        <v>46022</v>
      </c>
      <c r="F41" s="59">
        <v>0.95833333333333304</v>
      </c>
      <c r="G41" s="57">
        <f t="shared" ca="1" si="1"/>
        <v>24</v>
      </c>
      <c r="H41" s="60" cm="1">
        <f t="array" aca="1" ref="H41" ca="1">IF(G41=24,INDIRECT("'" &amp; "Dia " &amp; ROW()-10 &amp; "'!C47"),"-")</f>
        <v>0.99275238002408162</v>
      </c>
      <c r="I41" s="61"/>
    </row>
    <row r="42" spans="1:9" ht="25.5" customHeight="1" x14ac:dyDescent="0.25">
      <c r="A42" s="118" t="s">
        <v>24</v>
      </c>
      <c r="B42" s="122" t="s">
        <v>25</v>
      </c>
      <c r="C42" s="123"/>
      <c r="D42" s="120" t="s">
        <v>26</v>
      </c>
      <c r="E42" s="126"/>
      <c r="F42" s="127"/>
      <c r="G42" s="120" t="s">
        <v>27</v>
      </c>
      <c r="H42" s="38"/>
      <c r="I42" s="47" t="s">
        <v>28</v>
      </c>
    </row>
    <row r="43" spans="1:9" x14ac:dyDescent="0.25">
      <c r="A43" s="119"/>
      <c r="B43" s="124" t="s">
        <v>29</v>
      </c>
      <c r="C43" s="125"/>
      <c r="D43" s="121"/>
      <c r="E43" s="128" t="s">
        <v>30</v>
      </c>
      <c r="F43" s="129"/>
      <c r="G43" s="121"/>
      <c r="H43" s="14"/>
      <c r="I43" s="10" t="s">
        <v>31</v>
      </c>
    </row>
    <row r="44" spans="1:9" x14ac:dyDescent="0.25">
      <c r="A44" s="116" t="s">
        <v>32</v>
      </c>
      <c r="B44" s="110" t="s">
        <v>33</v>
      </c>
      <c r="C44" s="110"/>
      <c r="D44" s="110"/>
      <c r="E44" s="110"/>
      <c r="F44" s="110"/>
      <c r="G44" s="110"/>
      <c r="H44" s="111"/>
      <c r="I44" s="112"/>
    </row>
    <row r="45" spans="1:9" ht="9.75" customHeight="1" thickBot="1" x14ac:dyDescent="0.3">
      <c r="A45" s="117"/>
      <c r="B45" s="113"/>
      <c r="C45" s="113"/>
      <c r="D45" s="113"/>
      <c r="E45" s="113"/>
      <c r="F45" s="113"/>
      <c r="G45" s="113"/>
      <c r="H45" s="114"/>
      <c r="I45" s="115"/>
    </row>
    <row r="46" spans="1:9" ht="15.75" thickBot="1" x14ac:dyDescent="0.3">
      <c r="A46" s="6"/>
      <c r="B46" s="7"/>
      <c r="C46" s="7"/>
      <c r="D46" s="7"/>
      <c r="E46" s="7"/>
      <c r="F46" s="7"/>
      <c r="G46" s="7"/>
      <c r="H46" s="7"/>
      <c r="I46" s="8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">
        <v>35</v>
      </c>
      <c r="C7" s="133"/>
      <c r="D7" s="21" t="s">
        <v>5</v>
      </c>
      <c r="E7" s="134" t="str" cm="1">
        <f t="array" ref="E7">'FOM303-32-Imprimir'!C6:C6</f>
        <v>Bogotá DC</v>
      </c>
      <c r="F7" s="134"/>
      <c r="G7" s="134"/>
    </row>
    <row r="8" spans="1:12" ht="15.75" x14ac:dyDescent="0.25">
      <c r="A8" s="21" t="s">
        <v>36</v>
      </c>
      <c r="B8" s="132" t="s">
        <v>23</v>
      </c>
      <c r="C8" s="133"/>
      <c r="D8" s="22" t="s">
        <v>10</v>
      </c>
      <c r="E8" s="134" t="str" cm="1">
        <f t="array" ref="E8">'FOM303-32-Imprimir'!C7:C7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'FOM303-32-Imprimir'!H6:H6</f>
        <v>2078871.8419999999</v>
      </c>
      <c r="C9" s="133"/>
      <c r="D9" s="22" t="s">
        <v>14</v>
      </c>
      <c r="E9" s="134" cm="1">
        <f t="array" ref="E9">'FOM303-32-Imprimir'!H7:H7</f>
        <v>-4870008.2280000001</v>
      </c>
      <c r="F9" s="134"/>
      <c r="G9" s="134"/>
    </row>
    <row r="10" spans="1:12" ht="15.75" x14ac:dyDescent="0.25">
      <c r="A10" s="21" t="s">
        <v>37</v>
      </c>
      <c r="B10" s="132" t="s">
        <v>38</v>
      </c>
      <c r="C10" s="133"/>
      <c r="D10" s="21" t="s">
        <v>39</v>
      </c>
      <c r="E10" s="134">
        <v>2550</v>
      </c>
      <c r="F10" s="134"/>
      <c r="G10" s="134"/>
    </row>
    <row r="11" spans="1:12" ht="15.75" x14ac:dyDescent="0.25">
      <c r="A11" s="23" t="s">
        <v>40</v>
      </c>
      <c r="B11" s="150">
        <v>45992</v>
      </c>
      <c r="C11" s="151"/>
      <c r="D11" s="24" t="s">
        <v>41</v>
      </c>
      <c r="E11" s="152">
        <v>0</v>
      </c>
      <c r="F11" s="152"/>
      <c r="G11" s="152"/>
    </row>
    <row r="12" spans="1:12" ht="15.75" x14ac:dyDescent="0.25">
      <c r="A12" s="23" t="s">
        <v>42</v>
      </c>
      <c r="B12" s="150">
        <v>46022</v>
      </c>
      <c r="C12" s="151"/>
      <c r="D12" s="23" t="s">
        <v>43</v>
      </c>
      <c r="E12" s="152"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53">
        <v>22.222999999999999</v>
      </c>
      <c r="D21" s="154">
        <v>22.222999999999999</v>
      </c>
    </row>
    <row r="22" spans="2:7" ht="18.75" x14ac:dyDescent="0.25">
      <c r="B22" s="42">
        <v>1</v>
      </c>
      <c r="C22" s="153">
        <v>21.395</v>
      </c>
      <c r="D22" s="154">
        <v>21.395</v>
      </c>
    </row>
    <row r="23" spans="2:7" ht="18.75" x14ac:dyDescent="0.25">
      <c r="B23" s="42">
        <v>2</v>
      </c>
      <c r="C23" s="153">
        <v>20.568999999999999</v>
      </c>
      <c r="D23" s="154">
        <v>20.568999999999999</v>
      </c>
    </row>
    <row r="24" spans="2:7" ht="18.75" x14ac:dyDescent="0.25">
      <c r="B24" s="42">
        <v>3</v>
      </c>
      <c r="C24" s="153">
        <v>20.774000000000001</v>
      </c>
      <c r="D24" s="154">
        <v>20.774000000000001</v>
      </c>
    </row>
    <row r="25" spans="2:7" ht="18.75" x14ac:dyDescent="0.25">
      <c r="B25" s="42">
        <v>4</v>
      </c>
      <c r="C25" s="153">
        <v>20.725999999999999</v>
      </c>
      <c r="D25" s="154">
        <v>20.725999999999999</v>
      </c>
    </row>
    <row r="26" spans="2:7" ht="18.75" x14ac:dyDescent="0.25">
      <c r="B26" s="42">
        <v>5</v>
      </c>
      <c r="C26" s="153">
        <v>20.677</v>
      </c>
      <c r="D26" s="154">
        <v>20.677</v>
      </c>
    </row>
    <row r="27" spans="2:7" ht="18.75" x14ac:dyDescent="0.25">
      <c r="B27" s="42">
        <v>6</v>
      </c>
      <c r="C27" s="153">
        <v>20.585000000000001</v>
      </c>
      <c r="D27" s="154">
        <v>20.585000000000001</v>
      </c>
    </row>
    <row r="28" spans="2:7" ht="18.75" x14ac:dyDescent="0.25">
      <c r="B28" s="42">
        <v>7</v>
      </c>
      <c r="C28" s="153">
        <v>23.158000000000001</v>
      </c>
      <c r="D28" s="154">
        <v>23.158000000000001</v>
      </c>
    </row>
    <row r="29" spans="2:7" ht="18.75" x14ac:dyDescent="0.25">
      <c r="B29" s="42">
        <v>8</v>
      </c>
      <c r="C29" s="153">
        <v>22.273</v>
      </c>
      <c r="D29" s="154">
        <v>22.273</v>
      </c>
    </row>
    <row r="30" spans="2:7" ht="18.75" x14ac:dyDescent="0.25">
      <c r="B30" s="42">
        <v>9</v>
      </c>
      <c r="C30" s="153">
        <v>21.564</v>
      </c>
      <c r="D30" s="154">
        <v>21.564</v>
      </c>
    </row>
    <row r="31" spans="2:7" ht="18.75" x14ac:dyDescent="0.25">
      <c r="B31" s="42">
        <v>10</v>
      </c>
      <c r="C31" s="153">
        <v>23.427</v>
      </c>
      <c r="D31" s="154">
        <v>23.427</v>
      </c>
    </row>
    <row r="32" spans="2:7" ht="18.75" x14ac:dyDescent="0.25">
      <c r="B32" s="42">
        <v>11</v>
      </c>
      <c r="C32" s="153">
        <v>24.207000000000001</v>
      </c>
      <c r="D32" s="154">
        <v>24.207000000000001</v>
      </c>
    </row>
    <row r="33" spans="2:4" ht="18.75" x14ac:dyDescent="0.25">
      <c r="B33" s="42">
        <v>12</v>
      </c>
      <c r="C33" s="153">
        <v>23.126999999999999</v>
      </c>
      <c r="D33" s="154">
        <v>23.126999999999999</v>
      </c>
    </row>
    <row r="34" spans="2:4" ht="18.75" x14ac:dyDescent="0.25">
      <c r="B34" s="42">
        <v>13</v>
      </c>
      <c r="C34" s="153">
        <v>23.015999999999998</v>
      </c>
      <c r="D34" s="154">
        <v>23.015999999999998</v>
      </c>
    </row>
    <row r="35" spans="2:4" ht="18.75" x14ac:dyDescent="0.25">
      <c r="B35" s="42">
        <v>14</v>
      </c>
      <c r="C35" s="153">
        <v>22.533999999999999</v>
      </c>
      <c r="D35" s="154">
        <v>22.533999999999999</v>
      </c>
    </row>
    <row r="36" spans="2:4" ht="18.75" x14ac:dyDescent="0.25">
      <c r="B36" s="42">
        <v>15</v>
      </c>
      <c r="C36" s="153">
        <v>22.34</v>
      </c>
      <c r="D36" s="154">
        <v>22.34</v>
      </c>
    </row>
    <row r="37" spans="2:4" ht="18.75" x14ac:dyDescent="0.25">
      <c r="B37" s="42">
        <v>16</v>
      </c>
      <c r="C37" s="153">
        <v>21.908000000000001</v>
      </c>
      <c r="D37" s="154">
        <v>21.908000000000001</v>
      </c>
    </row>
    <row r="38" spans="2:4" ht="18.75" x14ac:dyDescent="0.25">
      <c r="B38" s="42">
        <v>17</v>
      </c>
      <c r="C38" s="153">
        <v>22.565000000000001</v>
      </c>
      <c r="D38" s="154">
        <v>22.565000000000001</v>
      </c>
    </row>
    <row r="39" spans="2:4" ht="18.75" x14ac:dyDescent="0.25">
      <c r="B39" s="42">
        <v>18</v>
      </c>
      <c r="C39" s="153">
        <v>22.632000000000001</v>
      </c>
      <c r="D39" s="154">
        <v>22.632000000000001</v>
      </c>
    </row>
    <row r="40" spans="2:4" ht="18.75" x14ac:dyDescent="0.25">
      <c r="B40" s="42">
        <v>19</v>
      </c>
      <c r="C40" s="153">
        <v>23.001000000000001</v>
      </c>
      <c r="D40" s="154">
        <v>23.001000000000001</v>
      </c>
    </row>
    <row r="41" spans="2:4" ht="18.75" x14ac:dyDescent="0.25">
      <c r="B41" s="42">
        <v>20</v>
      </c>
      <c r="C41" s="153">
        <v>22.823</v>
      </c>
      <c r="D41" s="154">
        <v>22.823</v>
      </c>
    </row>
    <row r="42" spans="2:4" ht="18.75" x14ac:dyDescent="0.25">
      <c r="B42" s="42">
        <v>21</v>
      </c>
      <c r="C42" s="153">
        <v>22.956</v>
      </c>
      <c r="D42" s="154">
        <v>22.956</v>
      </c>
    </row>
    <row r="43" spans="2:4" ht="18.75" x14ac:dyDescent="0.25">
      <c r="B43" s="42">
        <v>22</v>
      </c>
      <c r="C43" s="153">
        <v>22.843</v>
      </c>
      <c r="D43" s="154">
        <v>22.843</v>
      </c>
    </row>
    <row r="44" spans="2:4" ht="18.75" x14ac:dyDescent="0.25">
      <c r="B44" s="42">
        <v>23</v>
      </c>
      <c r="C44" s="153">
        <v>23.199000000000002</v>
      </c>
      <c r="D44" s="154">
        <v>23.199000000000002</v>
      </c>
    </row>
    <row r="45" spans="2:4" ht="18.75" x14ac:dyDescent="0.25">
      <c r="B45" s="42"/>
      <c r="C45" s="153"/>
      <c r="D45" s="154"/>
    </row>
    <row r="46" spans="2:4" ht="33.75" customHeight="1" x14ac:dyDescent="0.25">
      <c r="B46" s="43" t="s">
        <v>47</v>
      </c>
      <c r="C46" s="157">
        <f>AVERAGE(C22:C45)</f>
        <v>22.273869565217389</v>
      </c>
      <c r="D46" s="158"/>
    </row>
    <row r="47" spans="2:4" ht="31.5" x14ac:dyDescent="0.25">
      <c r="B47" s="45" t="s">
        <v>48</v>
      </c>
      <c r="C47" s="44">
        <f>_xlfn.STDEV.S(C21:C45)</f>
        <v>1.0269076521708058</v>
      </c>
      <c r="D47" s="46" t="s">
        <v>49</v>
      </c>
    </row>
    <row r="48" spans="2:4" ht="15.75" x14ac:dyDescent="0.25">
      <c r="B48" s="43" t="s">
        <v>50</v>
      </c>
      <c r="C48" s="159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23.26</v>
      </c>
      <c r="D21" s="164">
        <v>23.26</v>
      </c>
    </row>
    <row r="22" spans="2:7" ht="18.75" x14ac:dyDescent="0.25">
      <c r="B22" s="42">
        <v>1</v>
      </c>
      <c r="C22" s="164">
        <v>23.120999999999999</v>
      </c>
      <c r="D22" s="164">
        <v>23.120999999999999</v>
      </c>
    </row>
    <row r="23" spans="2:7" ht="18.75" x14ac:dyDescent="0.25">
      <c r="B23" s="42">
        <v>2</v>
      </c>
      <c r="C23" s="164">
        <v>22.916</v>
      </c>
      <c r="D23" s="164">
        <v>22.916</v>
      </c>
    </row>
    <row r="24" spans="2:7" ht="18.75" x14ac:dyDescent="0.25">
      <c r="B24" s="42">
        <v>3</v>
      </c>
      <c r="C24" s="164">
        <v>22.536000000000001</v>
      </c>
      <c r="D24" s="164">
        <v>22.536000000000001</v>
      </c>
    </row>
    <row r="25" spans="2:7" ht="18.75" x14ac:dyDescent="0.25">
      <c r="B25" s="42">
        <v>4</v>
      </c>
      <c r="C25" s="164">
        <v>21.695</v>
      </c>
      <c r="D25" s="164">
        <v>21.695</v>
      </c>
    </row>
    <row r="26" spans="2:7" ht="18.75" x14ac:dyDescent="0.25">
      <c r="B26" s="42">
        <v>5</v>
      </c>
      <c r="C26" s="164">
        <v>21.175000000000001</v>
      </c>
      <c r="D26" s="164">
        <v>21.175000000000001</v>
      </c>
    </row>
    <row r="27" spans="2:7" ht="18.75" x14ac:dyDescent="0.25">
      <c r="B27" s="42">
        <v>6</v>
      </c>
      <c r="C27" s="164">
        <v>21.204999999999998</v>
      </c>
      <c r="D27" s="164">
        <v>21.204999999999998</v>
      </c>
    </row>
    <row r="28" spans="2:7" ht="18.75" x14ac:dyDescent="0.25">
      <c r="B28" s="42">
        <v>7</v>
      </c>
      <c r="C28" s="164">
        <v>23.177</v>
      </c>
      <c r="D28" s="164">
        <v>23.177</v>
      </c>
    </row>
    <row r="29" spans="2:7" ht="18.75" x14ac:dyDescent="0.25">
      <c r="B29" s="42">
        <v>8</v>
      </c>
      <c r="C29" s="164">
        <v>23.201000000000001</v>
      </c>
      <c r="D29" s="164">
        <v>23.201000000000001</v>
      </c>
    </row>
    <row r="30" spans="2:7" ht="18.75" x14ac:dyDescent="0.25">
      <c r="B30" s="42">
        <v>9</v>
      </c>
      <c r="C30" s="164">
        <v>23.157</v>
      </c>
      <c r="D30" s="164">
        <v>23.157</v>
      </c>
    </row>
    <row r="31" spans="2:7" ht="18.75" x14ac:dyDescent="0.25">
      <c r="B31" s="42">
        <v>10</v>
      </c>
      <c r="C31" s="164">
        <v>22.885999999999999</v>
      </c>
      <c r="D31" s="164">
        <v>22.885999999999999</v>
      </c>
    </row>
    <row r="32" spans="2:7" ht="18.75" x14ac:dyDescent="0.25">
      <c r="B32" s="42">
        <v>11</v>
      </c>
      <c r="C32" s="164">
        <v>22.934000000000001</v>
      </c>
      <c r="D32" s="164">
        <v>22.934000000000001</v>
      </c>
    </row>
    <row r="33" spans="2:4" ht="18.75" x14ac:dyDescent="0.25">
      <c r="B33" s="42">
        <v>12</v>
      </c>
      <c r="C33" s="164">
        <v>23.542000000000002</v>
      </c>
      <c r="D33" s="164">
        <v>23.542000000000002</v>
      </c>
    </row>
    <row r="34" spans="2:4" ht="18.75" x14ac:dyDescent="0.25">
      <c r="B34" s="42">
        <v>13</v>
      </c>
      <c r="C34" s="164">
        <v>23.33</v>
      </c>
      <c r="D34" s="164">
        <v>23.33</v>
      </c>
    </row>
    <row r="35" spans="2:4" ht="18.75" x14ac:dyDescent="0.25">
      <c r="B35" s="42">
        <v>14</v>
      </c>
      <c r="C35" s="164">
        <v>22.315999999999999</v>
      </c>
      <c r="D35" s="164">
        <v>22.315999999999999</v>
      </c>
    </row>
    <row r="36" spans="2:4" ht="18.75" x14ac:dyDescent="0.25">
      <c r="B36" s="42">
        <v>15</v>
      </c>
      <c r="C36" s="164">
        <v>22.155000000000001</v>
      </c>
      <c r="D36" s="164">
        <v>22.155000000000001</v>
      </c>
    </row>
    <row r="37" spans="2:4" ht="18.75" x14ac:dyDescent="0.25">
      <c r="B37" s="42">
        <v>16</v>
      </c>
      <c r="C37" s="164">
        <v>22.701000000000001</v>
      </c>
      <c r="D37" s="164">
        <v>22.701000000000001</v>
      </c>
    </row>
    <row r="38" spans="2:4" ht="18.75" x14ac:dyDescent="0.25">
      <c r="B38" s="42">
        <v>17</v>
      </c>
      <c r="C38" s="164">
        <v>23.265999999999998</v>
      </c>
      <c r="D38" s="164">
        <v>23.265999999999998</v>
      </c>
    </row>
    <row r="39" spans="2:4" ht="18.75" x14ac:dyDescent="0.25">
      <c r="B39" s="42">
        <v>18</v>
      </c>
      <c r="C39" s="164">
        <v>23.329000000000001</v>
      </c>
      <c r="D39" s="164">
        <v>23.329000000000001</v>
      </c>
    </row>
    <row r="40" spans="2:4" ht="18.75" x14ac:dyDescent="0.25">
      <c r="B40" s="42">
        <v>19</v>
      </c>
      <c r="C40" s="164">
        <v>23.501000000000001</v>
      </c>
      <c r="D40" s="164">
        <v>23.501000000000001</v>
      </c>
    </row>
    <row r="41" spans="2:4" ht="18.75" x14ac:dyDescent="0.25">
      <c r="B41" s="42">
        <v>20</v>
      </c>
      <c r="C41" s="164">
        <v>23.739000000000001</v>
      </c>
      <c r="D41" s="164">
        <v>23.739000000000001</v>
      </c>
    </row>
    <row r="42" spans="2:4" ht="18.75" x14ac:dyDescent="0.25">
      <c r="B42" s="42">
        <v>21</v>
      </c>
      <c r="C42" s="164">
        <v>23.69</v>
      </c>
      <c r="D42" s="164">
        <v>23.69</v>
      </c>
    </row>
    <row r="43" spans="2:4" ht="18.75" x14ac:dyDescent="0.25">
      <c r="B43" s="42">
        <v>22</v>
      </c>
      <c r="C43" s="164">
        <v>23.707999999999998</v>
      </c>
      <c r="D43" s="164">
        <v>23.707999999999998</v>
      </c>
    </row>
    <row r="44" spans="2:4" ht="18.75" x14ac:dyDescent="0.25">
      <c r="B44" s="42">
        <v>23</v>
      </c>
      <c r="C44" s="164">
        <v>23.254000000000001</v>
      </c>
      <c r="D44" s="164">
        <v>23.254000000000001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22.892782608695647</v>
      </c>
      <c r="D46" s="166"/>
    </row>
    <row r="47" spans="2:4" ht="31.5" x14ac:dyDescent="0.25">
      <c r="B47" s="45" t="s">
        <v>48</v>
      </c>
      <c r="C47" s="44">
        <f>_xlfn.STDEV.S(C21:C45)</f>
        <v>0.72720955156272427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B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23.645</v>
      </c>
      <c r="D21" s="164">
        <v>23.645</v>
      </c>
    </row>
    <row r="22" spans="2:7" ht="18.75" x14ac:dyDescent="0.25">
      <c r="B22" s="42">
        <v>1</v>
      </c>
      <c r="C22" s="164">
        <v>22.917000000000002</v>
      </c>
      <c r="D22" s="164">
        <v>22.917000000000002</v>
      </c>
    </row>
    <row r="23" spans="2:7" ht="18.75" x14ac:dyDescent="0.25">
      <c r="B23" s="42">
        <v>2</v>
      </c>
      <c r="C23" s="164">
        <v>22.882999999999999</v>
      </c>
      <c r="D23" s="164">
        <v>22.882999999999999</v>
      </c>
    </row>
    <row r="24" spans="2:7" ht="18.75" x14ac:dyDescent="0.25">
      <c r="B24" s="42">
        <v>3</v>
      </c>
      <c r="C24" s="164">
        <v>23.152999999999999</v>
      </c>
      <c r="D24" s="164">
        <v>23.152999999999999</v>
      </c>
    </row>
    <row r="25" spans="2:7" ht="18.75" x14ac:dyDescent="0.25">
      <c r="B25" s="42">
        <v>4</v>
      </c>
      <c r="C25" s="164">
        <v>23.716000000000001</v>
      </c>
      <c r="D25" s="164">
        <v>23.716000000000001</v>
      </c>
    </row>
    <row r="26" spans="2:7" ht="18.75" x14ac:dyDescent="0.25">
      <c r="B26" s="42">
        <v>5</v>
      </c>
      <c r="C26" s="164">
        <v>23.384</v>
      </c>
      <c r="D26" s="164">
        <v>23.384</v>
      </c>
    </row>
    <row r="27" spans="2:7" ht="18.75" x14ac:dyDescent="0.25">
      <c r="B27" s="42">
        <v>6</v>
      </c>
      <c r="C27" s="164">
        <v>23.428999999999998</v>
      </c>
      <c r="D27" s="164">
        <v>23.428999999999998</v>
      </c>
    </row>
    <row r="28" spans="2:7" ht="18.75" x14ac:dyDescent="0.25">
      <c r="B28" s="42">
        <v>7</v>
      </c>
      <c r="C28" s="164">
        <v>22.401</v>
      </c>
      <c r="D28" s="164">
        <v>22.401</v>
      </c>
    </row>
    <row r="29" spans="2:7" ht="18.75" x14ac:dyDescent="0.25">
      <c r="B29" s="42">
        <v>8</v>
      </c>
      <c r="C29" s="164">
        <v>22.481999999999999</v>
      </c>
      <c r="D29" s="164">
        <v>22.481999999999999</v>
      </c>
    </row>
    <row r="30" spans="2:7" ht="18.75" x14ac:dyDescent="0.25">
      <c r="B30" s="42">
        <v>9</v>
      </c>
      <c r="C30" s="164">
        <v>22.003</v>
      </c>
      <c r="D30" s="164">
        <v>22.003</v>
      </c>
    </row>
    <row r="31" spans="2:7" ht="18.75" x14ac:dyDescent="0.25">
      <c r="B31" s="42">
        <v>10</v>
      </c>
      <c r="C31" s="164">
        <v>22.221</v>
      </c>
      <c r="D31" s="164">
        <v>22.221</v>
      </c>
    </row>
    <row r="32" spans="2:7" ht="18.75" x14ac:dyDescent="0.25">
      <c r="B32" s="42">
        <v>11</v>
      </c>
      <c r="C32" s="164">
        <v>21.905999999999999</v>
      </c>
      <c r="D32" s="164">
        <v>21.905999999999999</v>
      </c>
    </row>
    <row r="33" spans="2:4" ht="18.75" x14ac:dyDescent="0.25">
      <c r="B33" s="42">
        <v>12</v>
      </c>
      <c r="C33" s="164">
        <v>22.692</v>
      </c>
      <c r="D33" s="164">
        <v>22.692</v>
      </c>
    </row>
    <row r="34" spans="2:4" ht="18.75" x14ac:dyDescent="0.25">
      <c r="B34" s="42">
        <v>13</v>
      </c>
      <c r="C34" s="164">
        <v>22.72</v>
      </c>
      <c r="D34" s="164">
        <v>22.72</v>
      </c>
    </row>
    <row r="35" spans="2:4" ht="18.75" x14ac:dyDescent="0.25">
      <c r="B35" s="42">
        <v>14</v>
      </c>
      <c r="C35" s="164">
        <v>22.36</v>
      </c>
      <c r="D35" s="164">
        <v>22.36</v>
      </c>
    </row>
    <row r="36" spans="2:4" ht="18.75" x14ac:dyDescent="0.25">
      <c r="B36" s="42">
        <v>15</v>
      </c>
      <c r="C36" s="164">
        <v>22.042999999999999</v>
      </c>
      <c r="D36" s="164">
        <v>22.042999999999999</v>
      </c>
    </row>
    <row r="37" spans="2:4" ht="18.75" x14ac:dyDescent="0.25">
      <c r="B37" s="42">
        <v>16</v>
      </c>
      <c r="C37" s="164">
        <v>22.879000000000001</v>
      </c>
      <c r="D37" s="164">
        <v>22.879000000000001</v>
      </c>
    </row>
    <row r="38" spans="2:4" ht="18.75" x14ac:dyDescent="0.25">
      <c r="B38" s="42">
        <v>17</v>
      </c>
      <c r="C38" s="164">
        <v>22.792000000000002</v>
      </c>
      <c r="D38" s="164">
        <v>22.792000000000002</v>
      </c>
    </row>
    <row r="39" spans="2:4" ht="18.75" x14ac:dyDescent="0.25">
      <c r="B39" s="42">
        <v>18</v>
      </c>
      <c r="C39" s="164">
        <v>22.780999999999999</v>
      </c>
      <c r="D39" s="164">
        <v>22.780999999999999</v>
      </c>
    </row>
    <row r="40" spans="2:4" ht="18.75" x14ac:dyDescent="0.25">
      <c r="B40" s="42">
        <v>19</v>
      </c>
      <c r="C40" s="164">
        <v>22.625</v>
      </c>
      <c r="D40" s="164">
        <v>22.625</v>
      </c>
    </row>
    <row r="41" spans="2:4" ht="18.75" x14ac:dyDescent="0.25">
      <c r="B41" s="42">
        <v>20</v>
      </c>
      <c r="C41" s="164">
        <v>22.81</v>
      </c>
      <c r="D41" s="164">
        <v>22.81</v>
      </c>
    </row>
    <row r="42" spans="2:4" ht="18.75" x14ac:dyDescent="0.25">
      <c r="B42" s="42">
        <v>21</v>
      </c>
      <c r="C42" s="164">
        <v>22.507000000000001</v>
      </c>
      <c r="D42" s="164">
        <v>22.507000000000001</v>
      </c>
    </row>
    <row r="43" spans="2:4" ht="18.75" x14ac:dyDescent="0.25">
      <c r="B43" s="42">
        <v>22</v>
      </c>
      <c r="C43" s="164">
        <v>22.675000000000001</v>
      </c>
      <c r="D43" s="164">
        <v>22.675000000000001</v>
      </c>
    </row>
    <row r="44" spans="2:4" ht="18.75" x14ac:dyDescent="0.25">
      <c r="B44" s="42">
        <v>23</v>
      </c>
      <c r="C44" s="164">
        <v>22.751000000000001</v>
      </c>
      <c r="D44" s="164">
        <v>22.751000000000001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22.701304347826092</v>
      </c>
      <c r="D46" s="166"/>
    </row>
    <row r="47" spans="2:4" ht="31.5" x14ac:dyDescent="0.25">
      <c r="B47" s="45" t="s">
        <v>48</v>
      </c>
      <c r="C47" s="44">
        <f>_xlfn.STDEV.S(C21:C45)</f>
        <v>0.48032351529758166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B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23.523</v>
      </c>
      <c r="D21" s="164">
        <v>23.523</v>
      </c>
    </row>
    <row r="22" spans="2:7" ht="18.75" x14ac:dyDescent="0.25">
      <c r="B22" s="42">
        <v>1</v>
      </c>
      <c r="C22" s="164">
        <v>22.867999999999999</v>
      </c>
      <c r="D22" s="164">
        <v>22.867999999999999</v>
      </c>
    </row>
    <row r="23" spans="2:7" ht="18.75" x14ac:dyDescent="0.25">
      <c r="B23" s="42">
        <v>2</v>
      </c>
      <c r="C23" s="164">
        <v>23.013999999999999</v>
      </c>
      <c r="D23" s="164">
        <v>23.013999999999999</v>
      </c>
    </row>
    <row r="24" spans="2:7" ht="18.75" x14ac:dyDescent="0.25">
      <c r="B24" s="42">
        <v>3</v>
      </c>
      <c r="C24" s="164">
        <v>23.167000000000002</v>
      </c>
      <c r="D24" s="164">
        <v>23.167000000000002</v>
      </c>
    </row>
    <row r="25" spans="2:7" ht="18.75" x14ac:dyDescent="0.25">
      <c r="B25" s="42">
        <v>4</v>
      </c>
      <c r="C25" s="164">
        <v>22.943999999999999</v>
      </c>
      <c r="D25" s="164">
        <v>22.943999999999999</v>
      </c>
    </row>
    <row r="26" spans="2:7" ht="18.75" x14ac:dyDescent="0.25">
      <c r="B26" s="42">
        <v>5</v>
      </c>
      <c r="C26" s="164">
        <v>23.524999999999999</v>
      </c>
      <c r="D26" s="164">
        <v>23.524999999999999</v>
      </c>
    </row>
    <row r="27" spans="2:7" ht="18.75" x14ac:dyDescent="0.25">
      <c r="B27" s="42">
        <v>6</v>
      </c>
      <c r="C27" s="164">
        <v>23.800999999999998</v>
      </c>
      <c r="D27" s="164">
        <v>23.800999999999998</v>
      </c>
    </row>
    <row r="28" spans="2:7" ht="18.75" x14ac:dyDescent="0.25">
      <c r="B28" s="42">
        <v>7</v>
      </c>
      <c r="C28" s="164">
        <v>22.847000000000001</v>
      </c>
      <c r="D28" s="164">
        <v>22.847000000000001</v>
      </c>
    </row>
    <row r="29" spans="2:7" ht="18.75" x14ac:dyDescent="0.25">
      <c r="B29" s="42">
        <v>8</v>
      </c>
      <c r="C29" s="164">
        <v>21.751000000000001</v>
      </c>
      <c r="D29" s="164">
        <v>21.751000000000001</v>
      </c>
    </row>
    <row r="30" spans="2:7" ht="18.75" x14ac:dyDescent="0.25">
      <c r="B30" s="42">
        <v>9</v>
      </c>
      <c r="C30" s="164">
        <v>22.827000000000002</v>
      </c>
      <c r="D30" s="164">
        <v>22.827000000000002</v>
      </c>
    </row>
    <row r="31" spans="2:7" ht="18.75" x14ac:dyDescent="0.25">
      <c r="B31" s="42">
        <v>10</v>
      </c>
      <c r="C31" s="164">
        <v>22.375</v>
      </c>
      <c r="D31" s="164">
        <v>22.375</v>
      </c>
    </row>
    <row r="32" spans="2:7" ht="18.75" x14ac:dyDescent="0.25">
      <c r="B32" s="42">
        <v>11</v>
      </c>
      <c r="C32" s="164">
        <v>22.492999999999999</v>
      </c>
      <c r="D32" s="164">
        <v>22.492999999999999</v>
      </c>
    </row>
    <row r="33" spans="2:4" ht="18.75" x14ac:dyDescent="0.25">
      <c r="B33" s="42">
        <v>12</v>
      </c>
      <c r="C33" s="164">
        <v>21.788</v>
      </c>
      <c r="D33" s="164">
        <v>21.788</v>
      </c>
    </row>
    <row r="34" spans="2:4" ht="18.75" x14ac:dyDescent="0.25">
      <c r="B34" s="42">
        <v>13</v>
      </c>
      <c r="C34" s="164">
        <v>21.902999999999999</v>
      </c>
      <c r="D34" s="164">
        <v>21.902999999999999</v>
      </c>
    </row>
    <row r="35" spans="2:4" ht="18.75" x14ac:dyDescent="0.25">
      <c r="B35" s="42">
        <v>14</v>
      </c>
      <c r="C35" s="164">
        <v>22.29</v>
      </c>
      <c r="D35" s="164">
        <v>22.29</v>
      </c>
    </row>
    <row r="36" spans="2:4" ht="18.75" x14ac:dyDescent="0.25">
      <c r="B36" s="42">
        <v>15</v>
      </c>
      <c r="C36" s="164">
        <v>21.986000000000001</v>
      </c>
      <c r="D36" s="164">
        <v>21.986000000000001</v>
      </c>
    </row>
    <row r="37" spans="2:4" ht="18.75" x14ac:dyDescent="0.25">
      <c r="B37" s="42">
        <v>16</v>
      </c>
      <c r="C37" s="164">
        <v>22.248999999999999</v>
      </c>
      <c r="D37" s="164">
        <v>22.248999999999999</v>
      </c>
    </row>
    <row r="38" spans="2:4" ht="18.75" x14ac:dyDescent="0.25">
      <c r="B38" s="42">
        <v>17</v>
      </c>
      <c r="C38" s="164">
        <v>22.873000000000001</v>
      </c>
      <c r="D38" s="164">
        <v>22.873000000000001</v>
      </c>
    </row>
    <row r="39" spans="2:4" ht="18.75" x14ac:dyDescent="0.25">
      <c r="B39" s="42">
        <v>18</v>
      </c>
      <c r="C39" s="164">
        <v>23.303000000000001</v>
      </c>
      <c r="D39" s="164">
        <v>23.303000000000001</v>
      </c>
    </row>
    <row r="40" spans="2:4" ht="18.75" x14ac:dyDescent="0.25">
      <c r="B40" s="42">
        <v>19</v>
      </c>
      <c r="C40" s="164">
        <v>23.141999999999999</v>
      </c>
      <c r="D40" s="164">
        <v>23.141999999999999</v>
      </c>
    </row>
    <row r="41" spans="2:4" ht="18.75" x14ac:dyDescent="0.25">
      <c r="B41" s="42">
        <v>20</v>
      </c>
      <c r="C41" s="164">
        <v>22.84</v>
      </c>
      <c r="D41" s="164">
        <v>22.84</v>
      </c>
    </row>
    <row r="42" spans="2:4" ht="18.75" x14ac:dyDescent="0.25">
      <c r="B42" s="42">
        <v>21</v>
      </c>
      <c r="C42" s="164">
        <v>22.861999999999998</v>
      </c>
      <c r="D42" s="164">
        <v>22.861999999999998</v>
      </c>
    </row>
    <row r="43" spans="2:4" ht="18.75" x14ac:dyDescent="0.25">
      <c r="B43" s="42">
        <v>22</v>
      </c>
      <c r="C43" s="164">
        <v>22.565999999999999</v>
      </c>
      <c r="D43" s="164">
        <v>22.565999999999999</v>
      </c>
    </row>
    <row r="44" spans="2:4" ht="18.75" x14ac:dyDescent="0.25">
      <c r="B44" s="42">
        <v>23</v>
      </c>
      <c r="C44" s="164">
        <v>22.574999999999999</v>
      </c>
      <c r="D44" s="164">
        <v>22.574999999999999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/>
      <c r="D46" s="166"/>
    </row>
    <row r="47" spans="2:4" ht="31.5" x14ac:dyDescent="0.25">
      <c r="B47" s="45" t="s">
        <v>48</v>
      </c>
      <c r="C47" s="44">
        <f>_xlfn.STDEV.S(C21:C45)</f>
        <v>0.55391363843164176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22.600999999999999</v>
      </c>
      <c r="D21" s="164">
        <v>22.600999999999999</v>
      </c>
    </row>
    <row r="22" spans="2:7" ht="18.75" x14ac:dyDescent="0.25">
      <c r="B22" s="42">
        <v>1</v>
      </c>
      <c r="C22" s="164">
        <v>22.512</v>
      </c>
      <c r="D22" s="164">
        <v>22.512</v>
      </c>
    </row>
    <row r="23" spans="2:7" ht="18.75" x14ac:dyDescent="0.25">
      <c r="B23" s="42">
        <v>2</v>
      </c>
      <c r="C23" s="164">
        <v>22.462</v>
      </c>
      <c r="D23" s="164">
        <v>22.462</v>
      </c>
    </row>
    <row r="24" spans="2:7" ht="18.75" x14ac:dyDescent="0.25">
      <c r="B24" s="42">
        <v>3</v>
      </c>
      <c r="C24" s="164">
        <v>22.501000000000001</v>
      </c>
      <c r="D24" s="164">
        <v>22.501000000000001</v>
      </c>
    </row>
    <row r="25" spans="2:7" ht="18.75" x14ac:dyDescent="0.25">
      <c r="B25" s="42">
        <v>4</v>
      </c>
      <c r="C25" s="164">
        <v>22.466000000000001</v>
      </c>
      <c r="D25" s="164">
        <v>22.466000000000001</v>
      </c>
    </row>
    <row r="26" spans="2:7" ht="18.75" x14ac:dyDescent="0.25">
      <c r="B26" s="42">
        <v>5</v>
      </c>
      <c r="C26" s="164">
        <v>23.007999999999999</v>
      </c>
      <c r="D26" s="164">
        <v>23.007999999999999</v>
      </c>
    </row>
    <row r="27" spans="2:7" ht="18.75" x14ac:dyDescent="0.25">
      <c r="B27" s="42">
        <v>6</v>
      </c>
      <c r="C27" s="164">
        <v>23.166</v>
      </c>
      <c r="D27" s="164">
        <v>23.166</v>
      </c>
    </row>
    <row r="28" spans="2:7" ht="18.75" x14ac:dyDescent="0.25">
      <c r="B28" s="42">
        <v>7</v>
      </c>
      <c r="C28" s="164">
        <v>22.614000000000001</v>
      </c>
      <c r="D28" s="164">
        <v>22.614000000000001</v>
      </c>
    </row>
    <row r="29" spans="2:7" ht="18.75" x14ac:dyDescent="0.25">
      <c r="B29" s="42">
        <v>8</v>
      </c>
      <c r="C29" s="164">
        <v>21.594999999999999</v>
      </c>
      <c r="D29" s="164">
        <v>21.594999999999999</v>
      </c>
    </row>
    <row r="30" spans="2:7" ht="18.75" x14ac:dyDescent="0.25">
      <c r="B30" s="42">
        <v>9</v>
      </c>
      <c r="C30" s="164">
        <v>21.573</v>
      </c>
      <c r="D30" s="164">
        <v>21.573</v>
      </c>
    </row>
    <row r="31" spans="2:7" ht="18.75" x14ac:dyDescent="0.25">
      <c r="B31" s="42">
        <v>10</v>
      </c>
      <c r="C31" s="164">
        <v>22.096</v>
      </c>
      <c r="D31" s="164">
        <v>22.096</v>
      </c>
    </row>
    <row r="32" spans="2:7" ht="18.75" x14ac:dyDescent="0.25">
      <c r="B32" s="42">
        <v>11</v>
      </c>
      <c r="C32" s="164">
        <v>22.298999999999999</v>
      </c>
      <c r="D32" s="164">
        <v>22.298999999999999</v>
      </c>
    </row>
    <row r="33" spans="2:4" ht="18.75" x14ac:dyDescent="0.25">
      <c r="B33" s="42">
        <v>12</v>
      </c>
      <c r="C33" s="164">
        <v>21.956</v>
      </c>
      <c r="D33" s="164">
        <v>21.956</v>
      </c>
    </row>
    <row r="34" spans="2:4" ht="18.75" x14ac:dyDescent="0.25">
      <c r="B34" s="42">
        <v>13</v>
      </c>
      <c r="C34" s="164">
        <v>22.91</v>
      </c>
      <c r="D34" s="164">
        <v>22.91</v>
      </c>
    </row>
    <row r="35" spans="2:4" ht="18.75" x14ac:dyDescent="0.25">
      <c r="B35" s="42">
        <v>14</v>
      </c>
      <c r="C35" s="164">
        <v>24.402999999999999</v>
      </c>
      <c r="D35" s="164">
        <v>24.402999999999999</v>
      </c>
    </row>
    <row r="36" spans="2:4" ht="18.75" x14ac:dyDescent="0.25">
      <c r="B36" s="42">
        <v>15</v>
      </c>
      <c r="C36" s="164">
        <v>22.306000000000001</v>
      </c>
      <c r="D36" s="164">
        <v>22.306000000000001</v>
      </c>
    </row>
    <row r="37" spans="2:4" ht="18.75" x14ac:dyDescent="0.25">
      <c r="B37" s="42">
        <v>16</v>
      </c>
      <c r="C37" s="164">
        <v>22.995999999999999</v>
      </c>
      <c r="D37" s="164">
        <v>22.995999999999999</v>
      </c>
    </row>
    <row r="38" spans="2:4" ht="18.75" x14ac:dyDescent="0.25">
      <c r="B38" s="42">
        <v>17</v>
      </c>
      <c r="C38" s="164">
        <v>23.206</v>
      </c>
      <c r="D38" s="164">
        <v>23.206</v>
      </c>
    </row>
    <row r="39" spans="2:4" ht="18.75" x14ac:dyDescent="0.25">
      <c r="B39" s="42">
        <v>18</v>
      </c>
      <c r="C39" s="164">
        <v>23.544</v>
      </c>
      <c r="D39" s="164">
        <v>23.544</v>
      </c>
    </row>
    <row r="40" spans="2:4" ht="18.75" x14ac:dyDescent="0.25">
      <c r="B40" s="42">
        <v>19</v>
      </c>
      <c r="C40" s="164">
        <v>23.298999999999999</v>
      </c>
      <c r="D40" s="164">
        <v>23.298999999999999</v>
      </c>
    </row>
    <row r="41" spans="2:4" ht="18.75" x14ac:dyDescent="0.25">
      <c r="B41" s="42">
        <v>20</v>
      </c>
      <c r="C41" s="164">
        <v>23.381</v>
      </c>
      <c r="D41" s="164">
        <v>23.381</v>
      </c>
    </row>
    <row r="42" spans="2:4" ht="18.75" x14ac:dyDescent="0.25">
      <c r="B42" s="42">
        <v>21</v>
      </c>
      <c r="C42" s="164">
        <v>22.92</v>
      </c>
      <c r="D42" s="164">
        <v>22.92</v>
      </c>
    </row>
    <row r="43" spans="2:4" ht="18.75" x14ac:dyDescent="0.25">
      <c r="B43" s="42">
        <v>22</v>
      </c>
      <c r="C43" s="164">
        <v>23.03</v>
      </c>
      <c r="D43" s="164">
        <v>23.03</v>
      </c>
    </row>
    <row r="44" spans="2:4" ht="18.75" x14ac:dyDescent="0.25">
      <c r="B44" s="42">
        <v>23</v>
      </c>
      <c r="C44" s="164">
        <v>23.106999999999999</v>
      </c>
      <c r="D44" s="164">
        <v>23.106999999999999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22.754347826086956</v>
      </c>
      <c r="D46" s="166"/>
    </row>
    <row r="47" spans="2:4" ht="31.5" x14ac:dyDescent="0.25">
      <c r="B47" s="45" t="s">
        <v>48</v>
      </c>
      <c r="C47" s="44">
        <f>_xlfn.STDEV.S(C21:C45)</f>
        <v>0.6369667576587642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23.417999999999999</v>
      </c>
      <c r="D21" s="164">
        <v>23.417999999999999</v>
      </c>
    </row>
    <row r="22" spans="2:7" ht="18.75" x14ac:dyDescent="0.25">
      <c r="B22" s="42">
        <v>1</v>
      </c>
      <c r="C22" s="164">
        <v>22.916</v>
      </c>
      <c r="D22" s="164">
        <v>22.916</v>
      </c>
    </row>
    <row r="23" spans="2:7" ht="18.75" x14ac:dyDescent="0.25">
      <c r="B23" s="42">
        <v>2</v>
      </c>
      <c r="C23" s="164">
        <v>23.251000000000001</v>
      </c>
      <c r="D23" s="164">
        <v>23.251000000000001</v>
      </c>
    </row>
    <row r="24" spans="2:7" ht="18.75" x14ac:dyDescent="0.25">
      <c r="B24" s="42">
        <v>3</v>
      </c>
      <c r="C24" s="164">
        <v>23.074999999999999</v>
      </c>
      <c r="D24" s="164">
        <v>23.074999999999999</v>
      </c>
    </row>
    <row r="25" spans="2:7" ht="18.75" x14ac:dyDescent="0.25">
      <c r="B25" s="42">
        <v>4</v>
      </c>
      <c r="C25" s="164">
        <v>22.952999999999999</v>
      </c>
      <c r="D25" s="164">
        <v>22.952999999999999</v>
      </c>
    </row>
    <row r="26" spans="2:7" ht="18.75" x14ac:dyDescent="0.25">
      <c r="B26" s="42">
        <v>5</v>
      </c>
      <c r="C26" s="164">
        <v>23.06</v>
      </c>
      <c r="D26" s="164">
        <v>23.06</v>
      </c>
    </row>
    <row r="27" spans="2:7" ht="18.75" x14ac:dyDescent="0.25">
      <c r="B27" s="42">
        <v>6</v>
      </c>
      <c r="C27" s="164">
        <v>23.085999999999999</v>
      </c>
      <c r="D27" s="164">
        <v>23.085999999999999</v>
      </c>
    </row>
    <row r="28" spans="2:7" ht="18.75" x14ac:dyDescent="0.25">
      <c r="B28" s="42">
        <v>7</v>
      </c>
      <c r="C28" s="164">
        <v>23.295999999999999</v>
      </c>
      <c r="D28" s="164">
        <v>23.295999999999999</v>
      </c>
    </row>
    <row r="29" spans="2:7" ht="18.75" x14ac:dyDescent="0.25">
      <c r="B29" s="42">
        <v>8</v>
      </c>
      <c r="C29" s="164">
        <v>22.331</v>
      </c>
      <c r="D29" s="164">
        <v>22.331</v>
      </c>
    </row>
    <row r="30" spans="2:7" ht="18.75" x14ac:dyDescent="0.25">
      <c r="B30" s="42">
        <v>9</v>
      </c>
      <c r="C30" s="164">
        <v>22.61</v>
      </c>
      <c r="D30" s="164">
        <v>22.61</v>
      </c>
    </row>
    <row r="31" spans="2:7" ht="18.75" x14ac:dyDescent="0.25">
      <c r="B31" s="42">
        <v>10</v>
      </c>
      <c r="C31" s="164">
        <v>24.257999999999999</v>
      </c>
      <c r="D31" s="164">
        <v>24.257999999999999</v>
      </c>
    </row>
    <row r="32" spans="2:7" ht="18.75" x14ac:dyDescent="0.25">
      <c r="B32" s="42">
        <v>11</v>
      </c>
      <c r="C32" s="164">
        <v>24.327000000000002</v>
      </c>
      <c r="D32" s="164">
        <v>24.327000000000002</v>
      </c>
    </row>
    <row r="33" spans="2:4" ht="18.75" x14ac:dyDescent="0.25">
      <c r="B33" s="42">
        <v>12</v>
      </c>
      <c r="C33" s="164">
        <v>22.478999999999999</v>
      </c>
      <c r="D33" s="164">
        <v>22.478999999999999</v>
      </c>
    </row>
    <row r="34" spans="2:4" ht="18.75" x14ac:dyDescent="0.25">
      <c r="B34" s="42">
        <v>13</v>
      </c>
      <c r="C34" s="164">
        <v>21.966999999999999</v>
      </c>
      <c r="D34" s="164">
        <v>21.966999999999999</v>
      </c>
    </row>
    <row r="35" spans="2:4" ht="18.75" x14ac:dyDescent="0.25">
      <c r="B35" s="42">
        <v>14</v>
      </c>
      <c r="C35" s="164">
        <v>22.914000000000001</v>
      </c>
      <c r="D35" s="164">
        <v>22.914000000000001</v>
      </c>
    </row>
    <row r="36" spans="2:4" ht="18.75" x14ac:dyDescent="0.25">
      <c r="B36" s="42">
        <v>15</v>
      </c>
      <c r="C36" s="164">
        <v>24.16</v>
      </c>
      <c r="D36" s="164">
        <v>24.16</v>
      </c>
    </row>
    <row r="37" spans="2:4" ht="18.75" x14ac:dyDescent="0.25">
      <c r="B37" s="42">
        <v>16</v>
      </c>
      <c r="C37" s="164">
        <v>22.358000000000001</v>
      </c>
      <c r="D37" s="164">
        <v>22.358000000000001</v>
      </c>
    </row>
    <row r="38" spans="2:4" ht="18.75" x14ac:dyDescent="0.25">
      <c r="B38" s="42">
        <v>17</v>
      </c>
      <c r="C38" s="164">
        <v>22.657</v>
      </c>
      <c r="D38" s="164">
        <v>22.657</v>
      </c>
    </row>
    <row r="39" spans="2:4" ht="18.75" x14ac:dyDescent="0.25">
      <c r="B39" s="42">
        <v>18</v>
      </c>
      <c r="C39" s="164">
        <v>23.193000000000001</v>
      </c>
      <c r="D39" s="164">
        <v>23.193000000000001</v>
      </c>
    </row>
    <row r="40" spans="2:4" ht="18.75" x14ac:dyDescent="0.25">
      <c r="B40" s="42">
        <v>19</v>
      </c>
      <c r="C40" s="164">
        <v>23.859000000000002</v>
      </c>
      <c r="D40" s="164">
        <v>23.859000000000002</v>
      </c>
    </row>
    <row r="41" spans="2:4" ht="18.75" x14ac:dyDescent="0.25">
      <c r="B41" s="42">
        <v>20</v>
      </c>
      <c r="C41" s="164">
        <v>23.736000000000001</v>
      </c>
      <c r="D41" s="164">
        <v>23.736000000000001</v>
      </c>
    </row>
    <row r="42" spans="2:4" ht="18.75" x14ac:dyDescent="0.25">
      <c r="B42" s="42">
        <v>21</v>
      </c>
      <c r="C42" s="164">
        <v>23.751999999999999</v>
      </c>
      <c r="D42" s="164">
        <v>23.751999999999999</v>
      </c>
    </row>
    <row r="43" spans="2:4" ht="18.75" x14ac:dyDescent="0.25">
      <c r="B43" s="42">
        <v>22</v>
      </c>
      <c r="C43" s="164">
        <v>23.802</v>
      </c>
      <c r="D43" s="164">
        <v>23.802</v>
      </c>
    </row>
    <row r="44" spans="2:4" ht="18.75" x14ac:dyDescent="0.25">
      <c r="B44" s="42">
        <v>23</v>
      </c>
      <c r="C44" s="164">
        <v>23.768999999999998</v>
      </c>
      <c r="D44" s="164">
        <v>23.768999999999998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23.209086956521737</v>
      </c>
      <c r="D46" s="166"/>
    </row>
    <row r="47" spans="2:4" ht="31.5" x14ac:dyDescent="0.25">
      <c r="B47" s="45" t="s">
        <v>48</v>
      </c>
      <c r="C47" s="44">
        <f>_xlfn.STDEV.S(C21:C45)</f>
        <v>0.64248897667191762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B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23.131</v>
      </c>
      <c r="D21" s="164">
        <v>23.131</v>
      </c>
    </row>
    <row r="22" spans="2:7" ht="18.75" x14ac:dyDescent="0.25">
      <c r="B22" s="42">
        <v>1</v>
      </c>
      <c r="C22" s="164">
        <v>23.225000000000001</v>
      </c>
      <c r="D22" s="164">
        <v>23.225000000000001</v>
      </c>
    </row>
    <row r="23" spans="2:7" ht="18.75" x14ac:dyDescent="0.25">
      <c r="B23" s="42">
        <v>2</v>
      </c>
      <c r="C23" s="164">
        <v>23.158000000000001</v>
      </c>
      <c r="D23" s="164">
        <v>23.158000000000001</v>
      </c>
    </row>
    <row r="24" spans="2:7" ht="18.75" x14ac:dyDescent="0.25">
      <c r="B24" s="42">
        <v>3</v>
      </c>
      <c r="C24" s="164">
        <v>23.39</v>
      </c>
      <c r="D24" s="164">
        <v>23.39</v>
      </c>
    </row>
    <row r="25" spans="2:7" ht="18.75" x14ac:dyDescent="0.25">
      <c r="B25" s="42">
        <v>4</v>
      </c>
      <c r="C25" s="164">
        <v>23.561</v>
      </c>
      <c r="D25" s="164">
        <v>23.561</v>
      </c>
    </row>
    <row r="26" spans="2:7" ht="18.75" x14ac:dyDescent="0.25">
      <c r="B26" s="42">
        <v>5</v>
      </c>
      <c r="C26" s="164">
        <v>23.518000000000001</v>
      </c>
      <c r="D26" s="164">
        <v>23.518000000000001</v>
      </c>
    </row>
    <row r="27" spans="2:7" ht="18.75" x14ac:dyDescent="0.25">
      <c r="B27" s="42">
        <v>6</v>
      </c>
      <c r="C27" s="164">
        <v>23.614000000000001</v>
      </c>
      <c r="D27" s="164">
        <v>23.614000000000001</v>
      </c>
    </row>
    <row r="28" spans="2:7" ht="18.75" x14ac:dyDescent="0.25">
      <c r="B28" s="42">
        <v>7</v>
      </c>
      <c r="C28" s="164">
        <v>23.896999999999998</v>
      </c>
      <c r="D28" s="164">
        <v>23.896999999999998</v>
      </c>
    </row>
    <row r="29" spans="2:7" ht="18.75" x14ac:dyDescent="0.25">
      <c r="B29" s="42">
        <v>8</v>
      </c>
      <c r="C29" s="164">
        <v>22.847000000000001</v>
      </c>
      <c r="D29" s="164">
        <v>22.847000000000001</v>
      </c>
    </row>
    <row r="30" spans="2:7" ht="18.75" x14ac:dyDescent="0.25">
      <c r="B30" s="42">
        <v>9</v>
      </c>
      <c r="C30" s="164">
        <v>22.573</v>
      </c>
      <c r="D30" s="164">
        <v>22.573</v>
      </c>
    </row>
    <row r="31" spans="2:7" ht="18.75" x14ac:dyDescent="0.25">
      <c r="B31" s="42">
        <v>10</v>
      </c>
      <c r="C31" s="164">
        <v>22.379000000000001</v>
      </c>
      <c r="D31" s="164">
        <v>22.379000000000001</v>
      </c>
    </row>
    <row r="32" spans="2:7" ht="18.75" x14ac:dyDescent="0.25">
      <c r="B32" s="42">
        <v>11</v>
      </c>
      <c r="C32" s="164">
        <v>24.106000000000002</v>
      </c>
      <c r="D32" s="164">
        <v>24.106000000000002</v>
      </c>
    </row>
    <row r="33" spans="2:4" ht="18.75" x14ac:dyDescent="0.25">
      <c r="B33" s="42">
        <v>12</v>
      </c>
      <c r="C33" s="164">
        <v>24.532</v>
      </c>
      <c r="D33" s="164">
        <v>24.532</v>
      </c>
    </row>
    <row r="34" spans="2:4" ht="18.75" x14ac:dyDescent="0.25">
      <c r="B34" s="42">
        <v>13</v>
      </c>
      <c r="C34" s="164">
        <v>24.581</v>
      </c>
      <c r="D34" s="164">
        <v>24.581</v>
      </c>
    </row>
    <row r="35" spans="2:4" ht="18.75" x14ac:dyDescent="0.25">
      <c r="B35" s="42">
        <v>14</v>
      </c>
      <c r="C35" s="164">
        <v>24.189</v>
      </c>
      <c r="D35" s="164">
        <v>24.189</v>
      </c>
    </row>
    <row r="36" spans="2:4" ht="18.75" x14ac:dyDescent="0.25">
      <c r="B36" s="42">
        <v>15</v>
      </c>
      <c r="C36" s="164">
        <v>23.821000000000002</v>
      </c>
      <c r="D36" s="164">
        <v>23.821000000000002</v>
      </c>
    </row>
    <row r="37" spans="2:4" ht="18.75" x14ac:dyDescent="0.25">
      <c r="B37" s="42">
        <v>16</v>
      </c>
      <c r="C37" s="164">
        <v>23.818999999999999</v>
      </c>
      <c r="D37" s="164">
        <v>23.818999999999999</v>
      </c>
    </row>
    <row r="38" spans="2:4" ht="18.75" x14ac:dyDescent="0.25">
      <c r="B38" s="42">
        <v>17</v>
      </c>
      <c r="C38" s="164">
        <v>22.404</v>
      </c>
      <c r="D38" s="164">
        <v>22.404</v>
      </c>
    </row>
    <row r="39" spans="2:4" ht="18.75" x14ac:dyDescent="0.25">
      <c r="B39" s="42">
        <v>18</v>
      </c>
      <c r="C39" s="164">
        <v>22.79</v>
      </c>
      <c r="D39" s="164">
        <v>22.79</v>
      </c>
    </row>
    <row r="40" spans="2:4" ht="18.75" x14ac:dyDescent="0.25">
      <c r="B40" s="42">
        <v>19</v>
      </c>
      <c r="C40" s="164">
        <v>23.192</v>
      </c>
      <c r="D40" s="164">
        <v>23.192</v>
      </c>
    </row>
    <row r="41" spans="2:4" ht="18.75" x14ac:dyDescent="0.25">
      <c r="B41" s="42">
        <v>20</v>
      </c>
      <c r="C41" s="164">
        <v>23.4</v>
      </c>
      <c r="D41" s="164">
        <v>23.4</v>
      </c>
    </row>
    <row r="42" spans="2:4" ht="18.75" x14ac:dyDescent="0.25">
      <c r="B42" s="42">
        <v>21</v>
      </c>
      <c r="C42" s="164">
        <v>22.876999999999999</v>
      </c>
      <c r="D42" s="164">
        <v>22.876999999999999</v>
      </c>
    </row>
    <row r="43" spans="2:4" ht="18.75" x14ac:dyDescent="0.25">
      <c r="B43" s="42">
        <v>22</v>
      </c>
      <c r="C43" s="164">
        <v>22.347000000000001</v>
      </c>
      <c r="D43" s="164">
        <v>22.347000000000001</v>
      </c>
    </row>
    <row r="44" spans="2:4" ht="18.75" x14ac:dyDescent="0.25">
      <c r="B44" s="42">
        <v>23</v>
      </c>
      <c r="C44" s="164">
        <v>22.646999999999998</v>
      </c>
      <c r="D44" s="164">
        <v>22.646999999999998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23.342043478260877</v>
      </c>
      <c r="D46" s="166"/>
    </row>
    <row r="47" spans="2:4" ht="31.5" x14ac:dyDescent="0.25">
      <c r="B47" s="45" t="s">
        <v>48</v>
      </c>
      <c r="C47" s="44">
        <f>_xlfn.STDEV.S(C21:C45)</f>
        <v>0.65694339971932325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B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22.922999999999998</v>
      </c>
      <c r="D21" s="164">
        <v>22.922999999999998</v>
      </c>
    </row>
    <row r="22" spans="2:7" ht="18.75" x14ac:dyDescent="0.25">
      <c r="B22" s="42">
        <v>1</v>
      </c>
      <c r="C22" s="164">
        <v>22.356000000000002</v>
      </c>
      <c r="D22" s="164">
        <v>22.356000000000002</v>
      </c>
    </row>
    <row r="23" spans="2:7" ht="18.75" x14ac:dyDescent="0.25">
      <c r="B23" s="42">
        <v>2</v>
      </c>
      <c r="C23" s="164">
        <v>21.603000000000002</v>
      </c>
      <c r="D23" s="164">
        <v>21.603000000000002</v>
      </c>
    </row>
    <row r="24" spans="2:7" ht="18.75" x14ac:dyDescent="0.25">
      <c r="B24" s="42">
        <v>3</v>
      </c>
      <c r="C24" s="164">
        <v>21.006</v>
      </c>
      <c r="D24" s="164">
        <v>21.006</v>
      </c>
    </row>
    <row r="25" spans="2:7" ht="18.75" x14ac:dyDescent="0.25">
      <c r="B25" s="42">
        <v>4</v>
      </c>
      <c r="C25" s="164">
        <v>20.878</v>
      </c>
      <c r="D25" s="164">
        <v>20.878</v>
      </c>
    </row>
    <row r="26" spans="2:7" ht="18.75" x14ac:dyDescent="0.25">
      <c r="B26" s="42">
        <v>5</v>
      </c>
      <c r="C26" s="164">
        <v>21.416</v>
      </c>
      <c r="D26" s="164">
        <v>21.416</v>
      </c>
    </row>
    <row r="27" spans="2:7" ht="18.75" x14ac:dyDescent="0.25">
      <c r="B27" s="42">
        <v>6</v>
      </c>
      <c r="C27" s="164">
        <v>21.573</v>
      </c>
      <c r="D27" s="164">
        <v>21.573</v>
      </c>
    </row>
    <row r="28" spans="2:7" ht="18.75" x14ac:dyDescent="0.25">
      <c r="B28" s="42">
        <v>7</v>
      </c>
      <c r="C28" s="164">
        <v>23.097000000000001</v>
      </c>
      <c r="D28" s="164">
        <v>23.097000000000001</v>
      </c>
    </row>
    <row r="29" spans="2:7" ht="18.75" x14ac:dyDescent="0.25">
      <c r="B29" s="42">
        <v>8</v>
      </c>
      <c r="C29" s="164">
        <v>23.114000000000001</v>
      </c>
      <c r="D29" s="164">
        <v>23.114000000000001</v>
      </c>
    </row>
    <row r="30" spans="2:7" ht="18.75" x14ac:dyDescent="0.25">
      <c r="B30" s="42">
        <v>9</v>
      </c>
      <c r="C30" s="164">
        <v>22.652999999999999</v>
      </c>
      <c r="D30" s="164">
        <v>22.652999999999999</v>
      </c>
    </row>
    <row r="31" spans="2:7" ht="18.75" x14ac:dyDescent="0.25">
      <c r="B31" s="42">
        <v>10</v>
      </c>
      <c r="C31" s="164">
        <v>22.306000000000001</v>
      </c>
      <c r="D31" s="164">
        <v>22.306000000000001</v>
      </c>
    </row>
    <row r="32" spans="2:7" ht="18.75" x14ac:dyDescent="0.25">
      <c r="B32" s="42">
        <v>11</v>
      </c>
      <c r="C32" s="164">
        <v>23.225000000000001</v>
      </c>
      <c r="D32" s="164">
        <v>23.225000000000001</v>
      </c>
    </row>
    <row r="33" spans="2:4" ht="18.75" x14ac:dyDescent="0.25">
      <c r="B33" s="42">
        <v>12</v>
      </c>
      <c r="C33" s="164">
        <v>24.01</v>
      </c>
      <c r="D33" s="164">
        <v>24.01</v>
      </c>
    </row>
    <row r="34" spans="2:4" ht="18.75" x14ac:dyDescent="0.25">
      <c r="B34" s="42">
        <v>13</v>
      </c>
      <c r="C34" s="164">
        <v>24.295000000000002</v>
      </c>
      <c r="D34" s="164">
        <v>24.295000000000002</v>
      </c>
    </row>
    <row r="35" spans="2:4" ht="18.75" x14ac:dyDescent="0.25">
      <c r="B35" s="42">
        <v>14</v>
      </c>
      <c r="C35" s="164">
        <v>24.565999999999999</v>
      </c>
      <c r="D35" s="164">
        <v>24.565999999999999</v>
      </c>
    </row>
    <row r="36" spans="2:4" ht="18.75" x14ac:dyDescent="0.25">
      <c r="B36" s="42">
        <v>15</v>
      </c>
      <c r="C36" s="164">
        <v>23.731999999999999</v>
      </c>
      <c r="D36" s="164">
        <v>23.731999999999999</v>
      </c>
    </row>
    <row r="37" spans="2:4" ht="18.75" x14ac:dyDescent="0.25">
      <c r="B37" s="42">
        <v>16</v>
      </c>
      <c r="C37" s="164">
        <v>22.513999999999999</v>
      </c>
      <c r="D37" s="164">
        <v>22.513999999999999</v>
      </c>
    </row>
    <row r="38" spans="2:4" ht="18.75" x14ac:dyDescent="0.25">
      <c r="B38" s="42">
        <v>17</v>
      </c>
      <c r="C38" s="164">
        <v>23.256</v>
      </c>
      <c r="D38" s="164">
        <v>23.256</v>
      </c>
    </row>
    <row r="39" spans="2:4" ht="18.75" x14ac:dyDescent="0.25">
      <c r="B39" s="42">
        <v>18</v>
      </c>
      <c r="C39" s="164">
        <v>23.523</v>
      </c>
      <c r="D39" s="164">
        <v>23.523</v>
      </c>
    </row>
    <row r="40" spans="2:4" ht="18.75" x14ac:dyDescent="0.25">
      <c r="B40" s="42">
        <v>19</v>
      </c>
      <c r="C40" s="164">
        <v>24.178000000000001</v>
      </c>
      <c r="D40" s="164">
        <v>24.178000000000001</v>
      </c>
    </row>
    <row r="41" spans="2:4" ht="18.75" x14ac:dyDescent="0.25">
      <c r="B41" s="42">
        <v>20</v>
      </c>
      <c r="C41" s="164">
        <v>23.395</v>
      </c>
      <c r="D41" s="164">
        <v>23.395</v>
      </c>
    </row>
    <row r="42" spans="2:4" ht="18.75" x14ac:dyDescent="0.25">
      <c r="B42" s="42">
        <v>21</v>
      </c>
      <c r="C42" s="164">
        <v>23.550999999999998</v>
      </c>
      <c r="D42" s="164">
        <v>23.550999999999998</v>
      </c>
    </row>
    <row r="43" spans="2:4" ht="18.75" x14ac:dyDescent="0.25">
      <c r="B43" s="42">
        <v>22</v>
      </c>
      <c r="C43" s="164">
        <v>23.797000000000001</v>
      </c>
      <c r="D43" s="164">
        <v>23.797000000000001</v>
      </c>
    </row>
    <row r="44" spans="2:4" ht="18.75" x14ac:dyDescent="0.25">
      <c r="B44" s="42">
        <v>23</v>
      </c>
      <c r="C44" s="164">
        <v>23.119</v>
      </c>
      <c r="D44" s="164">
        <v>23.119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22.92013043478261</v>
      </c>
      <c r="D46" s="166"/>
    </row>
    <row r="47" spans="2:4" ht="31.5" x14ac:dyDescent="0.25">
      <c r="B47" s="45" t="s">
        <v>48</v>
      </c>
      <c r="C47" s="44">
        <f>_xlfn.STDEV.S(C21:C45)</f>
        <v>1.0357995966150142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22.599</v>
      </c>
      <c r="D21" s="164">
        <v>22.599</v>
      </c>
    </row>
    <row r="22" spans="2:7" ht="18.75" x14ac:dyDescent="0.25">
      <c r="B22" s="42">
        <v>1</v>
      </c>
      <c r="C22" s="164">
        <v>22.646000000000001</v>
      </c>
      <c r="D22" s="164">
        <v>22.646000000000001</v>
      </c>
    </row>
    <row r="23" spans="2:7" ht="18.75" x14ac:dyDescent="0.25">
      <c r="B23" s="42">
        <v>2</v>
      </c>
      <c r="C23" s="164">
        <v>22.544</v>
      </c>
      <c r="D23" s="164">
        <v>22.544</v>
      </c>
    </row>
    <row r="24" spans="2:7" ht="18.75" x14ac:dyDescent="0.25">
      <c r="B24" s="42">
        <v>3</v>
      </c>
      <c r="C24" s="164">
        <v>21.91</v>
      </c>
      <c r="D24" s="164">
        <v>21.91</v>
      </c>
    </row>
    <row r="25" spans="2:7" ht="18.75" x14ac:dyDescent="0.25">
      <c r="B25" s="42">
        <v>4</v>
      </c>
      <c r="C25" s="164">
        <v>21.754000000000001</v>
      </c>
      <c r="D25" s="164">
        <v>21.754000000000001</v>
      </c>
    </row>
    <row r="26" spans="2:7" ht="18.75" x14ac:dyDescent="0.25">
      <c r="B26" s="42">
        <v>5</v>
      </c>
      <c r="C26" s="164">
        <v>21.51</v>
      </c>
      <c r="D26" s="164">
        <v>21.51</v>
      </c>
    </row>
    <row r="27" spans="2:7" ht="18.75" x14ac:dyDescent="0.25">
      <c r="B27" s="42">
        <v>6</v>
      </c>
      <c r="C27" s="164">
        <v>21.835999999999999</v>
      </c>
      <c r="D27" s="164">
        <v>21.835999999999999</v>
      </c>
    </row>
    <row r="28" spans="2:7" ht="18.75" x14ac:dyDescent="0.25">
      <c r="B28" s="42">
        <v>7</v>
      </c>
      <c r="C28" s="164">
        <v>23.385999999999999</v>
      </c>
      <c r="D28" s="164">
        <v>23.385999999999999</v>
      </c>
    </row>
    <row r="29" spans="2:7" ht="18.75" x14ac:dyDescent="0.25">
      <c r="B29" s="42">
        <v>8</v>
      </c>
      <c r="C29" s="164">
        <v>22.722999999999999</v>
      </c>
      <c r="D29" s="164">
        <v>22.722999999999999</v>
      </c>
    </row>
    <row r="30" spans="2:7" ht="18.75" x14ac:dyDescent="0.25">
      <c r="B30" s="42">
        <v>9</v>
      </c>
      <c r="C30" s="164">
        <v>22.292000000000002</v>
      </c>
      <c r="D30" s="164">
        <v>22.292000000000002</v>
      </c>
    </row>
    <row r="31" spans="2:7" ht="18.75" x14ac:dyDescent="0.25">
      <c r="B31" s="42">
        <v>10</v>
      </c>
      <c r="C31" s="164">
        <v>23.097000000000001</v>
      </c>
      <c r="D31" s="164">
        <v>23.097000000000001</v>
      </c>
    </row>
    <row r="32" spans="2:7" ht="18.75" x14ac:dyDescent="0.25">
      <c r="B32" s="42">
        <v>11</v>
      </c>
      <c r="C32" s="164">
        <v>22.353000000000002</v>
      </c>
      <c r="D32" s="164">
        <v>22.353000000000002</v>
      </c>
    </row>
    <row r="33" spans="2:4" ht="18.75" x14ac:dyDescent="0.25">
      <c r="B33" s="42">
        <v>12</v>
      </c>
      <c r="C33" s="164">
        <v>21.922999999999998</v>
      </c>
      <c r="D33" s="164">
        <v>21.922999999999998</v>
      </c>
    </row>
    <row r="34" spans="2:4" ht="18.75" x14ac:dyDescent="0.25">
      <c r="B34" s="42">
        <v>13</v>
      </c>
      <c r="C34" s="164">
        <v>22.59</v>
      </c>
      <c r="D34" s="164">
        <v>22.59</v>
      </c>
    </row>
    <row r="35" spans="2:4" ht="18.75" x14ac:dyDescent="0.25">
      <c r="B35" s="42">
        <v>14</v>
      </c>
      <c r="C35" s="164">
        <v>22.501000000000001</v>
      </c>
      <c r="D35" s="164">
        <v>22.501000000000001</v>
      </c>
    </row>
    <row r="36" spans="2:4" ht="18.75" x14ac:dyDescent="0.25">
      <c r="B36" s="42">
        <v>15</v>
      </c>
      <c r="C36" s="164">
        <v>21.971</v>
      </c>
      <c r="D36" s="164">
        <v>21.971</v>
      </c>
    </row>
    <row r="37" spans="2:4" ht="18.75" x14ac:dyDescent="0.25">
      <c r="B37" s="42">
        <v>16</v>
      </c>
      <c r="C37" s="164">
        <v>22.29</v>
      </c>
      <c r="D37" s="164">
        <v>22.29</v>
      </c>
    </row>
    <row r="38" spans="2:4" ht="18.75" x14ac:dyDescent="0.25">
      <c r="B38" s="42">
        <v>17</v>
      </c>
      <c r="C38" s="164">
        <v>23.228999999999999</v>
      </c>
      <c r="D38" s="164">
        <v>23.228999999999999</v>
      </c>
    </row>
    <row r="39" spans="2:4" ht="18.75" x14ac:dyDescent="0.25">
      <c r="B39" s="42">
        <v>18</v>
      </c>
      <c r="C39" s="164">
        <v>23.507999999999999</v>
      </c>
      <c r="D39" s="164">
        <v>23.507999999999999</v>
      </c>
    </row>
    <row r="40" spans="2:4" ht="18.75" x14ac:dyDescent="0.25">
      <c r="B40" s="42">
        <v>19</v>
      </c>
      <c r="C40" s="164">
        <v>23.600999999999999</v>
      </c>
      <c r="D40" s="164">
        <v>23.600999999999999</v>
      </c>
    </row>
    <row r="41" spans="2:4" ht="18.75" x14ac:dyDescent="0.25">
      <c r="B41" s="42">
        <v>20</v>
      </c>
      <c r="C41" s="164">
        <v>23.695</v>
      </c>
      <c r="D41" s="164">
        <v>23.695</v>
      </c>
    </row>
    <row r="42" spans="2:4" ht="18.75" x14ac:dyDescent="0.25">
      <c r="B42" s="42">
        <v>21</v>
      </c>
      <c r="C42" s="164">
        <v>23.245999999999999</v>
      </c>
      <c r="D42" s="164">
        <v>23.245999999999999</v>
      </c>
    </row>
    <row r="43" spans="2:4" ht="18.75" x14ac:dyDescent="0.25">
      <c r="B43" s="42">
        <v>22</v>
      </c>
      <c r="C43" s="164">
        <v>23.099</v>
      </c>
      <c r="D43" s="164">
        <v>23.099</v>
      </c>
    </row>
    <row r="44" spans="2:4" ht="18.75" x14ac:dyDescent="0.25">
      <c r="B44" s="42">
        <v>23</v>
      </c>
      <c r="C44" s="164">
        <v>22.901</v>
      </c>
      <c r="D44" s="164">
        <v>22.901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22.634999999999994</v>
      </c>
      <c r="D46" s="166"/>
    </row>
    <row r="47" spans="2:4" ht="31.5" x14ac:dyDescent="0.25">
      <c r="B47" s="45" t="s">
        <v>48</v>
      </c>
      <c r="C47" s="44">
        <f>_xlfn.STDEV.S(C21:C45)</f>
        <v>0.62955325775332593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22.738</v>
      </c>
      <c r="D21" s="164">
        <v>22.738</v>
      </c>
    </row>
    <row r="22" spans="2:7" ht="18.75" x14ac:dyDescent="0.25">
      <c r="B22" s="42">
        <v>1</v>
      </c>
      <c r="C22" s="164">
        <v>23.024999999999999</v>
      </c>
      <c r="D22" s="164">
        <v>23.024999999999999</v>
      </c>
    </row>
    <row r="23" spans="2:7" ht="18.75" x14ac:dyDescent="0.25">
      <c r="B23" s="42">
        <v>2</v>
      </c>
      <c r="C23" s="164">
        <v>23.407</v>
      </c>
      <c r="D23" s="164">
        <v>23.407</v>
      </c>
    </row>
    <row r="24" spans="2:7" ht="18.75" x14ac:dyDescent="0.25">
      <c r="B24" s="42">
        <v>3</v>
      </c>
      <c r="C24" s="164">
        <v>23.053000000000001</v>
      </c>
      <c r="D24" s="164">
        <v>23.053000000000001</v>
      </c>
    </row>
    <row r="25" spans="2:7" ht="18.75" x14ac:dyDescent="0.25">
      <c r="B25" s="42">
        <v>4</v>
      </c>
      <c r="C25" s="164">
        <v>22.488</v>
      </c>
      <c r="D25" s="164">
        <v>22.488</v>
      </c>
    </row>
    <row r="26" spans="2:7" ht="18.75" x14ac:dyDescent="0.25">
      <c r="B26" s="42">
        <v>5</v>
      </c>
      <c r="C26" s="164">
        <v>22.475000000000001</v>
      </c>
      <c r="D26" s="164">
        <v>22.475000000000001</v>
      </c>
    </row>
    <row r="27" spans="2:7" ht="18.75" x14ac:dyDescent="0.25">
      <c r="B27" s="42">
        <v>6</v>
      </c>
      <c r="C27" s="164">
        <v>22.876999999999999</v>
      </c>
      <c r="D27" s="164">
        <v>22.876999999999999</v>
      </c>
    </row>
    <row r="28" spans="2:7" ht="18.75" x14ac:dyDescent="0.25">
      <c r="B28" s="42">
        <v>7</v>
      </c>
      <c r="C28" s="164">
        <v>23.620999999999999</v>
      </c>
      <c r="D28" s="164">
        <v>23.620999999999999</v>
      </c>
    </row>
    <row r="29" spans="2:7" ht="18.75" x14ac:dyDescent="0.25">
      <c r="B29" s="42">
        <v>8</v>
      </c>
      <c r="C29" s="164">
        <v>22.524999999999999</v>
      </c>
      <c r="D29" s="164">
        <v>22.524999999999999</v>
      </c>
    </row>
    <row r="30" spans="2:7" ht="18.75" x14ac:dyDescent="0.25">
      <c r="B30" s="42">
        <v>9</v>
      </c>
      <c r="C30" s="164">
        <v>23.338000000000001</v>
      </c>
      <c r="D30" s="164">
        <v>23.338000000000001</v>
      </c>
    </row>
    <row r="31" spans="2:7" ht="18.75" x14ac:dyDescent="0.25">
      <c r="B31" s="42">
        <v>10</v>
      </c>
      <c r="C31" s="164">
        <v>24.228000000000002</v>
      </c>
      <c r="D31" s="164">
        <v>24.228000000000002</v>
      </c>
    </row>
    <row r="32" spans="2:7" ht="18.75" x14ac:dyDescent="0.25">
      <c r="B32" s="42">
        <v>11</v>
      </c>
      <c r="C32" s="164">
        <v>22.262</v>
      </c>
      <c r="D32" s="164">
        <v>22.262</v>
      </c>
    </row>
    <row r="33" spans="2:4" ht="18.75" x14ac:dyDescent="0.25">
      <c r="B33" s="42">
        <v>12</v>
      </c>
      <c r="C33" s="164">
        <v>22.747</v>
      </c>
      <c r="D33" s="164">
        <v>22.747</v>
      </c>
    </row>
    <row r="34" spans="2:4" ht="18.75" x14ac:dyDescent="0.25">
      <c r="B34" s="42">
        <v>13</v>
      </c>
      <c r="C34" s="164">
        <v>22.779</v>
      </c>
      <c r="D34" s="164">
        <v>22.779</v>
      </c>
    </row>
    <row r="35" spans="2:4" ht="18.75" x14ac:dyDescent="0.25">
      <c r="B35" s="42">
        <v>14</v>
      </c>
      <c r="C35" s="164">
        <v>23.303000000000001</v>
      </c>
      <c r="D35" s="164">
        <v>23.303000000000001</v>
      </c>
    </row>
    <row r="36" spans="2:4" ht="18.75" x14ac:dyDescent="0.25">
      <c r="B36" s="42">
        <v>15</v>
      </c>
      <c r="C36" s="164">
        <v>22.777000000000001</v>
      </c>
      <c r="D36" s="164">
        <v>22.777000000000001</v>
      </c>
    </row>
    <row r="37" spans="2:4" ht="18.75" x14ac:dyDescent="0.25">
      <c r="B37" s="42">
        <v>16</v>
      </c>
      <c r="C37" s="164">
        <v>23.591999999999999</v>
      </c>
      <c r="D37" s="164">
        <v>23.591999999999999</v>
      </c>
    </row>
    <row r="38" spans="2:4" ht="18.75" x14ac:dyDescent="0.25">
      <c r="B38" s="42">
        <v>17</v>
      </c>
      <c r="C38" s="164">
        <v>23.858000000000001</v>
      </c>
      <c r="D38" s="164">
        <v>23.858000000000001</v>
      </c>
    </row>
    <row r="39" spans="2:4" ht="18.75" x14ac:dyDescent="0.25">
      <c r="B39" s="42">
        <v>18</v>
      </c>
      <c r="C39" s="164">
        <v>23.465</v>
      </c>
      <c r="D39" s="164">
        <v>23.465</v>
      </c>
    </row>
    <row r="40" spans="2:4" ht="18.75" x14ac:dyDescent="0.25">
      <c r="B40" s="42">
        <v>19</v>
      </c>
      <c r="C40" s="164">
        <v>22.835999999999999</v>
      </c>
      <c r="D40" s="164">
        <v>22.835999999999999</v>
      </c>
    </row>
    <row r="41" spans="2:4" ht="18.75" x14ac:dyDescent="0.25">
      <c r="B41" s="42">
        <v>20</v>
      </c>
      <c r="C41" s="164">
        <v>22.414000000000001</v>
      </c>
      <c r="D41" s="164">
        <v>22.414000000000001</v>
      </c>
    </row>
    <row r="42" spans="2:4" ht="18.75" x14ac:dyDescent="0.25">
      <c r="B42" s="42">
        <v>21</v>
      </c>
      <c r="C42" s="164">
        <v>22.117999999999999</v>
      </c>
      <c r="D42" s="164">
        <v>22.117999999999999</v>
      </c>
    </row>
    <row r="43" spans="2:4" ht="18.75" x14ac:dyDescent="0.25">
      <c r="B43" s="42">
        <v>22</v>
      </c>
      <c r="C43" s="164">
        <v>21.686</v>
      </c>
      <c r="D43" s="164">
        <v>21.686</v>
      </c>
    </row>
    <row r="44" spans="2:4" ht="18.75" x14ac:dyDescent="0.25">
      <c r="B44" s="42">
        <v>23</v>
      </c>
      <c r="C44" s="164">
        <v>21.427</v>
      </c>
      <c r="D44" s="164">
        <v>21.427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22.882652173913041</v>
      </c>
      <c r="D46" s="166"/>
    </row>
    <row r="47" spans="2:4" ht="31.5" x14ac:dyDescent="0.25">
      <c r="B47" s="45" t="s">
        <v>48</v>
      </c>
      <c r="C47" s="44">
        <f>_xlfn.STDEV.S(C21:C45)</f>
        <v>0.66299162644722054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A1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53">
        <v>22.661999999999999</v>
      </c>
      <c r="D21" s="154">
        <v>22.661999999999999</v>
      </c>
    </row>
    <row r="22" spans="2:7" ht="18.75" x14ac:dyDescent="0.25">
      <c r="B22" s="42">
        <v>1</v>
      </c>
      <c r="C22" s="153">
        <v>21.757000000000001</v>
      </c>
      <c r="D22" s="154">
        <v>21.757000000000001</v>
      </c>
    </row>
    <row r="23" spans="2:7" ht="18.75" x14ac:dyDescent="0.25">
      <c r="B23" s="42">
        <v>2</v>
      </c>
      <c r="C23" s="153">
        <v>20.875</v>
      </c>
      <c r="D23" s="154">
        <v>20.875</v>
      </c>
    </row>
    <row r="24" spans="2:7" ht="18.75" x14ac:dyDescent="0.25">
      <c r="B24" s="42">
        <v>3</v>
      </c>
      <c r="C24" s="153">
        <v>20.36</v>
      </c>
      <c r="D24" s="154">
        <v>20.36</v>
      </c>
    </row>
    <row r="25" spans="2:7" ht="18.75" x14ac:dyDescent="0.25">
      <c r="B25" s="42">
        <v>4</v>
      </c>
      <c r="C25" s="153">
        <v>20.327000000000002</v>
      </c>
      <c r="D25" s="154">
        <v>20.327000000000002</v>
      </c>
    </row>
    <row r="26" spans="2:7" ht="18.75" x14ac:dyDescent="0.25">
      <c r="B26" s="42">
        <v>5</v>
      </c>
      <c r="C26" s="153">
        <v>20.242000000000001</v>
      </c>
      <c r="D26" s="154">
        <v>20.242000000000001</v>
      </c>
    </row>
    <row r="27" spans="2:7" ht="18.75" x14ac:dyDescent="0.25">
      <c r="B27" s="42">
        <v>6</v>
      </c>
      <c r="C27" s="153">
        <v>21.856999999999999</v>
      </c>
      <c r="D27" s="154">
        <v>21.856999999999999</v>
      </c>
    </row>
    <row r="28" spans="2:7" ht="18.75" x14ac:dyDescent="0.25">
      <c r="B28" s="42">
        <v>7</v>
      </c>
      <c r="C28" s="153">
        <v>24.297999999999998</v>
      </c>
      <c r="D28" s="154">
        <v>24.297999999999998</v>
      </c>
    </row>
    <row r="29" spans="2:7" ht="18.75" x14ac:dyDescent="0.25">
      <c r="B29" s="42">
        <v>8</v>
      </c>
      <c r="C29" s="153">
        <v>23.21</v>
      </c>
      <c r="D29" s="154">
        <v>23.21</v>
      </c>
    </row>
    <row r="30" spans="2:7" ht="18.75" x14ac:dyDescent="0.25">
      <c r="B30" s="42">
        <v>9</v>
      </c>
      <c r="C30" s="153">
        <v>24.251000000000001</v>
      </c>
      <c r="D30" s="154">
        <v>24.251000000000001</v>
      </c>
    </row>
    <row r="31" spans="2:7" ht="18.75" x14ac:dyDescent="0.25">
      <c r="B31" s="42">
        <v>10</v>
      </c>
      <c r="C31" s="153">
        <v>24.341999999999999</v>
      </c>
      <c r="D31" s="154">
        <v>24.341999999999999</v>
      </c>
    </row>
    <row r="32" spans="2:7" ht="18.75" x14ac:dyDescent="0.25">
      <c r="B32" s="42">
        <v>11</v>
      </c>
      <c r="C32" s="153">
        <v>24.492000000000001</v>
      </c>
      <c r="D32" s="154">
        <v>24.492000000000001</v>
      </c>
    </row>
    <row r="33" spans="2:4" ht="18.75" x14ac:dyDescent="0.25">
      <c r="B33" s="42">
        <v>12</v>
      </c>
      <c r="C33" s="153">
        <v>23.521000000000001</v>
      </c>
      <c r="D33" s="154">
        <v>23.521000000000001</v>
      </c>
    </row>
    <row r="34" spans="2:4" ht="18.75" x14ac:dyDescent="0.25">
      <c r="B34" s="42">
        <v>13</v>
      </c>
      <c r="C34" s="153">
        <v>23.687999999999999</v>
      </c>
      <c r="D34" s="154">
        <v>23.687999999999999</v>
      </c>
    </row>
    <row r="35" spans="2:4" ht="18.75" x14ac:dyDescent="0.25">
      <c r="B35" s="42">
        <v>14</v>
      </c>
      <c r="C35" s="153">
        <v>23.74</v>
      </c>
      <c r="D35" s="154">
        <v>23.74</v>
      </c>
    </row>
    <row r="36" spans="2:4" ht="18.75" x14ac:dyDescent="0.25">
      <c r="B36" s="42">
        <v>15</v>
      </c>
      <c r="C36" s="153">
        <v>24.035</v>
      </c>
      <c r="D36" s="154">
        <v>24.035</v>
      </c>
    </row>
    <row r="37" spans="2:4" ht="18.75" x14ac:dyDescent="0.25">
      <c r="B37" s="42">
        <v>16</v>
      </c>
      <c r="C37" s="153">
        <v>24.088000000000001</v>
      </c>
      <c r="D37" s="154">
        <v>24.088000000000001</v>
      </c>
    </row>
    <row r="38" spans="2:4" ht="18.75" x14ac:dyDescent="0.25">
      <c r="B38" s="42">
        <v>17</v>
      </c>
      <c r="C38" s="153">
        <v>23.91</v>
      </c>
      <c r="D38" s="154">
        <v>23.91</v>
      </c>
    </row>
    <row r="39" spans="2:4" ht="18.75" x14ac:dyDescent="0.25">
      <c r="B39" s="42">
        <v>18</v>
      </c>
      <c r="C39" s="153">
        <v>24.266999999999999</v>
      </c>
      <c r="D39" s="154">
        <v>24.266999999999999</v>
      </c>
    </row>
    <row r="40" spans="2:4" ht="18.75" x14ac:dyDescent="0.25">
      <c r="B40" s="42">
        <v>19</v>
      </c>
      <c r="C40" s="153">
        <v>24.190999999999999</v>
      </c>
      <c r="D40" s="154">
        <v>24.190999999999999</v>
      </c>
    </row>
    <row r="41" spans="2:4" ht="18.75" x14ac:dyDescent="0.25">
      <c r="B41" s="42">
        <v>20</v>
      </c>
      <c r="C41" s="153">
        <v>24.658000000000001</v>
      </c>
      <c r="D41" s="154">
        <v>24.658000000000001</v>
      </c>
    </row>
    <row r="42" spans="2:4" ht="18.75" x14ac:dyDescent="0.25">
      <c r="B42" s="42">
        <v>21</v>
      </c>
      <c r="C42" s="153">
        <v>24.204999999999998</v>
      </c>
      <c r="D42" s="154">
        <v>24.204999999999998</v>
      </c>
    </row>
    <row r="43" spans="2:4" ht="18.75" x14ac:dyDescent="0.25">
      <c r="B43" s="42">
        <v>22</v>
      </c>
      <c r="C43" s="153">
        <v>23.321000000000002</v>
      </c>
      <c r="D43" s="154">
        <v>23.321000000000002</v>
      </c>
    </row>
    <row r="44" spans="2:4" ht="18.75" x14ac:dyDescent="0.25">
      <c r="B44" s="42">
        <v>23</v>
      </c>
      <c r="C44" s="153">
        <v>23.449000000000002</v>
      </c>
      <c r="D44" s="154">
        <v>23.449000000000002</v>
      </c>
    </row>
    <row r="45" spans="2:4" ht="18.75" x14ac:dyDescent="0.25">
      <c r="B45" s="42">
        <v>24</v>
      </c>
      <c r="C45" s="153"/>
      <c r="D45" s="154"/>
    </row>
    <row r="46" spans="2:4" ht="33.75" customHeight="1" x14ac:dyDescent="0.25">
      <c r="B46" s="43" t="s">
        <v>47</v>
      </c>
      <c r="C46" s="166">
        <f>AVERAGE(C22:C45)</f>
        <v>23.177565217391308</v>
      </c>
      <c r="D46" s="166"/>
    </row>
    <row r="47" spans="2:4" ht="31.5" x14ac:dyDescent="0.25">
      <c r="B47" s="45" t="s">
        <v>48</v>
      </c>
      <c r="C47" s="44">
        <f>_xlfn.STDEV.S(C21:C45)</f>
        <v>1.4422741678898359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ht="12.95" customHeight="1" x14ac:dyDescent="0.25">
      <c r="B17" s="156" t="s">
        <v>45</v>
      </c>
      <c r="C17" s="156" t="s">
        <v>46</v>
      </c>
      <c r="D17" s="156"/>
      <c r="E17" s="26"/>
      <c r="G17" s="26"/>
    </row>
    <row r="18" spans="2:7" ht="12.95" customHeight="1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23.971</v>
      </c>
      <c r="D21" s="164">
        <v>23.971</v>
      </c>
    </row>
    <row r="22" spans="2:7" ht="18.75" x14ac:dyDescent="0.25">
      <c r="B22" s="42">
        <v>1</v>
      </c>
      <c r="C22" s="164">
        <v>24.349</v>
      </c>
      <c r="D22" s="164">
        <v>24.349</v>
      </c>
    </row>
    <row r="23" spans="2:7" ht="18.75" x14ac:dyDescent="0.25">
      <c r="B23" s="42">
        <v>2</v>
      </c>
      <c r="C23" s="164">
        <v>24.574999999999999</v>
      </c>
      <c r="D23" s="164">
        <v>24.574999999999999</v>
      </c>
    </row>
    <row r="24" spans="2:7" ht="18.75" x14ac:dyDescent="0.25">
      <c r="B24" s="42">
        <v>3</v>
      </c>
      <c r="C24" s="164">
        <v>24.68</v>
      </c>
      <c r="D24" s="164">
        <v>24.68</v>
      </c>
    </row>
    <row r="25" spans="2:7" ht="18.75" x14ac:dyDescent="0.25">
      <c r="B25" s="42">
        <v>4</v>
      </c>
      <c r="C25" s="164">
        <v>24.36</v>
      </c>
      <c r="D25" s="164">
        <v>24.36</v>
      </c>
    </row>
    <row r="26" spans="2:7" ht="18.75" x14ac:dyDescent="0.25">
      <c r="B26" s="42">
        <v>5</v>
      </c>
      <c r="C26" s="164">
        <v>24.120999999999999</v>
      </c>
      <c r="D26" s="164">
        <v>24.120999999999999</v>
      </c>
    </row>
    <row r="27" spans="2:7" ht="18.75" x14ac:dyDescent="0.25">
      <c r="B27" s="42">
        <v>6</v>
      </c>
      <c r="C27" s="164">
        <v>24.463999999999999</v>
      </c>
      <c r="D27" s="164">
        <v>24.463999999999999</v>
      </c>
    </row>
    <row r="28" spans="2:7" ht="18.75" x14ac:dyDescent="0.25">
      <c r="B28" s="42">
        <v>7</v>
      </c>
      <c r="C28" s="164">
        <v>24.425000000000001</v>
      </c>
      <c r="D28" s="164">
        <v>24.425000000000001</v>
      </c>
    </row>
    <row r="29" spans="2:7" ht="18.75" x14ac:dyDescent="0.25">
      <c r="B29" s="42">
        <v>8</v>
      </c>
      <c r="C29" s="164">
        <v>23.779</v>
      </c>
      <c r="D29" s="164">
        <v>23.779</v>
      </c>
    </row>
    <row r="30" spans="2:7" ht="18.75" x14ac:dyDescent="0.25">
      <c r="B30" s="42">
        <v>9</v>
      </c>
      <c r="C30" s="164">
        <v>24.111999999999998</v>
      </c>
      <c r="D30" s="164">
        <v>24.111999999999998</v>
      </c>
    </row>
    <row r="31" spans="2:7" ht="18.75" x14ac:dyDescent="0.25">
      <c r="B31" s="42">
        <v>10</v>
      </c>
      <c r="C31" s="164">
        <v>23.620999999999999</v>
      </c>
      <c r="D31" s="164">
        <v>23.620999999999999</v>
      </c>
    </row>
    <row r="32" spans="2:7" ht="18.75" x14ac:dyDescent="0.25">
      <c r="B32" s="42">
        <v>11</v>
      </c>
      <c r="C32" s="164">
        <v>24.114000000000001</v>
      </c>
      <c r="D32" s="164">
        <v>24.114000000000001</v>
      </c>
    </row>
    <row r="33" spans="2:4" ht="18.75" x14ac:dyDescent="0.25">
      <c r="B33" s="42">
        <v>12</v>
      </c>
      <c r="C33" s="164">
        <v>23.81</v>
      </c>
      <c r="D33" s="164">
        <v>23.81</v>
      </c>
    </row>
    <row r="34" spans="2:4" ht="18.75" x14ac:dyDescent="0.25">
      <c r="B34" s="42">
        <v>13</v>
      </c>
      <c r="C34" s="164">
        <v>23.867999999999999</v>
      </c>
      <c r="D34" s="164">
        <v>23.867999999999999</v>
      </c>
    </row>
    <row r="35" spans="2:4" ht="18.75" x14ac:dyDescent="0.25">
      <c r="B35" s="42">
        <v>14</v>
      </c>
      <c r="C35" s="164">
        <v>23.922000000000001</v>
      </c>
      <c r="D35" s="164">
        <v>23.922000000000001</v>
      </c>
    </row>
    <row r="36" spans="2:4" ht="18.75" x14ac:dyDescent="0.25">
      <c r="B36" s="42">
        <v>15</v>
      </c>
      <c r="C36" s="164">
        <v>23.547000000000001</v>
      </c>
      <c r="D36" s="164">
        <v>23.547000000000001</v>
      </c>
    </row>
    <row r="37" spans="2:4" ht="18.75" x14ac:dyDescent="0.25">
      <c r="B37" s="42">
        <v>16</v>
      </c>
      <c r="C37" s="164">
        <v>23.838000000000001</v>
      </c>
      <c r="D37" s="164">
        <v>23.838000000000001</v>
      </c>
    </row>
    <row r="38" spans="2:4" ht="18.75" x14ac:dyDescent="0.25">
      <c r="B38" s="42">
        <v>17</v>
      </c>
      <c r="C38" s="164">
        <v>24.071000000000002</v>
      </c>
      <c r="D38" s="164">
        <v>24.071000000000002</v>
      </c>
    </row>
    <row r="39" spans="2:4" ht="18.75" x14ac:dyDescent="0.25">
      <c r="B39" s="42">
        <v>18</v>
      </c>
      <c r="C39" s="164">
        <v>24.202999999999999</v>
      </c>
      <c r="D39" s="164">
        <v>24.202999999999999</v>
      </c>
    </row>
    <row r="40" spans="2:4" ht="18.75" x14ac:dyDescent="0.25">
      <c r="B40" s="42">
        <v>19</v>
      </c>
      <c r="C40" s="164">
        <v>24.216000000000001</v>
      </c>
      <c r="D40" s="164">
        <v>24.216000000000001</v>
      </c>
    </row>
    <row r="41" spans="2:4" ht="18.75" x14ac:dyDescent="0.25">
      <c r="B41" s="42">
        <v>20</v>
      </c>
      <c r="C41" s="164">
        <v>24.518999999999998</v>
      </c>
      <c r="D41" s="164">
        <v>24.518999999999998</v>
      </c>
    </row>
    <row r="42" spans="2:4" ht="18.75" x14ac:dyDescent="0.25">
      <c r="B42" s="42">
        <v>21</v>
      </c>
      <c r="C42" s="164">
        <v>24.222999999999999</v>
      </c>
      <c r="D42" s="164">
        <v>24.222999999999999</v>
      </c>
    </row>
    <row r="43" spans="2:4" ht="18.75" x14ac:dyDescent="0.25">
      <c r="B43" s="42">
        <v>22</v>
      </c>
      <c r="C43" s="164">
        <v>23.757999999999999</v>
      </c>
      <c r="D43" s="164">
        <v>23.757999999999999</v>
      </c>
    </row>
    <row r="44" spans="2:4" ht="18.75" x14ac:dyDescent="0.25">
      <c r="B44" s="42">
        <v>23</v>
      </c>
      <c r="C44" s="164">
        <v>23.181999999999999</v>
      </c>
      <c r="D44" s="164">
        <v>23.181999999999999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24.07639130434783</v>
      </c>
      <c r="D46" s="166"/>
    </row>
    <row r="47" spans="2:4" ht="31.5" x14ac:dyDescent="0.25">
      <c r="B47" s="45" t="s">
        <v>48</v>
      </c>
      <c r="C47" s="44">
        <f>_xlfn.STDEV.S(C21:C45)</f>
        <v>0.35996255843943115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22.736000000000001</v>
      </c>
      <c r="D21" s="164">
        <v>22.736000000000001</v>
      </c>
    </row>
    <row r="22" spans="2:7" ht="18.75" x14ac:dyDescent="0.25">
      <c r="B22" s="42">
        <v>1</v>
      </c>
      <c r="C22" s="164">
        <v>22.669</v>
      </c>
      <c r="D22" s="164">
        <v>22.669</v>
      </c>
    </row>
    <row r="23" spans="2:7" ht="18.75" x14ac:dyDescent="0.25">
      <c r="B23" s="42">
        <v>2</v>
      </c>
      <c r="C23" s="164">
        <v>22.954999999999998</v>
      </c>
      <c r="D23" s="164">
        <v>22.954999999999998</v>
      </c>
    </row>
    <row r="24" spans="2:7" ht="18.75" x14ac:dyDescent="0.25">
      <c r="B24" s="42">
        <v>3</v>
      </c>
      <c r="C24" s="164">
        <v>22.936</v>
      </c>
      <c r="D24" s="164">
        <v>22.936</v>
      </c>
    </row>
    <row r="25" spans="2:7" ht="18.75" x14ac:dyDescent="0.25">
      <c r="B25" s="42">
        <v>4</v>
      </c>
      <c r="C25" s="164">
        <v>22.436</v>
      </c>
      <c r="D25" s="164">
        <v>22.436</v>
      </c>
    </row>
    <row r="26" spans="2:7" ht="18.75" x14ac:dyDescent="0.25">
      <c r="B26" s="42">
        <v>5</v>
      </c>
      <c r="C26" s="164">
        <v>22.942</v>
      </c>
      <c r="D26" s="164">
        <v>22.942</v>
      </c>
    </row>
    <row r="27" spans="2:7" ht="18.75" x14ac:dyDescent="0.25">
      <c r="B27" s="42">
        <v>6</v>
      </c>
      <c r="C27" s="164">
        <v>23.731000000000002</v>
      </c>
      <c r="D27" s="164">
        <v>23.731000000000002</v>
      </c>
    </row>
    <row r="28" spans="2:7" ht="18.75" x14ac:dyDescent="0.25">
      <c r="B28" s="42">
        <v>7</v>
      </c>
      <c r="C28" s="164">
        <v>24.106000000000002</v>
      </c>
      <c r="D28" s="164">
        <v>24.106000000000002</v>
      </c>
    </row>
    <row r="29" spans="2:7" ht="18.75" x14ac:dyDescent="0.25">
      <c r="B29" s="42">
        <v>8</v>
      </c>
      <c r="C29" s="164">
        <v>23.536000000000001</v>
      </c>
      <c r="D29" s="164">
        <v>23.536000000000001</v>
      </c>
    </row>
    <row r="30" spans="2:7" ht="18.75" x14ac:dyDescent="0.25">
      <c r="B30" s="42">
        <v>9</v>
      </c>
      <c r="C30" s="164">
        <v>23.596</v>
      </c>
      <c r="D30" s="164">
        <v>23.596</v>
      </c>
    </row>
    <row r="31" spans="2:7" ht="18.75" x14ac:dyDescent="0.25">
      <c r="B31" s="42">
        <v>10</v>
      </c>
      <c r="C31" s="164">
        <v>24.344000000000001</v>
      </c>
      <c r="D31" s="164">
        <v>24.344000000000001</v>
      </c>
    </row>
    <row r="32" spans="2:7" ht="18.75" x14ac:dyDescent="0.25">
      <c r="B32" s="42">
        <v>11</v>
      </c>
      <c r="C32" s="164">
        <v>23.895</v>
      </c>
      <c r="D32" s="164">
        <v>23.895</v>
      </c>
    </row>
    <row r="33" spans="2:4" ht="18.75" x14ac:dyDescent="0.25">
      <c r="B33" s="42">
        <v>12</v>
      </c>
      <c r="C33" s="164">
        <v>24.132000000000001</v>
      </c>
      <c r="D33" s="164">
        <v>24.132000000000001</v>
      </c>
    </row>
    <row r="34" spans="2:4" ht="18.75" x14ac:dyDescent="0.25">
      <c r="B34" s="42">
        <v>13</v>
      </c>
      <c r="C34" s="164">
        <v>24.251000000000001</v>
      </c>
      <c r="D34" s="164">
        <v>24.251000000000001</v>
      </c>
    </row>
    <row r="35" spans="2:4" ht="18.75" x14ac:dyDescent="0.25">
      <c r="B35" s="42">
        <v>14</v>
      </c>
      <c r="C35" s="164">
        <v>24.28</v>
      </c>
      <c r="D35" s="164">
        <v>24.28</v>
      </c>
    </row>
    <row r="36" spans="2:4" ht="18.75" x14ac:dyDescent="0.25">
      <c r="B36" s="42">
        <v>15</v>
      </c>
      <c r="C36" s="164">
        <v>24.129000000000001</v>
      </c>
      <c r="D36" s="164">
        <v>24.129000000000001</v>
      </c>
    </row>
    <row r="37" spans="2:4" ht="18.75" x14ac:dyDescent="0.25">
      <c r="B37" s="42">
        <v>16</v>
      </c>
      <c r="C37" s="164">
        <v>24.048999999999999</v>
      </c>
      <c r="D37" s="164">
        <v>24.048999999999999</v>
      </c>
    </row>
    <row r="38" spans="2:4" ht="18.75" x14ac:dyDescent="0.25">
      <c r="B38" s="42">
        <v>17</v>
      </c>
      <c r="C38" s="164">
        <v>24.251000000000001</v>
      </c>
      <c r="D38" s="164">
        <v>24.251000000000001</v>
      </c>
    </row>
    <row r="39" spans="2:4" ht="18.75" x14ac:dyDescent="0.25">
      <c r="B39" s="42">
        <v>18</v>
      </c>
      <c r="C39" s="164">
        <v>24.271000000000001</v>
      </c>
      <c r="D39" s="164">
        <v>24.271000000000001</v>
      </c>
    </row>
    <row r="40" spans="2:4" ht="18.75" x14ac:dyDescent="0.25">
      <c r="B40" s="42">
        <v>19</v>
      </c>
      <c r="C40" s="164">
        <v>24.413</v>
      </c>
      <c r="D40" s="164">
        <v>24.413</v>
      </c>
    </row>
    <row r="41" spans="2:4" ht="18.75" x14ac:dyDescent="0.25">
      <c r="B41" s="42">
        <v>20</v>
      </c>
      <c r="C41" s="164">
        <v>24.222999999999999</v>
      </c>
      <c r="D41" s="164">
        <v>24.222999999999999</v>
      </c>
    </row>
    <row r="42" spans="2:4" ht="18.75" x14ac:dyDescent="0.25">
      <c r="B42" s="42">
        <v>21</v>
      </c>
      <c r="C42" s="164">
        <v>24.248000000000001</v>
      </c>
      <c r="D42" s="164">
        <v>24.248000000000001</v>
      </c>
    </row>
    <row r="43" spans="2:4" ht="18.75" x14ac:dyDescent="0.25">
      <c r="B43" s="42">
        <v>22</v>
      </c>
      <c r="C43" s="164">
        <v>24.225999999999999</v>
      </c>
      <c r="D43" s="164">
        <v>24.225999999999999</v>
      </c>
    </row>
    <row r="44" spans="2:4" ht="18.75" x14ac:dyDescent="0.25">
      <c r="B44" s="42">
        <v>23</v>
      </c>
      <c r="C44" s="164">
        <v>24.379000000000001</v>
      </c>
      <c r="D44" s="164">
        <v>24.379000000000001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23.825999999999997</v>
      </c>
      <c r="D46" s="166"/>
    </row>
    <row r="47" spans="2:4" ht="31.5" x14ac:dyDescent="0.25">
      <c r="B47" s="45" t="s">
        <v>48</v>
      </c>
      <c r="C47" s="44">
        <f>_xlfn.STDEV.S(C21:C45)</f>
        <v>0.63880621792369185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24.622</v>
      </c>
      <c r="D21" s="164">
        <v>24.622</v>
      </c>
    </row>
    <row r="22" spans="2:7" ht="18.75" x14ac:dyDescent="0.25">
      <c r="B22" s="42">
        <v>1</v>
      </c>
      <c r="C22" s="164">
        <v>24.463000000000001</v>
      </c>
      <c r="D22" s="164">
        <v>24.463000000000001</v>
      </c>
    </row>
    <row r="23" spans="2:7" ht="18.75" x14ac:dyDescent="0.25">
      <c r="B23" s="42">
        <v>2</v>
      </c>
      <c r="C23" s="164">
        <v>24.747</v>
      </c>
      <c r="D23" s="164">
        <v>24.747</v>
      </c>
    </row>
    <row r="24" spans="2:7" ht="18.75" x14ac:dyDescent="0.25">
      <c r="B24" s="42">
        <v>3</v>
      </c>
      <c r="C24" s="164">
        <v>24.884</v>
      </c>
      <c r="D24" s="164">
        <v>24.884</v>
      </c>
    </row>
    <row r="25" spans="2:7" ht="18.75" x14ac:dyDescent="0.25">
      <c r="B25" s="42">
        <v>4</v>
      </c>
      <c r="C25" s="164">
        <v>24.146000000000001</v>
      </c>
      <c r="D25" s="164">
        <v>24.146000000000001</v>
      </c>
    </row>
    <row r="26" spans="2:7" ht="18.75" x14ac:dyDescent="0.25">
      <c r="B26" s="42">
        <v>5</v>
      </c>
      <c r="C26" s="164">
        <v>24.47</v>
      </c>
      <c r="D26" s="164">
        <v>24.47</v>
      </c>
    </row>
    <row r="27" spans="2:7" ht="18.75" x14ac:dyDescent="0.25">
      <c r="B27" s="42">
        <v>6</v>
      </c>
      <c r="C27" s="164">
        <v>24.477</v>
      </c>
      <c r="D27" s="164">
        <v>24.477</v>
      </c>
    </row>
    <row r="28" spans="2:7" ht="18.75" x14ac:dyDescent="0.25">
      <c r="B28" s="42">
        <v>7</v>
      </c>
      <c r="C28" s="164">
        <v>24.352</v>
      </c>
      <c r="D28" s="164">
        <v>24.352</v>
      </c>
    </row>
    <row r="29" spans="2:7" ht="18.75" x14ac:dyDescent="0.25">
      <c r="B29" s="42">
        <v>8</v>
      </c>
      <c r="C29" s="164">
        <v>23.817</v>
      </c>
      <c r="D29" s="164">
        <v>23.817</v>
      </c>
    </row>
    <row r="30" spans="2:7" ht="18.75" x14ac:dyDescent="0.25">
      <c r="B30" s="42">
        <v>9</v>
      </c>
      <c r="C30" s="164">
        <v>24.18</v>
      </c>
      <c r="D30" s="164">
        <v>24.18</v>
      </c>
    </row>
    <row r="31" spans="2:7" ht="18.75" x14ac:dyDescent="0.25">
      <c r="B31" s="42">
        <v>10</v>
      </c>
      <c r="C31" s="164">
        <v>24.356000000000002</v>
      </c>
      <c r="D31" s="164">
        <v>24.356000000000002</v>
      </c>
    </row>
    <row r="32" spans="2:7" ht="18.75" x14ac:dyDescent="0.25">
      <c r="B32" s="42">
        <v>11</v>
      </c>
      <c r="C32" s="164">
        <v>24.649000000000001</v>
      </c>
      <c r="D32" s="164">
        <v>24.649000000000001</v>
      </c>
    </row>
    <row r="33" spans="2:4" ht="18.75" x14ac:dyDescent="0.25">
      <c r="B33" s="42">
        <v>12</v>
      </c>
      <c r="C33" s="164">
        <v>24.489000000000001</v>
      </c>
      <c r="D33" s="164">
        <v>24.489000000000001</v>
      </c>
    </row>
    <row r="34" spans="2:4" ht="18.75" x14ac:dyDescent="0.25">
      <c r="B34" s="42">
        <v>13</v>
      </c>
      <c r="C34" s="164">
        <v>23.404</v>
      </c>
      <c r="D34" s="164">
        <v>23.404</v>
      </c>
    </row>
    <row r="35" spans="2:4" ht="18.75" x14ac:dyDescent="0.25">
      <c r="B35" s="42">
        <v>14</v>
      </c>
      <c r="C35" s="164">
        <v>23.536000000000001</v>
      </c>
      <c r="D35" s="164">
        <v>23.536000000000001</v>
      </c>
    </row>
    <row r="36" spans="2:4" ht="18.75" x14ac:dyDescent="0.25">
      <c r="B36" s="42">
        <v>15</v>
      </c>
      <c r="C36" s="164">
        <v>23.023</v>
      </c>
      <c r="D36" s="164">
        <v>23.023</v>
      </c>
    </row>
    <row r="37" spans="2:4" ht="18.75" x14ac:dyDescent="0.25">
      <c r="B37" s="42">
        <v>16</v>
      </c>
      <c r="C37" s="164">
        <v>23.395</v>
      </c>
      <c r="D37" s="164">
        <v>23.395</v>
      </c>
    </row>
    <row r="38" spans="2:4" ht="18.75" x14ac:dyDescent="0.25">
      <c r="B38" s="42">
        <v>17</v>
      </c>
      <c r="C38" s="164">
        <v>24.114000000000001</v>
      </c>
      <c r="D38" s="164">
        <v>24.114000000000001</v>
      </c>
    </row>
    <row r="39" spans="2:4" ht="18.75" x14ac:dyDescent="0.25">
      <c r="B39" s="42">
        <v>18</v>
      </c>
      <c r="C39" s="164">
        <v>24.66</v>
      </c>
      <c r="D39" s="164">
        <v>24.66</v>
      </c>
    </row>
    <row r="40" spans="2:4" ht="18.75" x14ac:dyDescent="0.25">
      <c r="B40" s="42">
        <v>19</v>
      </c>
      <c r="C40" s="164">
        <v>24.937999999999999</v>
      </c>
      <c r="D40" s="164">
        <v>24.937999999999999</v>
      </c>
    </row>
    <row r="41" spans="2:4" ht="18.75" x14ac:dyDescent="0.25">
      <c r="B41" s="42">
        <v>20</v>
      </c>
      <c r="C41" s="164">
        <v>24.405999999999999</v>
      </c>
      <c r="D41" s="164">
        <v>24.405999999999999</v>
      </c>
    </row>
    <row r="42" spans="2:4" ht="18.75" x14ac:dyDescent="0.25">
      <c r="B42" s="42">
        <v>21</v>
      </c>
      <c r="C42" s="164">
        <v>24.273</v>
      </c>
      <c r="D42" s="164">
        <v>24.273</v>
      </c>
    </row>
    <row r="43" spans="2:4" ht="18.75" x14ac:dyDescent="0.25">
      <c r="B43" s="42">
        <v>22</v>
      </c>
      <c r="C43" s="164">
        <v>24.175999999999998</v>
      </c>
      <c r="D43" s="164">
        <v>24.175999999999998</v>
      </c>
    </row>
    <row r="44" spans="2:4" ht="18.75" x14ac:dyDescent="0.25">
      <c r="B44" s="42">
        <v>23</v>
      </c>
      <c r="C44" s="164">
        <v>24.247</v>
      </c>
      <c r="D44" s="164">
        <v>24.247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24.226173913043478</v>
      </c>
      <c r="D46" s="166"/>
    </row>
    <row r="47" spans="2:4" ht="31.5" x14ac:dyDescent="0.25">
      <c r="B47" s="45" t="s">
        <v>48</v>
      </c>
      <c r="C47" s="44">
        <f>_xlfn.STDEV.S(C21:C45)</f>
        <v>0.49011442024035184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24.317</v>
      </c>
      <c r="D21" s="164">
        <v>24.317</v>
      </c>
    </row>
    <row r="22" spans="2:7" ht="18.75" x14ac:dyDescent="0.25">
      <c r="B22" s="42">
        <v>1</v>
      </c>
      <c r="C22" s="164">
        <v>24.405000000000001</v>
      </c>
      <c r="D22" s="164">
        <v>24.405000000000001</v>
      </c>
    </row>
    <row r="23" spans="2:7" ht="18.75" x14ac:dyDescent="0.25">
      <c r="B23" s="42">
        <v>2</v>
      </c>
      <c r="C23" s="164">
        <v>24.704999999999998</v>
      </c>
      <c r="D23" s="164">
        <v>24.704999999999998</v>
      </c>
    </row>
    <row r="24" spans="2:7" ht="18.75" x14ac:dyDescent="0.25">
      <c r="B24" s="42">
        <v>3</v>
      </c>
      <c r="C24" s="164">
        <v>23.937999999999999</v>
      </c>
      <c r="D24" s="164">
        <v>23.937999999999999</v>
      </c>
    </row>
    <row r="25" spans="2:7" ht="18.75" x14ac:dyDescent="0.25">
      <c r="B25" s="42">
        <v>4</v>
      </c>
      <c r="C25" s="164">
        <v>22.925000000000001</v>
      </c>
      <c r="D25" s="164">
        <v>22.925000000000001</v>
      </c>
    </row>
    <row r="26" spans="2:7" ht="18.75" x14ac:dyDescent="0.25">
      <c r="B26" s="42">
        <v>5</v>
      </c>
      <c r="C26" s="164">
        <v>22.152999999999999</v>
      </c>
      <c r="D26" s="164">
        <v>22.152999999999999</v>
      </c>
    </row>
    <row r="27" spans="2:7" ht="18.75" x14ac:dyDescent="0.25">
      <c r="B27" s="42">
        <v>6</v>
      </c>
      <c r="C27" s="164">
        <v>22.135999999999999</v>
      </c>
      <c r="D27" s="164">
        <v>22.135999999999999</v>
      </c>
    </row>
    <row r="28" spans="2:7" ht="18.75" x14ac:dyDescent="0.25">
      <c r="B28" s="42">
        <v>7</v>
      </c>
      <c r="C28" s="164">
        <v>24.001999999999999</v>
      </c>
      <c r="D28" s="164">
        <v>24.001999999999999</v>
      </c>
    </row>
    <row r="29" spans="2:7" ht="18.75" x14ac:dyDescent="0.25">
      <c r="B29" s="42">
        <v>8</v>
      </c>
      <c r="C29" s="164">
        <v>23.709</v>
      </c>
      <c r="D29" s="164">
        <v>23.709</v>
      </c>
    </row>
    <row r="30" spans="2:7" ht="18.75" x14ac:dyDescent="0.25">
      <c r="B30" s="42">
        <v>9</v>
      </c>
      <c r="C30" s="164">
        <v>23.346</v>
      </c>
      <c r="D30" s="164">
        <v>23.346</v>
      </c>
    </row>
    <row r="31" spans="2:7" ht="18.75" x14ac:dyDescent="0.25">
      <c r="B31" s="42">
        <v>10</v>
      </c>
      <c r="C31" s="164">
        <v>23.827000000000002</v>
      </c>
      <c r="D31" s="164">
        <v>23.827000000000002</v>
      </c>
    </row>
    <row r="32" spans="2:7" ht="18.75" x14ac:dyDescent="0.25">
      <c r="B32" s="42">
        <v>11</v>
      </c>
      <c r="C32" s="164">
        <v>24.378</v>
      </c>
      <c r="D32" s="164">
        <v>24.378</v>
      </c>
    </row>
    <row r="33" spans="2:4" ht="18.75" x14ac:dyDescent="0.25">
      <c r="B33" s="42">
        <v>12</v>
      </c>
      <c r="C33" s="164">
        <v>23.218</v>
      </c>
      <c r="D33" s="164">
        <v>23.218</v>
      </c>
    </row>
    <row r="34" spans="2:4" ht="18.75" x14ac:dyDescent="0.25">
      <c r="B34" s="42">
        <v>13</v>
      </c>
      <c r="C34" s="164">
        <v>23.451000000000001</v>
      </c>
      <c r="D34" s="164">
        <v>23.451000000000001</v>
      </c>
    </row>
    <row r="35" spans="2:4" ht="18.75" x14ac:dyDescent="0.25">
      <c r="B35" s="42">
        <v>14</v>
      </c>
      <c r="C35" s="164">
        <v>23.082000000000001</v>
      </c>
      <c r="D35" s="164">
        <v>23.082000000000001</v>
      </c>
    </row>
    <row r="36" spans="2:4" ht="18.75" x14ac:dyDescent="0.25">
      <c r="B36" s="42">
        <v>15</v>
      </c>
      <c r="C36" s="164">
        <v>23.608000000000001</v>
      </c>
      <c r="D36" s="164">
        <v>23.608000000000001</v>
      </c>
    </row>
    <row r="37" spans="2:4" ht="18.75" x14ac:dyDescent="0.25">
      <c r="B37" s="42">
        <v>16</v>
      </c>
      <c r="C37" s="164">
        <v>23.957999999999998</v>
      </c>
      <c r="D37" s="164">
        <v>23.957999999999998</v>
      </c>
    </row>
    <row r="38" spans="2:4" ht="18.75" x14ac:dyDescent="0.25">
      <c r="B38" s="42">
        <v>17</v>
      </c>
      <c r="C38" s="164">
        <v>23.997</v>
      </c>
      <c r="D38" s="164">
        <v>23.997</v>
      </c>
    </row>
    <row r="39" spans="2:4" ht="18.75" x14ac:dyDescent="0.25">
      <c r="B39" s="42">
        <v>18</v>
      </c>
      <c r="C39" s="164">
        <v>24.51</v>
      </c>
      <c r="D39" s="164">
        <v>24.51</v>
      </c>
    </row>
    <row r="40" spans="2:4" ht="18.75" x14ac:dyDescent="0.25">
      <c r="B40" s="42">
        <v>19</v>
      </c>
      <c r="C40" s="164">
        <v>24.591999999999999</v>
      </c>
      <c r="D40" s="164">
        <v>24.591999999999999</v>
      </c>
    </row>
    <row r="41" spans="2:4" ht="18.75" x14ac:dyDescent="0.25">
      <c r="B41" s="42">
        <v>20</v>
      </c>
      <c r="C41" s="164">
        <v>24.027000000000001</v>
      </c>
      <c r="D41" s="164">
        <v>24.027000000000001</v>
      </c>
    </row>
    <row r="42" spans="2:4" ht="18.75" x14ac:dyDescent="0.25">
      <c r="B42" s="42">
        <v>21</v>
      </c>
      <c r="C42" s="164">
        <v>24.178999999999998</v>
      </c>
      <c r="D42" s="164">
        <v>24.178999999999998</v>
      </c>
    </row>
    <row r="43" spans="2:4" ht="18.75" x14ac:dyDescent="0.25">
      <c r="B43" s="42">
        <v>22</v>
      </c>
      <c r="C43" s="164">
        <v>24.545000000000002</v>
      </c>
      <c r="D43" s="164">
        <v>24.545000000000002</v>
      </c>
    </row>
    <row r="44" spans="2:4" ht="18.75" x14ac:dyDescent="0.25">
      <c r="B44" s="42">
        <v>23</v>
      </c>
      <c r="C44" s="164">
        <v>24.838000000000001</v>
      </c>
      <c r="D44" s="164">
        <v>24.838000000000001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23.805608695652168</v>
      </c>
      <c r="D46" s="166"/>
    </row>
    <row r="47" spans="2:4" ht="31.5" x14ac:dyDescent="0.25">
      <c r="B47" s="45" t="s">
        <v>48</v>
      </c>
      <c r="C47" s="44">
        <f>_xlfn.STDEV.S(C21:C45)</f>
        <v>0.7320854022802834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24.681000000000001</v>
      </c>
      <c r="D21" s="164">
        <v>24.681000000000001</v>
      </c>
    </row>
    <row r="22" spans="2:7" ht="18.75" x14ac:dyDescent="0.25">
      <c r="B22" s="42">
        <v>1</v>
      </c>
      <c r="C22" s="164">
        <v>24.097000000000001</v>
      </c>
      <c r="D22" s="164">
        <v>24.097000000000001</v>
      </c>
    </row>
    <row r="23" spans="2:7" ht="18.75" x14ac:dyDescent="0.25">
      <c r="B23" s="42">
        <v>2</v>
      </c>
      <c r="C23" s="164">
        <v>23.212</v>
      </c>
      <c r="D23" s="164">
        <v>23.212</v>
      </c>
    </row>
    <row r="24" spans="2:7" ht="18.75" x14ac:dyDescent="0.25">
      <c r="B24" s="42">
        <v>3</v>
      </c>
      <c r="C24" s="164">
        <v>23.344000000000001</v>
      </c>
      <c r="D24" s="164">
        <v>23.344000000000001</v>
      </c>
    </row>
    <row r="25" spans="2:7" ht="18.75" x14ac:dyDescent="0.25">
      <c r="B25" s="42">
        <v>4</v>
      </c>
      <c r="C25" s="164">
        <v>23.280999999999999</v>
      </c>
      <c r="D25" s="164">
        <v>23.280999999999999</v>
      </c>
    </row>
    <row r="26" spans="2:7" ht="18.75" x14ac:dyDescent="0.25">
      <c r="B26" s="42">
        <v>5</v>
      </c>
      <c r="C26" s="164">
        <v>22.898</v>
      </c>
      <c r="D26" s="164">
        <v>22.898</v>
      </c>
    </row>
    <row r="27" spans="2:7" ht="18.75" x14ac:dyDescent="0.25">
      <c r="B27" s="42">
        <v>6</v>
      </c>
      <c r="C27" s="164">
        <v>23.042999999999999</v>
      </c>
      <c r="D27" s="164">
        <v>23.042999999999999</v>
      </c>
    </row>
    <row r="28" spans="2:7" ht="18.75" x14ac:dyDescent="0.25">
      <c r="B28" s="42">
        <v>7</v>
      </c>
      <c r="C28" s="164">
        <v>23.86</v>
      </c>
      <c r="D28" s="164">
        <v>23.86</v>
      </c>
    </row>
    <row r="29" spans="2:7" ht="18.75" x14ac:dyDescent="0.25">
      <c r="B29" s="42">
        <v>8</v>
      </c>
      <c r="C29" s="164">
        <v>24.352</v>
      </c>
      <c r="D29" s="164">
        <v>24.352</v>
      </c>
    </row>
    <row r="30" spans="2:7" ht="18.75" x14ac:dyDescent="0.25">
      <c r="B30" s="42">
        <v>9</v>
      </c>
      <c r="C30" s="164">
        <v>24.257999999999999</v>
      </c>
      <c r="D30" s="164">
        <v>24.257999999999999</v>
      </c>
    </row>
    <row r="31" spans="2:7" ht="18.75" x14ac:dyDescent="0.25">
      <c r="B31" s="42">
        <v>10</v>
      </c>
      <c r="C31" s="164">
        <v>24.033999999999999</v>
      </c>
      <c r="D31" s="164">
        <v>24.033999999999999</v>
      </c>
    </row>
    <row r="32" spans="2:7" ht="18.75" x14ac:dyDescent="0.25">
      <c r="B32" s="42">
        <v>11</v>
      </c>
      <c r="C32" s="164">
        <v>23.277000000000001</v>
      </c>
      <c r="D32" s="164">
        <v>23.277000000000001</v>
      </c>
    </row>
    <row r="33" spans="2:4" ht="18.75" x14ac:dyDescent="0.25">
      <c r="B33" s="42">
        <v>12</v>
      </c>
      <c r="C33" s="164">
        <v>23.803000000000001</v>
      </c>
      <c r="D33" s="164">
        <v>23.803000000000001</v>
      </c>
    </row>
    <row r="34" spans="2:4" ht="18.75" x14ac:dyDescent="0.25">
      <c r="B34" s="42">
        <v>13</v>
      </c>
      <c r="C34" s="164">
        <v>23.236000000000001</v>
      </c>
      <c r="D34" s="164">
        <v>23.236000000000001</v>
      </c>
    </row>
    <row r="35" spans="2:4" ht="18.75" x14ac:dyDescent="0.25">
      <c r="B35" s="42">
        <v>14</v>
      </c>
      <c r="C35" s="164">
        <v>23.399000000000001</v>
      </c>
      <c r="D35" s="164">
        <v>23.399000000000001</v>
      </c>
    </row>
    <row r="36" spans="2:4" ht="18.75" x14ac:dyDescent="0.25">
      <c r="B36" s="42">
        <v>15</v>
      </c>
      <c r="C36" s="164">
        <v>23.282</v>
      </c>
      <c r="D36" s="164">
        <v>23.282</v>
      </c>
    </row>
    <row r="37" spans="2:4" ht="18.75" x14ac:dyDescent="0.25">
      <c r="B37" s="42">
        <v>16</v>
      </c>
      <c r="C37" s="164">
        <v>23.51</v>
      </c>
      <c r="D37" s="164">
        <v>23.51</v>
      </c>
    </row>
    <row r="38" spans="2:4" ht="18.75" x14ac:dyDescent="0.25">
      <c r="B38" s="42">
        <v>17</v>
      </c>
      <c r="C38" s="164">
        <v>23.969000000000001</v>
      </c>
      <c r="D38" s="164">
        <v>23.969000000000001</v>
      </c>
    </row>
    <row r="39" spans="2:4" ht="18.75" x14ac:dyDescent="0.25">
      <c r="B39" s="42">
        <v>18</v>
      </c>
      <c r="C39" s="164">
        <v>24.327999999999999</v>
      </c>
      <c r="D39" s="164">
        <v>24.327999999999999</v>
      </c>
    </row>
    <row r="40" spans="2:4" ht="18.75" x14ac:dyDescent="0.25">
      <c r="B40" s="42">
        <v>19</v>
      </c>
      <c r="C40" s="164">
        <v>24.39</v>
      </c>
      <c r="D40" s="164">
        <v>24.39</v>
      </c>
    </row>
    <row r="41" spans="2:4" ht="18.75" x14ac:dyDescent="0.25">
      <c r="B41" s="42">
        <v>20</v>
      </c>
      <c r="C41" s="164">
        <v>24.712</v>
      </c>
      <c r="D41" s="164">
        <v>24.712</v>
      </c>
    </row>
    <row r="42" spans="2:4" ht="18.75" x14ac:dyDescent="0.25">
      <c r="B42" s="42">
        <v>21</v>
      </c>
      <c r="C42" s="164">
        <v>24.408000000000001</v>
      </c>
      <c r="D42" s="164">
        <v>24.408000000000001</v>
      </c>
    </row>
    <row r="43" spans="2:4" ht="18.75" x14ac:dyDescent="0.25">
      <c r="B43" s="42">
        <v>22</v>
      </c>
      <c r="C43" s="164">
        <v>23.933</v>
      </c>
      <c r="D43" s="164">
        <v>23.933</v>
      </c>
    </row>
    <row r="44" spans="2:4" ht="18.75" x14ac:dyDescent="0.25">
      <c r="B44" s="42">
        <v>23</v>
      </c>
      <c r="C44" s="164">
        <v>23.568999999999999</v>
      </c>
      <c r="D44" s="164">
        <v>23.568999999999999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23.747608695652172</v>
      </c>
      <c r="D46" s="166"/>
    </row>
    <row r="47" spans="2:4" ht="31.5" x14ac:dyDescent="0.25">
      <c r="B47" s="45" t="s">
        <v>48</v>
      </c>
      <c r="C47" s="44">
        <f>_xlfn.STDEV.S(C21:C45)</f>
        <v>0.53872942309135841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23.126999999999999</v>
      </c>
      <c r="D21" s="164">
        <v>23.126999999999999</v>
      </c>
    </row>
    <row r="22" spans="2:7" ht="18.75" x14ac:dyDescent="0.25">
      <c r="B22" s="42">
        <v>1</v>
      </c>
      <c r="C22" s="164">
        <v>22.202999999999999</v>
      </c>
      <c r="D22" s="164">
        <v>22.202999999999999</v>
      </c>
    </row>
    <row r="23" spans="2:7" ht="18.75" x14ac:dyDescent="0.25">
      <c r="B23" s="42">
        <v>2</v>
      </c>
      <c r="C23" s="164">
        <v>21.305</v>
      </c>
      <c r="D23" s="164">
        <v>21.305</v>
      </c>
    </row>
    <row r="24" spans="2:7" ht="18.75" x14ac:dyDescent="0.25">
      <c r="B24" s="42">
        <v>3</v>
      </c>
      <c r="C24" s="164">
        <v>20.658000000000001</v>
      </c>
      <c r="D24" s="164">
        <v>20.658000000000001</v>
      </c>
    </row>
    <row r="25" spans="2:7" ht="18.75" x14ac:dyDescent="0.25">
      <c r="B25" s="42">
        <v>4</v>
      </c>
      <c r="C25" s="164">
        <v>20.556000000000001</v>
      </c>
      <c r="D25" s="164">
        <v>20.556000000000001</v>
      </c>
    </row>
    <row r="26" spans="2:7" ht="18.75" x14ac:dyDescent="0.25">
      <c r="B26" s="42">
        <v>5</v>
      </c>
      <c r="C26" s="164">
        <v>20.715</v>
      </c>
      <c r="D26" s="164">
        <v>20.715</v>
      </c>
    </row>
    <row r="27" spans="2:7" ht="18.75" x14ac:dyDescent="0.25">
      <c r="B27" s="42">
        <v>6</v>
      </c>
      <c r="C27" s="164">
        <v>20.93</v>
      </c>
      <c r="D27" s="164">
        <v>20.93</v>
      </c>
    </row>
    <row r="28" spans="2:7" ht="18.75" x14ac:dyDescent="0.25">
      <c r="B28" s="42">
        <v>7</v>
      </c>
      <c r="C28" s="164">
        <v>24.306000000000001</v>
      </c>
      <c r="D28" s="164">
        <v>24.306000000000001</v>
      </c>
    </row>
    <row r="29" spans="2:7" ht="18.75" x14ac:dyDescent="0.25">
      <c r="B29" s="42">
        <v>8</v>
      </c>
      <c r="C29" s="164">
        <v>23.715</v>
      </c>
      <c r="D29" s="164">
        <v>23.715</v>
      </c>
    </row>
    <row r="30" spans="2:7" ht="18.75" x14ac:dyDescent="0.25">
      <c r="B30" s="42">
        <v>9</v>
      </c>
      <c r="C30" s="164">
        <v>24.323</v>
      </c>
      <c r="D30" s="164">
        <v>24.323</v>
      </c>
    </row>
    <row r="31" spans="2:7" ht="18.75" x14ac:dyDescent="0.25">
      <c r="B31" s="42">
        <v>10</v>
      </c>
      <c r="C31" s="164">
        <v>24.251999999999999</v>
      </c>
      <c r="D31" s="164">
        <v>24.251999999999999</v>
      </c>
    </row>
    <row r="32" spans="2:7" ht="18.75" x14ac:dyDescent="0.25">
      <c r="B32" s="42">
        <v>11</v>
      </c>
      <c r="C32" s="164">
        <v>24.321999999999999</v>
      </c>
      <c r="D32" s="164">
        <v>24.321999999999999</v>
      </c>
    </row>
    <row r="33" spans="2:4" ht="18.75" x14ac:dyDescent="0.25">
      <c r="B33" s="42">
        <v>12</v>
      </c>
      <c r="C33" s="164">
        <v>24.530999999999999</v>
      </c>
      <c r="D33" s="164">
        <v>24.530999999999999</v>
      </c>
    </row>
    <row r="34" spans="2:4" ht="18.75" x14ac:dyDescent="0.25">
      <c r="B34" s="42">
        <v>13</v>
      </c>
      <c r="C34" s="164">
        <v>23.975000000000001</v>
      </c>
      <c r="D34" s="164">
        <v>23.975000000000001</v>
      </c>
    </row>
    <row r="35" spans="2:4" ht="18.75" x14ac:dyDescent="0.25">
      <c r="B35" s="42">
        <v>14</v>
      </c>
      <c r="C35" s="164">
        <v>23.797999999999998</v>
      </c>
      <c r="D35" s="164">
        <v>23.797999999999998</v>
      </c>
    </row>
    <row r="36" spans="2:4" ht="18.75" x14ac:dyDescent="0.25">
      <c r="B36" s="42">
        <v>15</v>
      </c>
      <c r="C36" s="164">
        <v>23.975000000000001</v>
      </c>
      <c r="D36" s="164">
        <v>23.975000000000001</v>
      </c>
    </row>
    <row r="37" spans="2:4" ht="18.75" x14ac:dyDescent="0.25">
      <c r="B37" s="42">
        <v>16</v>
      </c>
      <c r="C37" s="164">
        <v>23.727</v>
      </c>
      <c r="D37" s="164">
        <v>23.727</v>
      </c>
    </row>
    <row r="38" spans="2:4" ht="18.75" x14ac:dyDescent="0.25">
      <c r="B38" s="42">
        <v>17</v>
      </c>
      <c r="C38" s="164">
        <v>24.445</v>
      </c>
      <c r="D38" s="164">
        <v>24.445</v>
      </c>
    </row>
    <row r="39" spans="2:4" ht="18.75" x14ac:dyDescent="0.25">
      <c r="B39" s="42">
        <v>18</v>
      </c>
      <c r="C39" s="164">
        <v>24.077000000000002</v>
      </c>
      <c r="D39" s="164">
        <v>24.077000000000002</v>
      </c>
    </row>
    <row r="40" spans="2:4" ht="18.75" x14ac:dyDescent="0.25">
      <c r="B40" s="42">
        <v>19</v>
      </c>
      <c r="C40" s="164">
        <v>24.731000000000002</v>
      </c>
      <c r="D40" s="164">
        <v>24.731000000000002</v>
      </c>
    </row>
    <row r="41" spans="2:4" ht="18.75" x14ac:dyDescent="0.25">
      <c r="B41" s="42">
        <v>20</v>
      </c>
      <c r="C41" s="164">
        <v>24.498999999999999</v>
      </c>
      <c r="D41" s="164">
        <v>24.498999999999999</v>
      </c>
    </row>
    <row r="42" spans="2:4" ht="18.75" x14ac:dyDescent="0.25">
      <c r="B42" s="42">
        <v>21</v>
      </c>
      <c r="C42" s="164">
        <v>24.157</v>
      </c>
      <c r="D42" s="164">
        <v>24.157</v>
      </c>
    </row>
    <row r="43" spans="2:4" ht="18.75" x14ac:dyDescent="0.25">
      <c r="B43" s="42">
        <v>22</v>
      </c>
      <c r="C43" s="164">
        <v>24.17</v>
      </c>
      <c r="D43" s="164">
        <v>24.17</v>
      </c>
    </row>
    <row r="44" spans="2:4" ht="18.75" x14ac:dyDescent="0.25">
      <c r="B44" s="42">
        <v>23</v>
      </c>
      <c r="C44" s="164">
        <v>24.667000000000002</v>
      </c>
      <c r="D44" s="164">
        <v>24.667000000000002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23.392913043478263</v>
      </c>
      <c r="D46" s="166"/>
    </row>
    <row r="47" spans="2:4" ht="31.5" x14ac:dyDescent="0.25">
      <c r="B47" s="45" t="s">
        <v>48</v>
      </c>
      <c r="C47" s="44">
        <f>_xlfn.STDEV.S(C21:C45)</f>
        <v>1.4395069103437941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53">
        <v>24.481999999999999</v>
      </c>
      <c r="D21" s="154">
        <v>24.481999999999999</v>
      </c>
    </row>
    <row r="22" spans="2:7" ht="18.75" x14ac:dyDescent="0.25">
      <c r="B22" s="42">
        <v>1</v>
      </c>
      <c r="C22" s="153">
        <v>23.631</v>
      </c>
      <c r="D22" s="154">
        <v>23.631</v>
      </c>
    </row>
    <row r="23" spans="2:7" ht="18.75" x14ac:dyDescent="0.25">
      <c r="B23" s="42">
        <v>2</v>
      </c>
      <c r="C23" s="153">
        <v>22.645</v>
      </c>
      <c r="D23" s="154">
        <v>22.645</v>
      </c>
    </row>
    <row r="24" spans="2:7" ht="18.75" x14ac:dyDescent="0.25">
      <c r="B24" s="42">
        <v>3</v>
      </c>
      <c r="C24" s="153">
        <v>21.51</v>
      </c>
      <c r="D24" s="154">
        <v>21.51</v>
      </c>
    </row>
    <row r="25" spans="2:7" ht="18.75" x14ac:dyDescent="0.25">
      <c r="B25" s="42">
        <v>4</v>
      </c>
      <c r="C25" s="153">
        <v>20.582000000000001</v>
      </c>
      <c r="D25" s="154">
        <v>20.582000000000001</v>
      </c>
    </row>
    <row r="26" spans="2:7" ht="18.75" x14ac:dyDescent="0.25">
      <c r="B26" s="42">
        <v>5</v>
      </c>
      <c r="C26" s="153">
        <v>20.302</v>
      </c>
      <c r="D26" s="154">
        <v>20.302</v>
      </c>
    </row>
    <row r="27" spans="2:7" ht="18.75" x14ac:dyDescent="0.25">
      <c r="B27" s="42">
        <v>6</v>
      </c>
      <c r="C27" s="153">
        <v>21.390999999999998</v>
      </c>
      <c r="D27" s="154">
        <v>21.390999999999998</v>
      </c>
    </row>
    <row r="28" spans="2:7" ht="18.75" x14ac:dyDescent="0.25">
      <c r="B28" s="42">
        <v>7</v>
      </c>
      <c r="C28" s="153">
        <v>24.291</v>
      </c>
      <c r="D28" s="154">
        <v>24.291</v>
      </c>
    </row>
    <row r="29" spans="2:7" ht="18.75" x14ac:dyDescent="0.25">
      <c r="B29" s="42">
        <v>8</v>
      </c>
      <c r="C29" s="153">
        <v>23.196999999999999</v>
      </c>
      <c r="D29" s="154">
        <v>23.196999999999999</v>
      </c>
    </row>
    <row r="30" spans="2:7" ht="18.75" x14ac:dyDescent="0.25">
      <c r="B30" s="42">
        <v>9</v>
      </c>
      <c r="C30" s="153">
        <v>24.106000000000002</v>
      </c>
      <c r="D30" s="154">
        <v>24.106000000000002</v>
      </c>
    </row>
    <row r="31" spans="2:7" ht="18.75" x14ac:dyDescent="0.25">
      <c r="B31" s="42">
        <v>10</v>
      </c>
      <c r="C31" s="153">
        <v>24.376999999999999</v>
      </c>
      <c r="D31" s="154">
        <v>24.376999999999999</v>
      </c>
    </row>
    <row r="32" spans="2:7" ht="18.75" x14ac:dyDescent="0.25">
      <c r="B32" s="42">
        <v>11</v>
      </c>
      <c r="C32" s="153">
        <v>24.571000000000002</v>
      </c>
      <c r="D32" s="154">
        <v>24.571000000000002</v>
      </c>
    </row>
    <row r="33" spans="2:4" ht="18.75" x14ac:dyDescent="0.25">
      <c r="B33" s="42">
        <v>12</v>
      </c>
      <c r="C33" s="153">
        <v>24.417000000000002</v>
      </c>
      <c r="D33" s="154">
        <v>24.417000000000002</v>
      </c>
    </row>
    <row r="34" spans="2:4" ht="18.75" x14ac:dyDescent="0.25">
      <c r="B34" s="42">
        <v>13</v>
      </c>
      <c r="C34" s="153">
        <v>24.347000000000001</v>
      </c>
      <c r="D34" s="154">
        <v>24.347000000000001</v>
      </c>
    </row>
    <row r="35" spans="2:4" ht="18.75" x14ac:dyDescent="0.25">
      <c r="B35" s="42">
        <v>14</v>
      </c>
      <c r="C35" s="153">
        <v>23.16</v>
      </c>
      <c r="D35" s="154">
        <v>23.16</v>
      </c>
    </row>
    <row r="36" spans="2:4" ht="18.75" x14ac:dyDescent="0.25">
      <c r="B36" s="42">
        <v>15</v>
      </c>
      <c r="C36" s="153">
        <v>22.876999999999999</v>
      </c>
      <c r="D36" s="154">
        <v>22.876999999999999</v>
      </c>
    </row>
    <row r="37" spans="2:4" ht="18.75" x14ac:dyDescent="0.25">
      <c r="B37" s="42">
        <v>16</v>
      </c>
      <c r="C37" s="153">
        <v>24.420999999999999</v>
      </c>
      <c r="D37" s="154">
        <v>24.420999999999999</v>
      </c>
    </row>
    <row r="38" spans="2:4" ht="18.75" x14ac:dyDescent="0.25">
      <c r="B38" s="42">
        <v>17</v>
      </c>
      <c r="C38" s="153">
        <v>24.042999999999999</v>
      </c>
      <c r="D38" s="154">
        <v>24.042999999999999</v>
      </c>
    </row>
    <row r="39" spans="2:4" ht="18.75" x14ac:dyDescent="0.25">
      <c r="B39" s="42">
        <v>18</v>
      </c>
      <c r="C39" s="153">
        <v>24.277999999999999</v>
      </c>
      <c r="D39" s="154">
        <v>24.277999999999999</v>
      </c>
    </row>
    <row r="40" spans="2:4" ht="18.75" x14ac:dyDescent="0.25">
      <c r="B40" s="42">
        <v>19</v>
      </c>
      <c r="C40" s="153">
        <v>24.484000000000002</v>
      </c>
      <c r="D40" s="154">
        <v>24.484000000000002</v>
      </c>
    </row>
    <row r="41" spans="2:4" ht="18.75" x14ac:dyDescent="0.25">
      <c r="B41" s="42">
        <v>20</v>
      </c>
      <c r="C41" s="153">
        <v>24.050999999999998</v>
      </c>
      <c r="D41" s="154">
        <v>24.050999999999998</v>
      </c>
    </row>
    <row r="42" spans="2:4" ht="18.75" x14ac:dyDescent="0.25">
      <c r="B42" s="42">
        <v>21</v>
      </c>
      <c r="C42" s="153">
        <v>23.936</v>
      </c>
      <c r="D42" s="154">
        <v>23.936</v>
      </c>
    </row>
    <row r="43" spans="2:4" ht="18.75" x14ac:dyDescent="0.25">
      <c r="B43" s="42">
        <v>22</v>
      </c>
      <c r="C43" s="153">
        <v>24.864000000000001</v>
      </c>
      <c r="D43" s="154">
        <v>24.864000000000001</v>
      </c>
    </row>
    <row r="44" spans="2:4" ht="18.75" x14ac:dyDescent="0.25">
      <c r="B44" s="42">
        <v>23</v>
      </c>
      <c r="C44" s="153">
        <v>24.611999999999998</v>
      </c>
      <c r="D44" s="154">
        <v>24.611999999999998</v>
      </c>
    </row>
    <row r="45" spans="2:4" ht="18.75" x14ac:dyDescent="0.25">
      <c r="B45" s="42">
        <v>24</v>
      </c>
      <c r="C45" s="153"/>
      <c r="D45" s="154"/>
    </row>
    <row r="46" spans="2:4" ht="33.75" customHeight="1" x14ac:dyDescent="0.25">
      <c r="B46" s="43" t="s">
        <v>47</v>
      </c>
      <c r="C46" s="157">
        <f>AVERAGE(C22:C45)</f>
        <v>23.482304347826084</v>
      </c>
      <c r="D46" s="158"/>
    </row>
    <row r="47" spans="2:4" ht="31.5" x14ac:dyDescent="0.25">
      <c r="B47" s="45" t="s">
        <v>48</v>
      </c>
      <c r="C47" s="44">
        <f>_xlfn.STDEV.S(C21:C45)</f>
        <v>1.3223650248921326</v>
      </c>
      <c r="D47" s="46" t="s">
        <v>49</v>
      </c>
    </row>
    <row r="48" spans="2:4" ht="15.75" x14ac:dyDescent="0.25">
      <c r="B48" s="43" t="s">
        <v>50</v>
      </c>
      <c r="C48" s="159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ht="12.95" customHeight="1" x14ac:dyDescent="0.25">
      <c r="B17" s="156" t="s">
        <v>45</v>
      </c>
      <c r="C17" s="156" t="s">
        <v>46</v>
      </c>
      <c r="D17" s="156"/>
      <c r="E17" s="26"/>
      <c r="G17" s="26"/>
    </row>
    <row r="18" spans="2:7" ht="12.95" customHeight="1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24.706</v>
      </c>
      <c r="D21" s="164">
        <v>24.706</v>
      </c>
    </row>
    <row r="22" spans="2:7" ht="18.75" x14ac:dyDescent="0.25">
      <c r="B22" s="42">
        <v>1</v>
      </c>
      <c r="C22" s="164">
        <v>24.420999999999999</v>
      </c>
      <c r="D22" s="164">
        <v>24.420999999999999</v>
      </c>
    </row>
    <row r="23" spans="2:7" ht="18.75" x14ac:dyDescent="0.25">
      <c r="B23" s="42">
        <v>2</v>
      </c>
      <c r="C23" s="164">
        <v>23.664000000000001</v>
      </c>
      <c r="D23" s="164">
        <v>23.664000000000001</v>
      </c>
    </row>
    <row r="24" spans="2:7" ht="18.75" x14ac:dyDescent="0.25">
      <c r="B24" s="42">
        <v>3</v>
      </c>
      <c r="C24" s="164">
        <v>23.065999999999999</v>
      </c>
      <c r="D24" s="164">
        <v>23.065999999999999</v>
      </c>
    </row>
    <row r="25" spans="2:7" ht="18.75" x14ac:dyDescent="0.25">
      <c r="B25" s="42">
        <v>4</v>
      </c>
      <c r="C25" s="164">
        <v>22.684000000000001</v>
      </c>
      <c r="D25" s="164">
        <v>22.684000000000001</v>
      </c>
    </row>
    <row r="26" spans="2:7" ht="18.75" x14ac:dyDescent="0.25">
      <c r="B26" s="42">
        <v>5</v>
      </c>
      <c r="C26" s="164">
        <v>22.366</v>
      </c>
      <c r="D26" s="164">
        <v>22.366</v>
      </c>
    </row>
    <row r="27" spans="2:7" ht="18.75" x14ac:dyDescent="0.25">
      <c r="B27" s="42">
        <v>6</v>
      </c>
      <c r="C27" s="164">
        <v>22.728999999999999</v>
      </c>
      <c r="D27" s="164">
        <v>22.728999999999999</v>
      </c>
    </row>
    <row r="28" spans="2:7" ht="18.75" x14ac:dyDescent="0.25">
      <c r="B28" s="42">
        <v>7</v>
      </c>
      <c r="C28" s="164">
        <v>23.98</v>
      </c>
      <c r="D28" s="164">
        <v>23.98</v>
      </c>
    </row>
    <row r="29" spans="2:7" ht="18.75" x14ac:dyDescent="0.25">
      <c r="B29" s="42">
        <v>8</v>
      </c>
      <c r="C29" s="164">
        <v>23.343</v>
      </c>
      <c r="D29" s="164">
        <v>23.343</v>
      </c>
    </row>
    <row r="30" spans="2:7" ht="18.75" x14ac:dyDescent="0.25">
      <c r="B30" s="42">
        <v>9</v>
      </c>
      <c r="C30" s="164">
        <v>23.699000000000002</v>
      </c>
      <c r="D30" s="164">
        <v>23.699000000000002</v>
      </c>
    </row>
    <row r="31" spans="2:7" ht="18.75" x14ac:dyDescent="0.25">
      <c r="B31" s="42">
        <v>10</v>
      </c>
      <c r="C31" s="164">
        <v>23.370999999999999</v>
      </c>
      <c r="D31" s="164">
        <v>23.370999999999999</v>
      </c>
    </row>
    <row r="32" spans="2:7" ht="18.75" x14ac:dyDescent="0.25">
      <c r="B32" s="42">
        <v>11</v>
      </c>
      <c r="C32" s="164">
        <v>23.445</v>
      </c>
      <c r="D32" s="164">
        <v>23.445</v>
      </c>
    </row>
    <row r="33" spans="2:4" ht="18.75" x14ac:dyDescent="0.25">
      <c r="B33" s="42">
        <v>12</v>
      </c>
      <c r="C33" s="164">
        <v>23.588000000000001</v>
      </c>
      <c r="D33" s="164">
        <v>23.588000000000001</v>
      </c>
    </row>
    <row r="34" spans="2:4" ht="18.75" x14ac:dyDescent="0.25">
      <c r="B34" s="42">
        <v>13</v>
      </c>
      <c r="C34" s="164">
        <v>23.068000000000001</v>
      </c>
      <c r="D34" s="164">
        <v>23.068000000000001</v>
      </c>
    </row>
    <row r="35" spans="2:4" ht="18.75" x14ac:dyDescent="0.25">
      <c r="B35" s="42">
        <v>14</v>
      </c>
      <c r="C35" s="164">
        <v>23.658000000000001</v>
      </c>
      <c r="D35" s="164">
        <v>23.658000000000001</v>
      </c>
    </row>
    <row r="36" spans="2:4" ht="18.75" x14ac:dyDescent="0.25">
      <c r="B36" s="42">
        <v>15</v>
      </c>
      <c r="C36" s="164">
        <v>23.901</v>
      </c>
      <c r="D36" s="164">
        <v>23.901</v>
      </c>
    </row>
    <row r="37" spans="2:4" ht="18.75" x14ac:dyDescent="0.25">
      <c r="B37" s="42">
        <v>16</v>
      </c>
      <c r="C37" s="164">
        <v>24.213999999999999</v>
      </c>
      <c r="D37" s="164">
        <v>24.213999999999999</v>
      </c>
    </row>
    <row r="38" spans="2:4" ht="18.75" x14ac:dyDescent="0.25">
      <c r="B38" s="42">
        <v>17</v>
      </c>
      <c r="C38" s="164">
        <v>24.135999999999999</v>
      </c>
      <c r="D38" s="164">
        <v>24.135999999999999</v>
      </c>
    </row>
    <row r="39" spans="2:4" ht="18.75" x14ac:dyDescent="0.25">
      <c r="B39" s="42">
        <v>18</v>
      </c>
      <c r="C39" s="164">
        <v>24.07</v>
      </c>
      <c r="D39" s="164">
        <v>24.07</v>
      </c>
    </row>
    <row r="40" spans="2:4" ht="18.75" x14ac:dyDescent="0.25">
      <c r="B40" s="42">
        <v>19</v>
      </c>
      <c r="C40" s="164">
        <v>24.158000000000001</v>
      </c>
      <c r="D40" s="164">
        <v>24.158000000000001</v>
      </c>
    </row>
    <row r="41" spans="2:4" ht="18.75" x14ac:dyDescent="0.25">
      <c r="B41" s="42">
        <v>20</v>
      </c>
      <c r="C41" s="164">
        <v>24.434000000000001</v>
      </c>
      <c r="D41" s="164">
        <v>24.434000000000001</v>
      </c>
    </row>
    <row r="42" spans="2:4" ht="18.75" x14ac:dyDescent="0.25">
      <c r="B42" s="42">
        <v>21</v>
      </c>
      <c r="C42" s="164">
        <v>24.44</v>
      </c>
      <c r="D42" s="164">
        <v>24.44</v>
      </c>
    </row>
    <row r="43" spans="2:4" ht="18.75" x14ac:dyDescent="0.25">
      <c r="B43" s="42">
        <v>22</v>
      </c>
      <c r="C43" s="164">
        <v>24.641999999999999</v>
      </c>
      <c r="D43" s="164">
        <v>24.641999999999999</v>
      </c>
    </row>
    <row r="44" spans="2:4" ht="18.75" x14ac:dyDescent="0.25">
      <c r="B44" s="42">
        <v>23</v>
      </c>
      <c r="C44" s="164">
        <v>24.803000000000001</v>
      </c>
      <c r="D44" s="164">
        <v>24.803000000000001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23.733913043478264</v>
      </c>
      <c r="D46" s="166"/>
    </row>
    <row r="47" spans="2:4" ht="31.5" x14ac:dyDescent="0.25">
      <c r="B47" s="45" t="s">
        <v>48</v>
      </c>
      <c r="C47" s="44">
        <f>_xlfn.STDEV.S(C21:C45)</f>
        <v>0.67183744906860798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24.946000000000002</v>
      </c>
      <c r="D21" s="164">
        <v>24.946000000000002</v>
      </c>
    </row>
    <row r="22" spans="2:7" ht="18.75" x14ac:dyDescent="0.25">
      <c r="B22" s="42">
        <v>1</v>
      </c>
      <c r="C22" s="164">
        <v>24.56</v>
      </c>
      <c r="D22" s="164">
        <v>24.56</v>
      </c>
    </row>
    <row r="23" spans="2:7" ht="18.75" x14ac:dyDescent="0.25">
      <c r="B23" s="42">
        <v>2</v>
      </c>
      <c r="C23" s="164">
        <v>24.244</v>
      </c>
      <c r="D23" s="164">
        <v>24.244</v>
      </c>
    </row>
    <row r="24" spans="2:7" ht="18.75" x14ac:dyDescent="0.25">
      <c r="B24" s="42">
        <v>3</v>
      </c>
      <c r="C24" s="164">
        <v>24.39</v>
      </c>
      <c r="D24" s="164">
        <v>24.39</v>
      </c>
    </row>
    <row r="25" spans="2:7" ht="18.75" x14ac:dyDescent="0.25">
      <c r="B25" s="42">
        <v>4</v>
      </c>
      <c r="C25" s="164">
        <v>24.716000000000001</v>
      </c>
      <c r="D25" s="164">
        <v>24.716000000000001</v>
      </c>
    </row>
    <row r="26" spans="2:7" ht="18.75" x14ac:dyDescent="0.25">
      <c r="B26" s="42">
        <v>5</v>
      </c>
      <c r="C26" s="164">
        <v>24.088000000000001</v>
      </c>
      <c r="D26" s="164">
        <v>24.088000000000001</v>
      </c>
    </row>
    <row r="27" spans="2:7" ht="18.75" x14ac:dyDescent="0.25">
      <c r="B27" s="42">
        <v>6</v>
      </c>
      <c r="C27" s="164">
        <v>23.911999999999999</v>
      </c>
      <c r="D27" s="164">
        <v>23.911999999999999</v>
      </c>
    </row>
    <row r="28" spans="2:7" ht="18.75" x14ac:dyDescent="0.25">
      <c r="B28" s="42">
        <v>7</v>
      </c>
      <c r="C28" s="164">
        <v>24.091999999999999</v>
      </c>
      <c r="D28" s="164">
        <v>24.091999999999999</v>
      </c>
    </row>
    <row r="29" spans="2:7" ht="18.75" x14ac:dyDescent="0.25">
      <c r="B29" s="42">
        <v>8</v>
      </c>
      <c r="C29" s="164">
        <v>23.044</v>
      </c>
      <c r="D29" s="164">
        <v>23.044</v>
      </c>
    </row>
    <row r="30" spans="2:7" ht="18.75" x14ac:dyDescent="0.25">
      <c r="B30" s="42">
        <v>9</v>
      </c>
      <c r="C30" s="164">
        <v>24.120999999999999</v>
      </c>
      <c r="D30" s="164">
        <v>24.120999999999999</v>
      </c>
    </row>
    <row r="31" spans="2:7" ht="18.75" x14ac:dyDescent="0.25">
      <c r="B31" s="42">
        <v>10</v>
      </c>
      <c r="C31" s="164">
        <v>23.699000000000002</v>
      </c>
      <c r="D31" s="164">
        <v>23.699000000000002</v>
      </c>
    </row>
    <row r="32" spans="2:7" ht="18.75" x14ac:dyDescent="0.25">
      <c r="B32" s="42">
        <v>11</v>
      </c>
      <c r="C32" s="164">
        <v>23.11</v>
      </c>
      <c r="D32" s="164">
        <v>23.11</v>
      </c>
    </row>
    <row r="33" spans="2:4" ht="18.75" x14ac:dyDescent="0.25">
      <c r="B33" s="42">
        <v>12</v>
      </c>
      <c r="C33" s="164">
        <v>23.641999999999999</v>
      </c>
      <c r="D33" s="164">
        <v>23.641999999999999</v>
      </c>
    </row>
    <row r="34" spans="2:4" ht="18.75" x14ac:dyDescent="0.25">
      <c r="B34" s="42">
        <v>13</v>
      </c>
      <c r="C34" s="164">
        <v>23.196999999999999</v>
      </c>
      <c r="D34" s="164">
        <v>23.196999999999999</v>
      </c>
    </row>
    <row r="35" spans="2:4" ht="18.75" x14ac:dyDescent="0.25">
      <c r="B35" s="42">
        <v>14</v>
      </c>
      <c r="C35" s="164">
        <v>23.795000000000002</v>
      </c>
      <c r="D35" s="164">
        <v>23.795000000000002</v>
      </c>
    </row>
    <row r="36" spans="2:4" ht="18.75" x14ac:dyDescent="0.25">
      <c r="B36" s="42">
        <v>15</v>
      </c>
      <c r="C36" s="164">
        <v>23.44</v>
      </c>
      <c r="D36" s="164">
        <v>23.44</v>
      </c>
    </row>
    <row r="37" spans="2:4" ht="18.75" x14ac:dyDescent="0.25">
      <c r="B37" s="42">
        <v>16</v>
      </c>
      <c r="C37" s="164">
        <v>23.451000000000001</v>
      </c>
      <c r="D37" s="164">
        <v>23.451000000000001</v>
      </c>
    </row>
    <row r="38" spans="2:4" ht="18.75" x14ac:dyDescent="0.25">
      <c r="B38" s="42">
        <v>17</v>
      </c>
      <c r="C38" s="164">
        <v>24.338999999999999</v>
      </c>
      <c r="D38" s="164">
        <v>24.338999999999999</v>
      </c>
    </row>
    <row r="39" spans="2:4" ht="18.75" x14ac:dyDescent="0.25">
      <c r="B39" s="42">
        <v>18</v>
      </c>
      <c r="C39" s="164">
        <v>24.109000000000002</v>
      </c>
      <c r="D39" s="164">
        <v>24.109000000000002</v>
      </c>
    </row>
    <row r="40" spans="2:4" ht="18.75" x14ac:dyDescent="0.25">
      <c r="B40" s="42">
        <v>19</v>
      </c>
      <c r="C40" s="164">
        <v>24.3</v>
      </c>
      <c r="D40" s="164">
        <v>24.3</v>
      </c>
    </row>
    <row r="41" spans="2:4" ht="18.75" x14ac:dyDescent="0.25">
      <c r="B41" s="42">
        <v>20</v>
      </c>
      <c r="C41" s="164">
        <v>24.13</v>
      </c>
      <c r="D41" s="164">
        <v>24.13</v>
      </c>
    </row>
    <row r="42" spans="2:4" ht="18.75" x14ac:dyDescent="0.25">
      <c r="B42" s="42">
        <v>21</v>
      </c>
      <c r="C42" s="164">
        <v>24.087</v>
      </c>
      <c r="D42" s="164">
        <v>24.087</v>
      </c>
    </row>
    <row r="43" spans="2:4" ht="18.75" x14ac:dyDescent="0.25">
      <c r="B43" s="42">
        <v>22</v>
      </c>
      <c r="C43" s="164">
        <v>24.405000000000001</v>
      </c>
      <c r="D43" s="164">
        <v>24.405000000000001</v>
      </c>
    </row>
    <row r="44" spans="2:4" ht="18.75" x14ac:dyDescent="0.25">
      <c r="B44" s="42">
        <v>23</v>
      </c>
      <c r="C44" s="164">
        <v>24.306999999999999</v>
      </c>
      <c r="D44" s="164">
        <v>24.306999999999999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23.964260869565223</v>
      </c>
      <c r="D46" s="166"/>
    </row>
    <row r="47" spans="2:4" ht="31.5" x14ac:dyDescent="0.25">
      <c r="B47" s="45" t="s">
        <v>48</v>
      </c>
      <c r="C47" s="44">
        <f>_xlfn.STDEV.S(C21:C45)</f>
        <v>0.4976877549722068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53">
        <v>23.623000000000001</v>
      </c>
      <c r="D21" s="154">
        <v>23.623000000000001</v>
      </c>
    </row>
    <row r="22" spans="2:7" ht="18.75" x14ac:dyDescent="0.25">
      <c r="B22" s="42">
        <v>1</v>
      </c>
      <c r="C22" s="153">
        <v>22.795000000000002</v>
      </c>
      <c r="D22" s="154">
        <v>22.795000000000002</v>
      </c>
    </row>
    <row r="23" spans="2:7" ht="18.75" x14ac:dyDescent="0.25">
      <c r="B23" s="42">
        <v>2</v>
      </c>
      <c r="C23" s="153">
        <v>21.643999999999998</v>
      </c>
      <c r="D23" s="154">
        <v>21.643999999999998</v>
      </c>
    </row>
    <row r="24" spans="2:7" ht="18.75" x14ac:dyDescent="0.25">
      <c r="B24" s="42">
        <v>3</v>
      </c>
      <c r="C24" s="153">
        <v>20.821000000000002</v>
      </c>
      <c r="D24" s="154">
        <v>20.821000000000002</v>
      </c>
    </row>
    <row r="25" spans="2:7" ht="18.75" x14ac:dyDescent="0.25">
      <c r="B25" s="42">
        <v>4</v>
      </c>
      <c r="C25" s="153">
        <v>20.584</v>
      </c>
      <c r="D25" s="154">
        <v>20.584</v>
      </c>
    </row>
    <row r="26" spans="2:7" ht="18.75" x14ac:dyDescent="0.25">
      <c r="B26" s="42">
        <v>5</v>
      </c>
      <c r="C26" s="153">
        <v>20.338000000000001</v>
      </c>
      <c r="D26" s="154">
        <v>20.338000000000001</v>
      </c>
    </row>
    <row r="27" spans="2:7" ht="18.75" x14ac:dyDescent="0.25">
      <c r="B27" s="42">
        <v>6</v>
      </c>
      <c r="C27" s="153">
        <v>20.611999999999998</v>
      </c>
      <c r="D27" s="154">
        <v>20.611999999999998</v>
      </c>
    </row>
    <row r="28" spans="2:7" ht="18.75" x14ac:dyDescent="0.25">
      <c r="B28" s="42">
        <v>7</v>
      </c>
      <c r="C28" s="153">
        <v>23.776</v>
      </c>
      <c r="D28" s="154">
        <v>23.776</v>
      </c>
    </row>
    <row r="29" spans="2:7" ht="18.75" x14ac:dyDescent="0.25">
      <c r="B29" s="42">
        <v>8</v>
      </c>
      <c r="C29" s="153">
        <v>23.672999999999998</v>
      </c>
      <c r="D29" s="154">
        <v>23.672999999999998</v>
      </c>
    </row>
    <row r="30" spans="2:7" ht="18.75" x14ac:dyDescent="0.25">
      <c r="B30" s="42">
        <v>9</v>
      </c>
      <c r="C30" s="153">
        <v>22.963999999999999</v>
      </c>
      <c r="D30" s="154">
        <v>22.963999999999999</v>
      </c>
    </row>
    <row r="31" spans="2:7" ht="18.75" x14ac:dyDescent="0.25">
      <c r="B31" s="42">
        <v>10</v>
      </c>
      <c r="C31" s="153">
        <v>24.420999999999999</v>
      </c>
      <c r="D31" s="154">
        <v>24.420999999999999</v>
      </c>
    </row>
    <row r="32" spans="2:7" ht="18.75" x14ac:dyDescent="0.25">
      <c r="B32" s="42">
        <v>11</v>
      </c>
      <c r="C32" s="153">
        <v>24.231000000000002</v>
      </c>
      <c r="D32" s="154">
        <v>24.231000000000002</v>
      </c>
    </row>
    <row r="33" spans="2:4" ht="18.75" x14ac:dyDescent="0.25">
      <c r="B33" s="42">
        <v>12</v>
      </c>
      <c r="C33" s="153">
        <v>24.347000000000001</v>
      </c>
      <c r="D33" s="154">
        <v>24.347000000000001</v>
      </c>
    </row>
    <row r="34" spans="2:4" ht="18.75" x14ac:dyDescent="0.25">
      <c r="B34" s="42">
        <v>13</v>
      </c>
      <c r="C34" s="153">
        <v>24.414999999999999</v>
      </c>
      <c r="D34" s="154">
        <v>24.414999999999999</v>
      </c>
    </row>
    <row r="35" spans="2:4" ht="18.75" x14ac:dyDescent="0.25">
      <c r="B35" s="42">
        <v>14</v>
      </c>
      <c r="C35" s="153">
        <v>23.934000000000001</v>
      </c>
      <c r="D35" s="154">
        <v>23.934000000000001</v>
      </c>
    </row>
    <row r="36" spans="2:4" ht="18.75" x14ac:dyDescent="0.25">
      <c r="B36" s="42">
        <v>15</v>
      </c>
      <c r="C36" s="153">
        <v>23.74</v>
      </c>
      <c r="D36" s="154">
        <v>23.74</v>
      </c>
    </row>
    <row r="37" spans="2:4" ht="18.75" x14ac:dyDescent="0.25">
      <c r="B37" s="42">
        <v>16</v>
      </c>
      <c r="C37" s="153">
        <v>23.308</v>
      </c>
      <c r="D37" s="154">
        <v>23.308</v>
      </c>
    </row>
    <row r="38" spans="2:4" ht="18.75" x14ac:dyDescent="0.25">
      <c r="B38" s="42">
        <v>17</v>
      </c>
      <c r="C38" s="153">
        <v>23.965</v>
      </c>
      <c r="D38" s="154">
        <v>23.965</v>
      </c>
    </row>
    <row r="39" spans="2:4" ht="18.75" x14ac:dyDescent="0.25">
      <c r="B39" s="42">
        <v>18</v>
      </c>
      <c r="C39" s="153">
        <v>24.032</v>
      </c>
      <c r="D39" s="154">
        <v>24.032</v>
      </c>
    </row>
    <row r="40" spans="2:4" ht="18.75" x14ac:dyDescent="0.25">
      <c r="B40" s="42">
        <v>19</v>
      </c>
      <c r="C40" s="153">
        <v>24.245000000000001</v>
      </c>
      <c r="D40" s="154">
        <v>24.245000000000001</v>
      </c>
    </row>
    <row r="41" spans="2:4" ht="18.75" x14ac:dyDescent="0.25">
      <c r="B41" s="42">
        <v>20</v>
      </c>
      <c r="C41" s="153">
        <v>24.222999999999999</v>
      </c>
      <c r="D41" s="154">
        <v>24.222999999999999</v>
      </c>
    </row>
    <row r="42" spans="2:4" ht="18.75" x14ac:dyDescent="0.25">
      <c r="B42" s="42">
        <v>21</v>
      </c>
      <c r="C42" s="153">
        <v>24.356000000000002</v>
      </c>
      <c r="D42" s="154">
        <v>24.356000000000002</v>
      </c>
    </row>
    <row r="43" spans="2:4" ht="18.75" x14ac:dyDescent="0.25">
      <c r="B43" s="42">
        <v>22</v>
      </c>
      <c r="C43" s="153">
        <v>24.244</v>
      </c>
      <c r="D43" s="154">
        <v>24.244</v>
      </c>
    </row>
    <row r="44" spans="2:4" ht="18.75" x14ac:dyDescent="0.25">
      <c r="B44" s="42">
        <v>23</v>
      </c>
      <c r="C44" s="153">
        <v>24.599</v>
      </c>
      <c r="D44" s="154">
        <v>24.599</v>
      </c>
    </row>
    <row r="45" spans="2:4" ht="18.75" x14ac:dyDescent="0.25">
      <c r="B45" s="42">
        <v>24</v>
      </c>
      <c r="C45" s="153"/>
      <c r="D45" s="154"/>
    </row>
    <row r="46" spans="2:4" ht="33.75" customHeight="1" x14ac:dyDescent="0.25">
      <c r="B46" s="43" t="s">
        <v>47</v>
      </c>
      <c r="C46" s="166">
        <f>AVERAGE(C22:C45)</f>
        <v>23.272478260869569</v>
      </c>
      <c r="D46" s="166"/>
    </row>
    <row r="47" spans="2:4" ht="31.5" x14ac:dyDescent="0.25">
      <c r="B47" s="45" t="s">
        <v>48</v>
      </c>
      <c r="C47" s="44">
        <f>_xlfn.STDEV.S(C21:C45)</f>
        <v>1.3920941971085103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24.66</v>
      </c>
      <c r="D21" s="164">
        <v>24.66</v>
      </c>
    </row>
    <row r="22" spans="2:7" ht="18.75" x14ac:dyDescent="0.25">
      <c r="B22" s="42">
        <v>1</v>
      </c>
      <c r="C22" s="164">
        <v>24.521000000000001</v>
      </c>
      <c r="D22" s="164">
        <v>24.521000000000001</v>
      </c>
    </row>
    <row r="23" spans="2:7" ht="18.75" x14ac:dyDescent="0.25">
      <c r="B23" s="42">
        <v>2</v>
      </c>
      <c r="C23" s="164">
        <v>24.315999999999999</v>
      </c>
      <c r="D23" s="164">
        <v>24.315999999999999</v>
      </c>
    </row>
    <row r="24" spans="2:7" ht="18.75" x14ac:dyDescent="0.25">
      <c r="B24" s="42">
        <v>3</v>
      </c>
      <c r="C24" s="164">
        <v>23.936</v>
      </c>
      <c r="D24" s="164">
        <v>23.936</v>
      </c>
    </row>
    <row r="25" spans="2:7" ht="18.75" x14ac:dyDescent="0.25">
      <c r="B25" s="42">
        <v>4</v>
      </c>
      <c r="C25" s="164">
        <v>23.094999999999999</v>
      </c>
      <c r="D25" s="164">
        <v>23.094999999999999</v>
      </c>
    </row>
    <row r="26" spans="2:7" ht="18.75" x14ac:dyDescent="0.25">
      <c r="B26" s="42">
        <v>5</v>
      </c>
      <c r="C26" s="164">
        <v>22.574999999999999</v>
      </c>
      <c r="D26" s="164">
        <v>22.574999999999999</v>
      </c>
    </row>
    <row r="27" spans="2:7" ht="18.75" x14ac:dyDescent="0.25">
      <c r="B27" s="42">
        <v>6</v>
      </c>
      <c r="C27" s="164">
        <v>22.605</v>
      </c>
      <c r="D27" s="164">
        <v>22.605</v>
      </c>
    </row>
    <row r="28" spans="2:7" ht="18.75" x14ac:dyDescent="0.25">
      <c r="B28" s="42">
        <v>7</v>
      </c>
      <c r="C28" s="164">
        <v>23.931999999999999</v>
      </c>
      <c r="D28" s="164">
        <v>23.931999999999999</v>
      </c>
    </row>
    <row r="29" spans="2:7" ht="18.75" x14ac:dyDescent="0.25">
      <c r="B29" s="42">
        <v>8</v>
      </c>
      <c r="C29" s="164">
        <v>24.43</v>
      </c>
      <c r="D29" s="164">
        <v>24.43</v>
      </c>
    </row>
    <row r="30" spans="2:7" ht="18.75" x14ac:dyDescent="0.25">
      <c r="B30" s="42">
        <v>9</v>
      </c>
      <c r="C30" s="164">
        <v>24.556999999999999</v>
      </c>
      <c r="D30" s="164">
        <v>24.556999999999999</v>
      </c>
    </row>
    <row r="31" spans="2:7" ht="18.75" x14ac:dyDescent="0.25">
      <c r="B31" s="42">
        <v>10</v>
      </c>
      <c r="C31" s="164">
        <v>24.286000000000001</v>
      </c>
      <c r="D31" s="164">
        <v>24.286000000000001</v>
      </c>
    </row>
    <row r="32" spans="2:7" ht="18.75" x14ac:dyDescent="0.25">
      <c r="B32" s="42">
        <v>11</v>
      </c>
      <c r="C32" s="164">
        <v>23.983000000000001</v>
      </c>
      <c r="D32" s="164">
        <v>23.983000000000001</v>
      </c>
    </row>
    <row r="33" spans="2:4" ht="18.75" x14ac:dyDescent="0.25">
      <c r="B33" s="42">
        <v>12</v>
      </c>
      <c r="C33" s="164">
        <v>24.556000000000001</v>
      </c>
      <c r="D33" s="164">
        <v>24.556000000000001</v>
      </c>
    </row>
    <row r="34" spans="2:4" ht="18.75" x14ac:dyDescent="0.25">
      <c r="B34" s="42">
        <v>13</v>
      </c>
      <c r="C34" s="164">
        <v>24.241</v>
      </c>
      <c r="D34" s="164">
        <v>24.241</v>
      </c>
    </row>
    <row r="35" spans="2:4" ht="18.75" x14ac:dyDescent="0.25">
      <c r="B35" s="42">
        <v>14</v>
      </c>
      <c r="C35" s="164">
        <v>23.716000000000001</v>
      </c>
      <c r="D35" s="164">
        <v>23.716000000000001</v>
      </c>
    </row>
    <row r="36" spans="2:4" ht="18.75" x14ac:dyDescent="0.25">
      <c r="B36" s="42">
        <v>15</v>
      </c>
      <c r="C36" s="164">
        <v>23.555</v>
      </c>
      <c r="D36" s="164">
        <v>23.555</v>
      </c>
    </row>
    <row r="37" spans="2:4" ht="18.75" x14ac:dyDescent="0.25">
      <c r="B37" s="42">
        <v>16</v>
      </c>
      <c r="C37" s="164">
        <v>24.100999999999999</v>
      </c>
      <c r="D37" s="164">
        <v>24.100999999999999</v>
      </c>
    </row>
    <row r="38" spans="2:4" ht="18.75" x14ac:dyDescent="0.25">
      <c r="B38" s="42">
        <v>17</v>
      </c>
      <c r="C38" s="164">
        <v>24.324999999999999</v>
      </c>
      <c r="D38" s="164">
        <v>24.324999999999999</v>
      </c>
    </row>
    <row r="39" spans="2:4" ht="18.75" x14ac:dyDescent="0.25">
      <c r="B39" s="42">
        <v>18</v>
      </c>
      <c r="C39" s="164">
        <v>24.183</v>
      </c>
      <c r="D39" s="164">
        <v>24.183</v>
      </c>
    </row>
    <row r="40" spans="2:4" ht="18.75" x14ac:dyDescent="0.25">
      <c r="B40" s="42">
        <v>19</v>
      </c>
      <c r="C40" s="164">
        <v>24.577999999999999</v>
      </c>
      <c r="D40" s="164">
        <v>24.577999999999999</v>
      </c>
    </row>
    <row r="41" spans="2:4" ht="18.75" x14ac:dyDescent="0.25">
      <c r="B41" s="42">
        <v>20</v>
      </c>
      <c r="C41" s="164">
        <v>24.137</v>
      </c>
      <c r="D41" s="164">
        <v>24.137</v>
      </c>
    </row>
    <row r="42" spans="2:4" ht="18.75" x14ac:dyDescent="0.25">
      <c r="B42" s="42">
        <v>21</v>
      </c>
      <c r="C42" s="164">
        <v>24.423999999999999</v>
      </c>
      <c r="D42" s="164">
        <v>24.423999999999999</v>
      </c>
    </row>
    <row r="43" spans="2:4" ht="18.75" x14ac:dyDescent="0.25">
      <c r="B43" s="42">
        <v>22</v>
      </c>
      <c r="C43" s="164">
        <v>24.428000000000001</v>
      </c>
      <c r="D43" s="164">
        <v>24.428000000000001</v>
      </c>
    </row>
    <row r="44" spans="2:4" ht="18.75" x14ac:dyDescent="0.25">
      <c r="B44" s="42">
        <v>23</v>
      </c>
      <c r="C44" s="164">
        <v>24.119</v>
      </c>
      <c r="D44" s="164">
        <v>24.119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24.026043478260867</v>
      </c>
      <c r="D46" s="166"/>
    </row>
    <row r="47" spans="2:4" ht="31.5" x14ac:dyDescent="0.25">
      <c r="B47" s="45" t="s">
        <v>48</v>
      </c>
      <c r="C47" s="44">
        <f>_xlfn.STDEV.S(C21:C45)</f>
        <v>0.57663446180074251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24.356000000000002</v>
      </c>
      <c r="D21" s="164">
        <v>24.356000000000002</v>
      </c>
    </row>
    <row r="22" spans="2:7" ht="18.75" x14ac:dyDescent="0.25">
      <c r="B22" s="42">
        <v>1</v>
      </c>
      <c r="C22" s="164">
        <v>24.148</v>
      </c>
      <c r="D22" s="164">
        <v>24.148</v>
      </c>
    </row>
    <row r="23" spans="2:7" ht="18.75" x14ac:dyDescent="0.25">
      <c r="B23" s="42">
        <v>2</v>
      </c>
      <c r="C23" s="164">
        <v>24.283000000000001</v>
      </c>
      <c r="D23" s="164">
        <v>24.283000000000001</v>
      </c>
    </row>
    <row r="24" spans="2:7" ht="18.75" x14ac:dyDescent="0.25">
      <c r="B24" s="42">
        <v>3</v>
      </c>
      <c r="C24" s="164">
        <v>24.398</v>
      </c>
      <c r="D24" s="164">
        <v>24.398</v>
      </c>
    </row>
    <row r="25" spans="2:7" ht="18.75" x14ac:dyDescent="0.25">
      <c r="B25" s="42">
        <v>4</v>
      </c>
      <c r="C25" s="164">
        <v>24.428999999999998</v>
      </c>
      <c r="D25" s="164">
        <v>24.428999999999998</v>
      </c>
    </row>
    <row r="26" spans="2:7" ht="18.75" x14ac:dyDescent="0.25">
      <c r="B26" s="42">
        <v>5</v>
      </c>
      <c r="C26" s="164">
        <v>24.783999999999999</v>
      </c>
      <c r="D26" s="164">
        <v>24.783999999999999</v>
      </c>
    </row>
    <row r="27" spans="2:7" ht="18.75" x14ac:dyDescent="0.25">
      <c r="B27" s="42">
        <v>6</v>
      </c>
      <c r="C27" s="164">
        <v>24.466999999999999</v>
      </c>
      <c r="D27" s="164">
        <v>24.466999999999999</v>
      </c>
    </row>
    <row r="28" spans="2:7" ht="18.75" x14ac:dyDescent="0.25">
      <c r="B28" s="42">
        <v>7</v>
      </c>
      <c r="C28" s="164">
        <v>23.800999999999998</v>
      </c>
      <c r="D28" s="164">
        <v>23.800999999999998</v>
      </c>
    </row>
    <row r="29" spans="2:7" ht="18.75" x14ac:dyDescent="0.25">
      <c r="B29" s="42">
        <v>8</v>
      </c>
      <c r="C29" s="164">
        <v>23.882000000000001</v>
      </c>
      <c r="D29" s="164">
        <v>23.882000000000001</v>
      </c>
    </row>
    <row r="30" spans="2:7" ht="18.75" x14ac:dyDescent="0.25">
      <c r="B30" s="42">
        <v>9</v>
      </c>
      <c r="C30" s="164">
        <v>23.402999999999999</v>
      </c>
      <c r="D30" s="164">
        <v>23.402999999999999</v>
      </c>
    </row>
    <row r="31" spans="2:7" ht="18.75" x14ac:dyDescent="0.25">
      <c r="B31" s="42">
        <v>10</v>
      </c>
      <c r="C31" s="164">
        <v>23.620999999999999</v>
      </c>
      <c r="D31" s="164">
        <v>23.620999999999999</v>
      </c>
    </row>
    <row r="32" spans="2:7" ht="18.75" x14ac:dyDescent="0.25">
      <c r="B32" s="42">
        <v>11</v>
      </c>
      <c r="C32" s="164">
        <v>23.306000000000001</v>
      </c>
      <c r="D32" s="164">
        <v>23.306000000000001</v>
      </c>
    </row>
    <row r="33" spans="2:4" ht="18.75" x14ac:dyDescent="0.25">
      <c r="B33" s="42">
        <v>12</v>
      </c>
      <c r="C33" s="164">
        <v>24.091999999999999</v>
      </c>
      <c r="D33" s="164">
        <v>24.091999999999999</v>
      </c>
    </row>
    <row r="34" spans="2:4" ht="18.75" x14ac:dyDescent="0.25">
      <c r="B34" s="42">
        <v>13</v>
      </c>
      <c r="C34" s="164">
        <v>24.12</v>
      </c>
      <c r="D34" s="164">
        <v>24.12</v>
      </c>
    </row>
    <row r="35" spans="2:4" ht="18.75" x14ac:dyDescent="0.25">
      <c r="B35" s="42">
        <v>14</v>
      </c>
      <c r="C35" s="164">
        <v>23.76</v>
      </c>
      <c r="D35" s="164">
        <v>23.76</v>
      </c>
    </row>
    <row r="36" spans="2:4" ht="18.75" x14ac:dyDescent="0.25">
      <c r="B36" s="42">
        <v>15</v>
      </c>
      <c r="C36" s="164">
        <v>23.443000000000001</v>
      </c>
      <c r="D36" s="164">
        <v>23.443000000000001</v>
      </c>
    </row>
    <row r="37" spans="2:4" ht="18.75" x14ac:dyDescent="0.25">
      <c r="B37" s="42">
        <v>16</v>
      </c>
      <c r="C37" s="164">
        <v>24.279</v>
      </c>
      <c r="D37" s="164">
        <v>24.279</v>
      </c>
    </row>
    <row r="38" spans="2:4" ht="18.75" x14ac:dyDescent="0.25">
      <c r="B38" s="42">
        <v>17</v>
      </c>
      <c r="C38" s="164">
        <v>24.192</v>
      </c>
      <c r="D38" s="164">
        <v>24.192</v>
      </c>
    </row>
    <row r="39" spans="2:4" ht="18.75" x14ac:dyDescent="0.25">
      <c r="B39" s="42">
        <v>18</v>
      </c>
      <c r="C39" s="164">
        <v>24.181000000000001</v>
      </c>
      <c r="D39" s="164">
        <v>24.181000000000001</v>
      </c>
    </row>
    <row r="40" spans="2:4" ht="18.75" x14ac:dyDescent="0.25">
      <c r="B40" s="42">
        <v>19</v>
      </c>
      <c r="C40" s="164">
        <v>24.024999999999999</v>
      </c>
      <c r="D40" s="164">
        <v>24.024999999999999</v>
      </c>
    </row>
    <row r="41" spans="2:4" ht="18.75" x14ac:dyDescent="0.25">
      <c r="B41" s="42">
        <v>20</v>
      </c>
      <c r="C41" s="164">
        <v>24.21</v>
      </c>
      <c r="D41" s="164">
        <v>24.21</v>
      </c>
    </row>
    <row r="42" spans="2:4" ht="18.75" x14ac:dyDescent="0.25">
      <c r="B42" s="42">
        <v>21</v>
      </c>
      <c r="C42" s="164">
        <v>23.907</v>
      </c>
      <c r="D42" s="164">
        <v>23.907</v>
      </c>
    </row>
    <row r="43" spans="2:4" ht="18.75" x14ac:dyDescent="0.25">
      <c r="B43" s="42">
        <v>22</v>
      </c>
      <c r="C43" s="164">
        <v>24.074999999999999</v>
      </c>
      <c r="D43" s="164">
        <v>24.074999999999999</v>
      </c>
    </row>
    <row r="44" spans="2:4" ht="18.75" x14ac:dyDescent="0.25">
      <c r="B44" s="42">
        <v>23</v>
      </c>
      <c r="C44" s="164">
        <v>24.151</v>
      </c>
      <c r="D44" s="164">
        <v>24.151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24.041608695652169</v>
      </c>
      <c r="D46" s="166"/>
    </row>
    <row r="47" spans="2:4" ht="31.5" x14ac:dyDescent="0.25">
      <c r="B47" s="45" t="s">
        <v>48</v>
      </c>
      <c r="C47" s="44">
        <f>_xlfn.STDEV.S(C21:C45)</f>
        <v>0.36039090843701627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24.404</v>
      </c>
      <c r="D21" s="164">
        <v>24.404</v>
      </c>
    </row>
    <row r="22" spans="2:7" ht="18.75" x14ac:dyDescent="0.25">
      <c r="B22" s="42">
        <v>1</v>
      </c>
      <c r="C22" s="164">
        <v>24.268000000000001</v>
      </c>
      <c r="D22" s="164">
        <v>24.268000000000001</v>
      </c>
    </row>
    <row r="23" spans="2:7" ht="18.75" x14ac:dyDescent="0.25">
      <c r="B23" s="42">
        <v>2</v>
      </c>
      <c r="C23" s="164">
        <v>24.251999999999999</v>
      </c>
      <c r="D23" s="164">
        <v>24.251999999999999</v>
      </c>
    </row>
    <row r="24" spans="2:7" ht="18.75" x14ac:dyDescent="0.25">
      <c r="B24" s="42">
        <v>3</v>
      </c>
      <c r="C24" s="164">
        <v>24.408999999999999</v>
      </c>
      <c r="D24" s="164">
        <v>24.408999999999999</v>
      </c>
    </row>
    <row r="25" spans="2:7" ht="18.75" x14ac:dyDescent="0.25">
      <c r="B25" s="42">
        <v>4</v>
      </c>
      <c r="C25" s="164">
        <v>24.343</v>
      </c>
      <c r="D25" s="164">
        <v>24.343</v>
      </c>
    </row>
    <row r="26" spans="2:7" ht="18.75" x14ac:dyDescent="0.25">
      <c r="B26" s="42">
        <v>5</v>
      </c>
      <c r="C26" s="164">
        <v>24.771000000000001</v>
      </c>
      <c r="D26" s="164">
        <v>24.771000000000001</v>
      </c>
    </row>
    <row r="27" spans="2:7" ht="18.75" x14ac:dyDescent="0.25">
      <c r="B27" s="42">
        <v>6</v>
      </c>
      <c r="C27" s="164">
        <v>24.15</v>
      </c>
      <c r="D27" s="164">
        <v>24.15</v>
      </c>
    </row>
    <row r="28" spans="2:7" ht="18.75" x14ac:dyDescent="0.25">
      <c r="B28" s="42">
        <v>7</v>
      </c>
      <c r="C28" s="164">
        <v>24.247</v>
      </c>
      <c r="D28" s="164">
        <v>24.247</v>
      </c>
    </row>
    <row r="29" spans="2:7" ht="18.75" x14ac:dyDescent="0.25">
      <c r="B29" s="42">
        <v>8</v>
      </c>
      <c r="C29" s="164">
        <v>23.151</v>
      </c>
      <c r="D29" s="164">
        <v>23.151</v>
      </c>
    </row>
    <row r="30" spans="2:7" ht="18.75" x14ac:dyDescent="0.25">
      <c r="B30" s="42">
        <v>9</v>
      </c>
      <c r="C30" s="164">
        <v>24.227</v>
      </c>
      <c r="D30" s="164">
        <v>24.227</v>
      </c>
    </row>
    <row r="31" spans="2:7" ht="18.75" x14ac:dyDescent="0.25">
      <c r="B31" s="42">
        <v>10</v>
      </c>
      <c r="C31" s="164">
        <v>23.774999999999999</v>
      </c>
      <c r="D31" s="164">
        <v>23.774999999999999</v>
      </c>
    </row>
    <row r="32" spans="2:7" ht="18.75" x14ac:dyDescent="0.25">
      <c r="B32" s="42">
        <v>11</v>
      </c>
      <c r="C32" s="164">
        <v>23.893000000000001</v>
      </c>
      <c r="D32" s="164">
        <v>23.893000000000001</v>
      </c>
    </row>
    <row r="33" spans="2:4" ht="18.75" x14ac:dyDescent="0.25">
      <c r="B33" s="42">
        <v>12</v>
      </c>
      <c r="C33" s="164">
        <v>23.187999999999999</v>
      </c>
      <c r="D33" s="164">
        <v>23.187999999999999</v>
      </c>
    </row>
    <row r="34" spans="2:4" ht="18.75" x14ac:dyDescent="0.25">
      <c r="B34" s="42">
        <v>13</v>
      </c>
      <c r="C34" s="164">
        <v>23.303000000000001</v>
      </c>
      <c r="D34" s="164">
        <v>23.303000000000001</v>
      </c>
    </row>
    <row r="35" spans="2:4" ht="18.75" x14ac:dyDescent="0.25">
      <c r="B35" s="42">
        <v>14</v>
      </c>
      <c r="C35" s="164">
        <v>23.69</v>
      </c>
      <c r="D35" s="164">
        <v>23.69</v>
      </c>
    </row>
    <row r="36" spans="2:4" ht="18.75" x14ac:dyDescent="0.25">
      <c r="B36" s="42">
        <v>15</v>
      </c>
      <c r="C36" s="164">
        <v>23.385999999999999</v>
      </c>
      <c r="D36" s="164">
        <v>23.385999999999999</v>
      </c>
    </row>
    <row r="37" spans="2:4" ht="18.75" x14ac:dyDescent="0.25">
      <c r="B37" s="42">
        <v>16</v>
      </c>
      <c r="C37" s="164">
        <v>23.649000000000001</v>
      </c>
      <c r="D37" s="164">
        <v>23.649000000000001</v>
      </c>
    </row>
    <row r="38" spans="2:4" ht="18.75" x14ac:dyDescent="0.25">
      <c r="B38" s="42">
        <v>17</v>
      </c>
      <c r="C38" s="164">
        <v>24.273</v>
      </c>
      <c r="D38" s="164">
        <v>24.273</v>
      </c>
    </row>
    <row r="39" spans="2:4" ht="18.75" x14ac:dyDescent="0.25">
      <c r="B39" s="42">
        <v>18</v>
      </c>
      <c r="C39" s="164">
        <v>24.54</v>
      </c>
      <c r="D39" s="164">
        <v>24.54</v>
      </c>
    </row>
    <row r="40" spans="2:4" ht="18.75" x14ac:dyDescent="0.25">
      <c r="B40" s="42">
        <v>19</v>
      </c>
      <c r="C40" s="164">
        <v>24.015000000000001</v>
      </c>
      <c r="D40" s="164">
        <v>24.015000000000001</v>
      </c>
    </row>
    <row r="41" spans="2:4" ht="18.75" x14ac:dyDescent="0.25">
      <c r="B41" s="42">
        <v>20</v>
      </c>
      <c r="C41" s="164">
        <v>24.24</v>
      </c>
      <c r="D41" s="164">
        <v>24.24</v>
      </c>
    </row>
    <row r="42" spans="2:4" ht="18.75" x14ac:dyDescent="0.25">
      <c r="B42" s="42">
        <v>21</v>
      </c>
      <c r="C42" s="164">
        <v>24.262</v>
      </c>
      <c r="D42" s="164">
        <v>24.262</v>
      </c>
    </row>
    <row r="43" spans="2:4" ht="18.75" x14ac:dyDescent="0.25">
      <c r="B43" s="42">
        <v>22</v>
      </c>
      <c r="C43" s="164">
        <v>23.966000000000001</v>
      </c>
      <c r="D43" s="164">
        <v>23.966000000000001</v>
      </c>
    </row>
    <row r="44" spans="2:4" ht="18.75" x14ac:dyDescent="0.25">
      <c r="B44" s="42">
        <v>23</v>
      </c>
      <c r="C44" s="164">
        <v>23.975000000000001</v>
      </c>
      <c r="D44" s="164">
        <v>23.975000000000001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23.998826086956523</v>
      </c>
      <c r="D46" s="166"/>
    </row>
    <row r="47" spans="2:4" ht="31.5" x14ac:dyDescent="0.25">
      <c r="B47" s="45" t="s">
        <v>48</v>
      </c>
      <c r="C47" s="44">
        <f>_xlfn.STDEV.S(C21:C45)</f>
        <v>0.43367664563706265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24.001000000000001</v>
      </c>
      <c r="D21" s="164">
        <v>24.001000000000001</v>
      </c>
    </row>
    <row r="22" spans="2:7" ht="18.75" x14ac:dyDescent="0.25">
      <c r="B22" s="42">
        <v>1</v>
      </c>
      <c r="C22" s="164">
        <v>23.911999999999999</v>
      </c>
      <c r="D22" s="164">
        <v>23.911999999999999</v>
      </c>
    </row>
    <row r="23" spans="2:7" ht="18.75" x14ac:dyDescent="0.25">
      <c r="B23" s="42">
        <v>2</v>
      </c>
      <c r="C23" s="164">
        <v>23.861999999999998</v>
      </c>
      <c r="D23" s="164">
        <v>23.861999999999998</v>
      </c>
    </row>
    <row r="24" spans="2:7" ht="18.75" x14ac:dyDescent="0.25">
      <c r="B24" s="42">
        <v>3</v>
      </c>
      <c r="C24" s="164">
        <v>23.901</v>
      </c>
      <c r="D24" s="164">
        <v>23.901</v>
      </c>
    </row>
    <row r="25" spans="2:7" ht="18.75" x14ac:dyDescent="0.25">
      <c r="B25" s="42">
        <v>4</v>
      </c>
      <c r="C25" s="164">
        <v>23.866</v>
      </c>
      <c r="D25" s="164">
        <v>23.866</v>
      </c>
    </row>
    <row r="26" spans="2:7" ht="18.75" x14ac:dyDescent="0.25">
      <c r="B26" s="42">
        <v>5</v>
      </c>
      <c r="C26" s="164">
        <v>24.408000000000001</v>
      </c>
      <c r="D26" s="164">
        <v>24.408000000000001</v>
      </c>
    </row>
    <row r="27" spans="2:7" ht="18.75" x14ac:dyDescent="0.25">
      <c r="B27" s="42">
        <v>6</v>
      </c>
      <c r="C27" s="164">
        <v>24.231999999999999</v>
      </c>
      <c r="D27" s="164">
        <v>24.231999999999999</v>
      </c>
    </row>
    <row r="28" spans="2:7" ht="18.75" x14ac:dyDescent="0.25">
      <c r="B28" s="42">
        <v>7</v>
      </c>
      <c r="C28" s="164">
        <v>24.013999999999999</v>
      </c>
      <c r="D28" s="164">
        <v>24.013999999999999</v>
      </c>
    </row>
    <row r="29" spans="2:7" ht="18.75" x14ac:dyDescent="0.25">
      <c r="B29" s="42">
        <v>8</v>
      </c>
      <c r="C29" s="164">
        <v>22.995000000000001</v>
      </c>
      <c r="D29" s="164">
        <v>22.995000000000001</v>
      </c>
    </row>
    <row r="30" spans="2:7" ht="18.75" x14ac:dyDescent="0.25">
      <c r="B30" s="42">
        <v>9</v>
      </c>
      <c r="C30" s="164">
        <v>22.972999999999999</v>
      </c>
      <c r="D30" s="164">
        <v>22.972999999999999</v>
      </c>
    </row>
    <row r="31" spans="2:7" ht="18.75" x14ac:dyDescent="0.25">
      <c r="B31" s="42">
        <v>10</v>
      </c>
      <c r="C31" s="164">
        <v>23.495999999999999</v>
      </c>
      <c r="D31" s="164">
        <v>23.495999999999999</v>
      </c>
    </row>
    <row r="32" spans="2:7" ht="18.75" x14ac:dyDescent="0.25">
      <c r="B32" s="42">
        <v>11</v>
      </c>
      <c r="C32" s="164">
        <v>23.699000000000002</v>
      </c>
      <c r="D32" s="164">
        <v>23.699000000000002</v>
      </c>
    </row>
    <row r="33" spans="2:4" ht="18.75" x14ac:dyDescent="0.25">
      <c r="B33" s="42">
        <v>12</v>
      </c>
      <c r="C33" s="164">
        <v>23.356999999999999</v>
      </c>
      <c r="D33" s="164">
        <v>23.356999999999999</v>
      </c>
    </row>
    <row r="34" spans="2:4" ht="18.75" x14ac:dyDescent="0.25">
      <c r="B34" s="42">
        <v>13</v>
      </c>
      <c r="C34" s="164">
        <v>24.31</v>
      </c>
      <c r="D34" s="164">
        <v>24.31</v>
      </c>
    </row>
    <row r="35" spans="2:4" ht="18.75" x14ac:dyDescent="0.25">
      <c r="B35" s="42">
        <v>14</v>
      </c>
      <c r="C35" s="164">
        <v>24.303000000000001</v>
      </c>
      <c r="D35" s="164">
        <v>24.303000000000001</v>
      </c>
    </row>
    <row r="36" spans="2:4" ht="18.75" x14ac:dyDescent="0.25">
      <c r="B36" s="42">
        <v>15</v>
      </c>
      <c r="C36" s="164">
        <v>23.523</v>
      </c>
      <c r="D36" s="164">
        <v>23.523</v>
      </c>
    </row>
    <row r="37" spans="2:4" ht="18.75" x14ac:dyDescent="0.25">
      <c r="B37" s="42">
        <v>16</v>
      </c>
      <c r="C37" s="164">
        <v>24.396000000000001</v>
      </c>
      <c r="D37" s="164">
        <v>24.396000000000001</v>
      </c>
    </row>
    <row r="38" spans="2:4" ht="18.75" x14ac:dyDescent="0.25">
      <c r="B38" s="42">
        <v>17</v>
      </c>
      <c r="C38" s="164">
        <v>24.606000000000002</v>
      </c>
      <c r="D38" s="164">
        <v>24.606000000000002</v>
      </c>
    </row>
    <row r="39" spans="2:4" ht="18.75" x14ac:dyDescent="0.25">
      <c r="B39" s="42">
        <v>18</v>
      </c>
      <c r="C39" s="164">
        <v>24.466000000000001</v>
      </c>
      <c r="D39" s="164">
        <v>24.466000000000001</v>
      </c>
    </row>
    <row r="40" spans="2:4" ht="18.75" x14ac:dyDescent="0.25">
      <c r="B40" s="42">
        <v>19</v>
      </c>
      <c r="C40" s="164">
        <v>24.332999999999998</v>
      </c>
      <c r="D40" s="164">
        <v>24.332999999999998</v>
      </c>
    </row>
    <row r="41" spans="2:4" ht="18.75" x14ac:dyDescent="0.25">
      <c r="B41" s="42">
        <v>20</v>
      </c>
      <c r="C41" s="164">
        <v>24.123999999999999</v>
      </c>
      <c r="D41" s="164">
        <v>24.123999999999999</v>
      </c>
    </row>
    <row r="42" spans="2:4" ht="18.75" x14ac:dyDescent="0.25">
      <c r="B42" s="42">
        <v>21</v>
      </c>
      <c r="C42" s="164">
        <v>24.32</v>
      </c>
      <c r="D42" s="164">
        <v>24.32</v>
      </c>
    </row>
    <row r="43" spans="2:4" ht="18.75" x14ac:dyDescent="0.25">
      <c r="B43" s="42">
        <v>22</v>
      </c>
      <c r="C43" s="164">
        <v>24.257000000000001</v>
      </c>
      <c r="D43" s="164">
        <v>24.257000000000001</v>
      </c>
    </row>
    <row r="44" spans="2:4" ht="18.75" x14ac:dyDescent="0.25">
      <c r="B44" s="42">
        <v>23</v>
      </c>
      <c r="C44" s="164">
        <v>24.338999999999999</v>
      </c>
      <c r="D44" s="164">
        <v>24.338999999999999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23.986608695652173</v>
      </c>
      <c r="D46" s="166"/>
    </row>
    <row r="47" spans="2:4" ht="31.5" x14ac:dyDescent="0.25">
      <c r="B47" s="45" t="s">
        <v>48</v>
      </c>
      <c r="C47" s="44">
        <f>_xlfn.STDEV.S(C21:C45)</f>
        <v>0.45013060705288338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ht="12.95" customHeight="1" x14ac:dyDescent="0.25">
      <c r="B17" s="156" t="s">
        <v>45</v>
      </c>
      <c r="C17" s="156" t="s">
        <v>46</v>
      </c>
      <c r="D17" s="156"/>
      <c r="E17" s="26"/>
      <c r="G17" s="26"/>
    </row>
    <row r="18" spans="2:7" ht="12.95" customHeight="1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24.248000000000001</v>
      </c>
      <c r="D21" s="164">
        <v>24.248000000000001</v>
      </c>
    </row>
    <row r="22" spans="2:7" ht="18.75" x14ac:dyDescent="0.25">
      <c r="B22" s="42">
        <v>1</v>
      </c>
      <c r="C22" s="164">
        <v>24.315999999999999</v>
      </c>
      <c r="D22" s="164">
        <v>24.315999999999999</v>
      </c>
    </row>
    <row r="23" spans="2:7" ht="18.75" x14ac:dyDescent="0.25">
      <c r="B23" s="42">
        <v>2</v>
      </c>
      <c r="C23" s="164">
        <v>24.478999999999999</v>
      </c>
      <c r="D23" s="164">
        <v>24.478999999999999</v>
      </c>
    </row>
    <row r="24" spans="2:7" ht="18.75" x14ac:dyDescent="0.25">
      <c r="B24" s="42">
        <v>3</v>
      </c>
      <c r="C24" s="164">
        <v>24.475000000000001</v>
      </c>
      <c r="D24" s="164">
        <v>24.475000000000001</v>
      </c>
    </row>
    <row r="25" spans="2:7" ht="18.75" x14ac:dyDescent="0.25">
      <c r="B25" s="42">
        <v>4</v>
      </c>
      <c r="C25" s="164">
        <v>24.353000000000002</v>
      </c>
      <c r="D25" s="164">
        <v>24.353000000000002</v>
      </c>
    </row>
    <row r="26" spans="2:7" ht="18.75" x14ac:dyDescent="0.25">
      <c r="B26" s="42">
        <v>5</v>
      </c>
      <c r="C26" s="164">
        <v>24.46</v>
      </c>
      <c r="D26" s="164">
        <v>24.46</v>
      </c>
    </row>
    <row r="27" spans="2:7" ht="18.75" x14ac:dyDescent="0.25">
      <c r="B27" s="42">
        <v>6</v>
      </c>
      <c r="C27" s="164">
        <v>24.486000000000001</v>
      </c>
      <c r="D27" s="164">
        <v>24.486000000000001</v>
      </c>
    </row>
    <row r="28" spans="2:7" ht="18.75" x14ac:dyDescent="0.25">
      <c r="B28" s="42">
        <v>7</v>
      </c>
      <c r="C28" s="164">
        <v>24.375</v>
      </c>
      <c r="D28" s="164">
        <v>24.375</v>
      </c>
    </row>
    <row r="29" spans="2:7" ht="18.75" x14ac:dyDescent="0.25">
      <c r="B29" s="42">
        <v>8</v>
      </c>
      <c r="C29" s="164">
        <v>23.73</v>
      </c>
      <c r="D29" s="164">
        <v>23.73</v>
      </c>
    </row>
    <row r="30" spans="2:7" ht="18.75" x14ac:dyDescent="0.25">
      <c r="B30" s="42">
        <v>9</v>
      </c>
      <c r="C30" s="164">
        <v>24.01</v>
      </c>
      <c r="D30" s="164">
        <v>24.01</v>
      </c>
    </row>
    <row r="31" spans="2:7" ht="18.75" x14ac:dyDescent="0.25">
      <c r="B31" s="42">
        <v>10</v>
      </c>
      <c r="C31" s="164">
        <v>24.37</v>
      </c>
      <c r="D31" s="164">
        <v>24.37</v>
      </c>
    </row>
    <row r="32" spans="2:7" ht="18.75" x14ac:dyDescent="0.25">
      <c r="B32" s="42">
        <v>11</v>
      </c>
      <c r="C32" s="164">
        <v>24.254999999999999</v>
      </c>
      <c r="D32" s="164">
        <v>24.254999999999999</v>
      </c>
    </row>
    <row r="33" spans="2:4" ht="18.75" x14ac:dyDescent="0.25">
      <c r="B33" s="42">
        <v>12</v>
      </c>
      <c r="C33" s="164">
        <v>23.879000000000001</v>
      </c>
      <c r="D33" s="164">
        <v>23.879000000000001</v>
      </c>
    </row>
    <row r="34" spans="2:4" ht="18.75" x14ac:dyDescent="0.25">
      <c r="B34" s="42">
        <v>13</v>
      </c>
      <c r="C34" s="164">
        <v>23.367000000000001</v>
      </c>
      <c r="D34" s="164">
        <v>23.367000000000001</v>
      </c>
    </row>
    <row r="35" spans="2:4" ht="18.75" x14ac:dyDescent="0.25">
      <c r="B35" s="42">
        <v>14</v>
      </c>
      <c r="C35" s="164">
        <v>24.314</v>
      </c>
      <c r="D35" s="164">
        <v>24.314</v>
      </c>
    </row>
    <row r="36" spans="2:4" ht="18.75" x14ac:dyDescent="0.25">
      <c r="B36" s="42">
        <v>15</v>
      </c>
      <c r="C36" s="164">
        <v>24.37</v>
      </c>
      <c r="D36" s="164">
        <v>24.37</v>
      </c>
    </row>
    <row r="37" spans="2:4" ht="18.75" x14ac:dyDescent="0.25">
      <c r="B37" s="42">
        <v>16</v>
      </c>
      <c r="C37" s="164">
        <v>23.582999999999998</v>
      </c>
      <c r="D37" s="164">
        <v>23.582999999999998</v>
      </c>
    </row>
    <row r="38" spans="2:4" ht="18.75" x14ac:dyDescent="0.25">
      <c r="B38" s="42">
        <v>17</v>
      </c>
      <c r="C38" s="164">
        <v>24.056999999999999</v>
      </c>
      <c r="D38" s="164">
        <v>24.056999999999999</v>
      </c>
    </row>
    <row r="39" spans="2:4" ht="18.75" x14ac:dyDescent="0.25">
      <c r="B39" s="42">
        <v>18</v>
      </c>
      <c r="C39" s="164">
        <v>24.439</v>
      </c>
      <c r="D39" s="164">
        <v>24.439</v>
      </c>
    </row>
    <row r="40" spans="2:4" ht="18.75" x14ac:dyDescent="0.25">
      <c r="B40" s="42">
        <v>19</v>
      </c>
      <c r="C40" s="164">
        <v>24.161000000000001</v>
      </c>
      <c r="D40" s="164">
        <v>24.161000000000001</v>
      </c>
    </row>
    <row r="41" spans="2:4" ht="18.75" x14ac:dyDescent="0.25">
      <c r="B41" s="42">
        <v>20</v>
      </c>
      <c r="C41" s="164">
        <v>24.285</v>
      </c>
      <c r="D41" s="164">
        <v>24.285</v>
      </c>
    </row>
    <row r="42" spans="2:4" ht="18.75" x14ac:dyDescent="0.25">
      <c r="B42" s="42">
        <v>21</v>
      </c>
      <c r="C42" s="164">
        <v>24.14</v>
      </c>
      <c r="D42" s="164">
        <v>24.14</v>
      </c>
    </row>
    <row r="43" spans="2:4" ht="18.75" x14ac:dyDescent="0.25">
      <c r="B43" s="42">
        <v>22</v>
      </c>
      <c r="C43" s="164">
        <v>24.15</v>
      </c>
      <c r="D43" s="164">
        <v>24.15</v>
      </c>
    </row>
    <row r="44" spans="2:4" ht="18.75" x14ac:dyDescent="0.25">
      <c r="B44" s="42">
        <v>23</v>
      </c>
      <c r="C44" s="164">
        <v>24.286999999999999</v>
      </c>
      <c r="D44" s="164">
        <v>24.286999999999999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24.188739130434794</v>
      </c>
      <c r="D46" s="166"/>
    </row>
    <row r="47" spans="2:4" ht="31.5" x14ac:dyDescent="0.25">
      <c r="B47" s="45" t="s">
        <v>48</v>
      </c>
      <c r="C47" s="44">
        <f>_xlfn.STDEV.S(C21:C45)</f>
        <v>0.29334843196484267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24.530999999999999</v>
      </c>
      <c r="D21" s="164">
        <v>24.530999999999999</v>
      </c>
    </row>
    <row r="22" spans="2:7" ht="18.75" x14ac:dyDescent="0.25">
      <c r="B22" s="42">
        <v>1</v>
      </c>
      <c r="C22" s="164">
        <v>24.625</v>
      </c>
      <c r="D22" s="164">
        <v>24.625</v>
      </c>
    </row>
    <row r="23" spans="2:7" ht="18.75" x14ac:dyDescent="0.25">
      <c r="B23" s="42">
        <v>2</v>
      </c>
      <c r="C23" s="164">
        <v>24.558</v>
      </c>
      <c r="D23" s="164">
        <v>24.558</v>
      </c>
    </row>
    <row r="24" spans="2:7" ht="18.75" x14ac:dyDescent="0.25">
      <c r="B24" s="42">
        <v>3</v>
      </c>
      <c r="C24" s="164">
        <v>24.79</v>
      </c>
      <c r="D24" s="164">
        <v>24.79</v>
      </c>
    </row>
    <row r="25" spans="2:7" ht="18.75" x14ac:dyDescent="0.25">
      <c r="B25" s="42">
        <v>4</v>
      </c>
      <c r="C25" s="164">
        <v>24.960999999999999</v>
      </c>
      <c r="D25" s="164">
        <v>24.960999999999999</v>
      </c>
    </row>
    <row r="26" spans="2:7" ht="18.75" x14ac:dyDescent="0.25">
      <c r="B26" s="42">
        <v>5</v>
      </c>
      <c r="C26" s="164">
        <v>24.917999999999999</v>
      </c>
      <c r="D26" s="164">
        <v>24.917999999999999</v>
      </c>
    </row>
    <row r="27" spans="2:7" ht="18.75" x14ac:dyDescent="0.25">
      <c r="B27" s="42">
        <v>6</v>
      </c>
      <c r="C27" s="164">
        <v>24.553000000000001</v>
      </c>
      <c r="D27" s="164">
        <v>24.553000000000001</v>
      </c>
    </row>
    <row r="28" spans="2:7" ht="18.75" x14ac:dyDescent="0.25">
      <c r="B28" s="42">
        <v>7</v>
      </c>
      <c r="C28" s="164">
        <v>24.216999999999999</v>
      </c>
      <c r="D28" s="164">
        <v>24.216999999999999</v>
      </c>
    </row>
    <row r="29" spans="2:7" ht="18.75" x14ac:dyDescent="0.25">
      <c r="B29" s="42">
        <v>8</v>
      </c>
      <c r="C29" s="164">
        <v>24.055</v>
      </c>
      <c r="D29" s="164">
        <v>24.055</v>
      </c>
    </row>
    <row r="30" spans="2:7" ht="18.75" x14ac:dyDescent="0.25">
      <c r="B30" s="42">
        <v>9</v>
      </c>
      <c r="C30" s="164">
        <v>23.972999999999999</v>
      </c>
      <c r="D30" s="164">
        <v>23.972999999999999</v>
      </c>
    </row>
    <row r="31" spans="2:7" ht="18.75" x14ac:dyDescent="0.25">
      <c r="B31" s="42">
        <v>10</v>
      </c>
      <c r="C31" s="164">
        <v>23.779</v>
      </c>
      <c r="D31" s="164">
        <v>23.779</v>
      </c>
    </row>
    <row r="32" spans="2:7" ht="18.75" x14ac:dyDescent="0.25">
      <c r="B32" s="42">
        <v>11</v>
      </c>
      <c r="C32" s="164">
        <v>24.433</v>
      </c>
      <c r="D32" s="164">
        <v>24.433</v>
      </c>
    </row>
    <row r="33" spans="2:4" ht="18.75" x14ac:dyDescent="0.25">
      <c r="B33" s="42">
        <v>12</v>
      </c>
      <c r="C33" s="164">
        <v>24.295999999999999</v>
      </c>
      <c r="D33" s="164">
        <v>24.295999999999999</v>
      </c>
    </row>
    <row r="34" spans="2:4" ht="18.75" x14ac:dyDescent="0.25">
      <c r="B34" s="42">
        <v>13</v>
      </c>
      <c r="C34" s="164">
        <v>24.34</v>
      </c>
      <c r="D34" s="164">
        <v>24.34</v>
      </c>
    </row>
    <row r="35" spans="2:4" ht="18.75" x14ac:dyDescent="0.25">
      <c r="B35" s="42">
        <v>14</v>
      </c>
      <c r="C35" s="164">
        <v>24.469000000000001</v>
      </c>
      <c r="D35" s="164">
        <v>24.469000000000001</v>
      </c>
    </row>
    <row r="36" spans="2:4" ht="18.75" x14ac:dyDescent="0.25">
      <c r="B36" s="42">
        <v>15</v>
      </c>
      <c r="C36" s="164">
        <v>24.283999999999999</v>
      </c>
      <c r="D36" s="164">
        <v>24.283999999999999</v>
      </c>
    </row>
    <row r="37" spans="2:4" ht="18.75" x14ac:dyDescent="0.25">
      <c r="B37" s="42">
        <v>16</v>
      </c>
      <c r="C37" s="164">
        <v>24.152999999999999</v>
      </c>
      <c r="D37" s="164">
        <v>24.152999999999999</v>
      </c>
    </row>
    <row r="38" spans="2:4" ht="18.75" x14ac:dyDescent="0.25">
      <c r="B38" s="42">
        <v>17</v>
      </c>
      <c r="C38" s="164">
        <v>23.803999999999998</v>
      </c>
      <c r="D38" s="164">
        <v>23.803999999999998</v>
      </c>
    </row>
    <row r="39" spans="2:4" ht="18.75" x14ac:dyDescent="0.25">
      <c r="B39" s="42">
        <v>18</v>
      </c>
      <c r="C39" s="164">
        <v>24.19</v>
      </c>
      <c r="D39" s="164">
        <v>24.19</v>
      </c>
    </row>
    <row r="40" spans="2:4" ht="18.75" x14ac:dyDescent="0.25">
      <c r="B40" s="42">
        <v>19</v>
      </c>
      <c r="C40" s="164">
        <v>24.591999999999999</v>
      </c>
      <c r="D40" s="164">
        <v>24.591999999999999</v>
      </c>
    </row>
    <row r="41" spans="2:4" ht="18.75" x14ac:dyDescent="0.25">
      <c r="B41" s="42">
        <v>20</v>
      </c>
      <c r="C41" s="164">
        <v>24.8</v>
      </c>
      <c r="D41" s="164">
        <v>24.8</v>
      </c>
    </row>
    <row r="42" spans="2:4" ht="18.75" x14ac:dyDescent="0.25">
      <c r="B42" s="42">
        <v>21</v>
      </c>
      <c r="C42" s="164">
        <v>24.277000000000001</v>
      </c>
      <c r="D42" s="164">
        <v>24.277000000000001</v>
      </c>
    </row>
    <row r="43" spans="2:4" ht="18.75" x14ac:dyDescent="0.25">
      <c r="B43" s="42">
        <v>22</v>
      </c>
      <c r="C43" s="164">
        <v>23.747</v>
      </c>
      <c r="D43" s="164">
        <v>23.747</v>
      </c>
    </row>
    <row r="44" spans="2:4" ht="18.75" x14ac:dyDescent="0.25">
      <c r="B44" s="42">
        <v>23</v>
      </c>
      <c r="C44" s="164">
        <v>24.047000000000001</v>
      </c>
      <c r="D44" s="164">
        <v>24.047000000000001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24.341782608695652</v>
      </c>
      <c r="D46" s="166"/>
    </row>
    <row r="47" spans="2:4" ht="31.5" x14ac:dyDescent="0.25">
      <c r="B47" s="45" t="s">
        <v>48</v>
      </c>
      <c r="C47" s="44">
        <f>_xlfn.STDEV.S(C21:C45)</f>
        <v>0.34691455741281246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24.323</v>
      </c>
      <c r="D21" s="164">
        <v>24.323</v>
      </c>
    </row>
    <row r="22" spans="2:7" ht="18.75" x14ac:dyDescent="0.25">
      <c r="B22" s="42">
        <v>1</v>
      </c>
      <c r="C22" s="164">
        <v>23.756</v>
      </c>
      <c r="D22" s="164">
        <v>23.756</v>
      </c>
    </row>
    <row r="23" spans="2:7" ht="18.75" x14ac:dyDescent="0.25">
      <c r="B23" s="42">
        <v>2</v>
      </c>
      <c r="C23" s="164">
        <v>23.003</v>
      </c>
      <c r="D23" s="164">
        <v>23.003</v>
      </c>
    </row>
    <row r="24" spans="2:7" ht="18.75" x14ac:dyDescent="0.25">
      <c r="B24" s="42">
        <v>3</v>
      </c>
      <c r="C24" s="164">
        <v>22.405999999999999</v>
      </c>
      <c r="D24" s="164">
        <v>22.405999999999999</v>
      </c>
    </row>
    <row r="25" spans="2:7" ht="18.75" x14ac:dyDescent="0.25">
      <c r="B25" s="42">
        <v>4</v>
      </c>
      <c r="C25" s="164">
        <v>22.277999999999999</v>
      </c>
      <c r="D25" s="164">
        <v>22.277999999999999</v>
      </c>
    </row>
    <row r="26" spans="2:7" ht="18.75" x14ac:dyDescent="0.25">
      <c r="B26" s="42">
        <v>5</v>
      </c>
      <c r="C26" s="164">
        <v>22.815999999999999</v>
      </c>
      <c r="D26" s="164">
        <v>22.815999999999999</v>
      </c>
    </row>
    <row r="27" spans="2:7" ht="18.75" x14ac:dyDescent="0.25">
      <c r="B27" s="42">
        <v>6</v>
      </c>
      <c r="C27" s="164">
        <v>22.972999999999999</v>
      </c>
      <c r="D27" s="164">
        <v>22.972999999999999</v>
      </c>
    </row>
    <row r="28" spans="2:7" ht="18.75" x14ac:dyDescent="0.25">
      <c r="B28" s="42">
        <v>7</v>
      </c>
      <c r="C28" s="164">
        <v>24.018999999999998</v>
      </c>
      <c r="D28" s="164">
        <v>24.018999999999998</v>
      </c>
    </row>
    <row r="29" spans="2:7" ht="18.75" x14ac:dyDescent="0.25">
      <c r="B29" s="42">
        <v>8</v>
      </c>
      <c r="C29" s="164">
        <v>24.146000000000001</v>
      </c>
      <c r="D29" s="164">
        <v>24.146000000000001</v>
      </c>
    </row>
    <row r="30" spans="2:7" ht="18.75" x14ac:dyDescent="0.25">
      <c r="B30" s="42">
        <v>9</v>
      </c>
      <c r="C30" s="164">
        <v>24.053000000000001</v>
      </c>
      <c r="D30" s="164">
        <v>24.053000000000001</v>
      </c>
    </row>
    <row r="31" spans="2:7" ht="18.75" x14ac:dyDescent="0.25">
      <c r="B31" s="42">
        <v>10</v>
      </c>
      <c r="C31" s="164">
        <v>23.706</v>
      </c>
      <c r="D31" s="164">
        <v>23.706</v>
      </c>
    </row>
    <row r="32" spans="2:7" ht="18.75" x14ac:dyDescent="0.25">
      <c r="B32" s="42">
        <v>11</v>
      </c>
      <c r="C32" s="164">
        <v>24.312000000000001</v>
      </c>
      <c r="D32" s="164">
        <v>24.312000000000001</v>
      </c>
    </row>
    <row r="33" spans="2:4" ht="18.75" x14ac:dyDescent="0.25">
      <c r="B33" s="42">
        <v>12</v>
      </c>
      <c r="C33" s="164">
        <v>24.312000000000001</v>
      </c>
      <c r="D33" s="164">
        <v>24.312000000000001</v>
      </c>
    </row>
    <row r="34" spans="2:4" ht="18.75" x14ac:dyDescent="0.25">
      <c r="B34" s="42">
        <v>13</v>
      </c>
      <c r="C34" s="164">
        <v>24.446000000000002</v>
      </c>
      <c r="D34" s="164">
        <v>24.446000000000002</v>
      </c>
    </row>
    <row r="35" spans="2:4" ht="18.75" x14ac:dyDescent="0.25">
      <c r="B35" s="42">
        <v>14</v>
      </c>
      <c r="C35" s="164">
        <v>24.419</v>
      </c>
      <c r="D35" s="164">
        <v>24.419</v>
      </c>
    </row>
    <row r="36" spans="2:4" ht="18.75" x14ac:dyDescent="0.25">
      <c r="B36" s="42">
        <v>15</v>
      </c>
      <c r="C36" s="164">
        <v>24.081</v>
      </c>
      <c r="D36" s="164">
        <v>24.081</v>
      </c>
    </row>
    <row r="37" spans="2:4" ht="18.75" x14ac:dyDescent="0.25">
      <c r="B37" s="42">
        <v>16</v>
      </c>
      <c r="C37" s="164">
        <v>23.914000000000001</v>
      </c>
      <c r="D37" s="164">
        <v>23.914000000000001</v>
      </c>
    </row>
    <row r="38" spans="2:4" ht="18.75" x14ac:dyDescent="0.25">
      <c r="B38" s="42">
        <v>17</v>
      </c>
      <c r="C38" s="164">
        <v>24.28</v>
      </c>
      <c r="D38" s="164">
        <v>24.28</v>
      </c>
    </row>
    <row r="39" spans="2:4" ht="18.75" x14ac:dyDescent="0.25">
      <c r="B39" s="42">
        <v>18</v>
      </c>
      <c r="C39" s="164">
        <v>24.317</v>
      </c>
      <c r="D39" s="164">
        <v>24.317</v>
      </c>
    </row>
    <row r="40" spans="2:4" ht="18.75" x14ac:dyDescent="0.25">
      <c r="B40" s="42">
        <v>19</v>
      </c>
      <c r="C40" s="164">
        <v>24.225000000000001</v>
      </c>
      <c r="D40" s="164">
        <v>24.225000000000001</v>
      </c>
    </row>
    <row r="41" spans="2:4" ht="18.75" x14ac:dyDescent="0.25">
      <c r="B41" s="42">
        <v>20</v>
      </c>
      <c r="C41" s="164">
        <v>24.443999999999999</v>
      </c>
      <c r="D41" s="164">
        <v>24.443999999999999</v>
      </c>
    </row>
    <row r="42" spans="2:4" ht="18.75" x14ac:dyDescent="0.25">
      <c r="B42" s="42">
        <v>21</v>
      </c>
      <c r="C42" s="164">
        <v>24.198</v>
      </c>
      <c r="D42" s="164">
        <v>24.198</v>
      </c>
    </row>
    <row r="43" spans="2:4" ht="18.75" x14ac:dyDescent="0.25">
      <c r="B43" s="42">
        <v>22</v>
      </c>
      <c r="C43" s="164">
        <v>24.149000000000001</v>
      </c>
      <c r="D43" s="164">
        <v>24.149000000000001</v>
      </c>
    </row>
    <row r="44" spans="2:4" ht="18.75" x14ac:dyDescent="0.25">
      <c r="B44" s="42">
        <v>23</v>
      </c>
      <c r="C44" s="164">
        <v>24.518999999999998</v>
      </c>
      <c r="D44" s="164">
        <v>24.518999999999998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23.859652173913041</v>
      </c>
      <c r="D46" s="166"/>
    </row>
    <row r="47" spans="2:4" ht="31.5" x14ac:dyDescent="0.25">
      <c r="B47" s="45" t="s">
        <v>48</v>
      </c>
      <c r="C47" s="44">
        <f>_xlfn.STDEV.S(C21:C45)</f>
        <v>0.66660766632037927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23.998999999999999</v>
      </c>
      <c r="D21" s="164">
        <v>23.998999999999999</v>
      </c>
    </row>
    <row r="22" spans="2:7" ht="18.75" x14ac:dyDescent="0.25">
      <c r="B22" s="42">
        <v>1</v>
      </c>
      <c r="C22" s="164">
        <v>24.045999999999999</v>
      </c>
      <c r="D22" s="164">
        <v>24.045999999999999</v>
      </c>
    </row>
    <row r="23" spans="2:7" ht="18.75" x14ac:dyDescent="0.25">
      <c r="B23" s="42">
        <v>2</v>
      </c>
      <c r="C23" s="164">
        <v>23.943999999999999</v>
      </c>
      <c r="D23" s="164">
        <v>23.943999999999999</v>
      </c>
    </row>
    <row r="24" spans="2:7" ht="18.75" x14ac:dyDescent="0.25">
      <c r="B24" s="42">
        <v>3</v>
      </c>
      <c r="C24" s="164">
        <v>23.31</v>
      </c>
      <c r="D24" s="164">
        <v>23.31</v>
      </c>
    </row>
    <row r="25" spans="2:7" ht="18.75" x14ac:dyDescent="0.25">
      <c r="B25" s="42">
        <v>4</v>
      </c>
      <c r="C25" s="164">
        <v>23.154</v>
      </c>
      <c r="D25" s="164">
        <v>23.154</v>
      </c>
    </row>
    <row r="26" spans="2:7" ht="18.75" x14ac:dyDescent="0.25">
      <c r="B26" s="42">
        <v>5</v>
      </c>
      <c r="C26" s="164">
        <v>22.91</v>
      </c>
      <c r="D26" s="164">
        <v>22.91</v>
      </c>
    </row>
    <row r="27" spans="2:7" ht="18.75" x14ac:dyDescent="0.25">
      <c r="B27" s="42">
        <v>6</v>
      </c>
      <c r="C27" s="164">
        <v>23.236000000000001</v>
      </c>
      <c r="D27" s="164">
        <v>23.236000000000001</v>
      </c>
    </row>
    <row r="28" spans="2:7" ht="18.75" x14ac:dyDescent="0.25">
      <c r="B28" s="42">
        <v>7</v>
      </c>
      <c r="C28" s="164">
        <v>24.361999999999998</v>
      </c>
      <c r="D28" s="164">
        <v>24.361999999999998</v>
      </c>
    </row>
    <row r="29" spans="2:7" ht="18.75" x14ac:dyDescent="0.25">
      <c r="B29" s="42">
        <v>8</v>
      </c>
      <c r="C29" s="164">
        <v>24.123000000000001</v>
      </c>
      <c r="D29" s="164">
        <v>24.123000000000001</v>
      </c>
    </row>
    <row r="30" spans="2:7" ht="18.75" x14ac:dyDescent="0.25">
      <c r="B30" s="42">
        <v>9</v>
      </c>
      <c r="C30" s="164">
        <v>23.692</v>
      </c>
      <c r="D30" s="164">
        <v>23.692</v>
      </c>
    </row>
    <row r="31" spans="2:7" ht="18.75" x14ac:dyDescent="0.25">
      <c r="B31" s="42">
        <v>10</v>
      </c>
      <c r="C31" s="164">
        <v>24.497</v>
      </c>
      <c r="D31" s="164">
        <v>24.497</v>
      </c>
    </row>
    <row r="32" spans="2:7" ht="18.75" x14ac:dyDescent="0.25">
      <c r="B32" s="42">
        <v>11</v>
      </c>
      <c r="C32" s="164">
        <v>23.753</v>
      </c>
      <c r="D32" s="164">
        <v>23.753</v>
      </c>
    </row>
    <row r="33" spans="2:4" ht="18.75" x14ac:dyDescent="0.25">
      <c r="B33" s="42">
        <v>12</v>
      </c>
      <c r="C33" s="164">
        <v>23.323</v>
      </c>
      <c r="D33" s="164">
        <v>23.323</v>
      </c>
    </row>
    <row r="34" spans="2:4" ht="18.75" x14ac:dyDescent="0.25">
      <c r="B34" s="42">
        <v>13</v>
      </c>
      <c r="C34" s="164">
        <v>23.99</v>
      </c>
      <c r="D34" s="164">
        <v>23.99</v>
      </c>
    </row>
    <row r="35" spans="2:4" ht="18.75" x14ac:dyDescent="0.25">
      <c r="B35" s="42">
        <v>14</v>
      </c>
      <c r="C35" s="164">
        <v>23.901</v>
      </c>
      <c r="D35" s="164">
        <v>23.901</v>
      </c>
    </row>
    <row r="36" spans="2:4" ht="18.75" x14ac:dyDescent="0.25">
      <c r="B36" s="42">
        <v>15</v>
      </c>
      <c r="C36" s="164">
        <v>23.370999999999999</v>
      </c>
      <c r="D36" s="164">
        <v>23.370999999999999</v>
      </c>
    </row>
    <row r="37" spans="2:4" ht="18.75" x14ac:dyDescent="0.25">
      <c r="B37" s="42">
        <v>16</v>
      </c>
      <c r="C37" s="164">
        <v>23.527999999999999</v>
      </c>
      <c r="D37" s="164">
        <v>23.527999999999999</v>
      </c>
    </row>
    <row r="38" spans="2:4" ht="18.75" x14ac:dyDescent="0.25">
      <c r="B38" s="42">
        <v>17</v>
      </c>
      <c r="C38" s="164">
        <v>24.297000000000001</v>
      </c>
      <c r="D38" s="164">
        <v>24.297000000000001</v>
      </c>
    </row>
    <row r="39" spans="2:4" ht="18.75" x14ac:dyDescent="0.25">
      <c r="B39" s="42">
        <v>18</v>
      </c>
      <c r="C39" s="164">
        <v>24.581</v>
      </c>
      <c r="D39" s="164">
        <v>24.581</v>
      </c>
    </row>
    <row r="40" spans="2:4" ht="18.75" x14ac:dyDescent="0.25">
      <c r="B40" s="42">
        <v>19</v>
      </c>
      <c r="C40" s="164">
        <v>24.486999999999998</v>
      </c>
      <c r="D40" s="164">
        <v>24.486999999999998</v>
      </c>
    </row>
    <row r="41" spans="2:4" ht="18.75" x14ac:dyDescent="0.25">
      <c r="B41" s="42">
        <v>20</v>
      </c>
      <c r="C41" s="164">
        <v>24.408999999999999</v>
      </c>
      <c r="D41" s="164">
        <v>24.408999999999999</v>
      </c>
    </row>
    <row r="42" spans="2:4" ht="18.75" x14ac:dyDescent="0.25">
      <c r="B42" s="42">
        <v>21</v>
      </c>
      <c r="C42" s="164">
        <v>24.646000000000001</v>
      </c>
      <c r="D42" s="164">
        <v>24.646000000000001</v>
      </c>
    </row>
    <row r="43" spans="2:4" ht="18.75" x14ac:dyDescent="0.25">
      <c r="B43" s="42">
        <v>22</v>
      </c>
      <c r="C43" s="164">
        <v>24.5</v>
      </c>
      <c r="D43" s="164">
        <v>24.5</v>
      </c>
    </row>
    <row r="44" spans="2:4" ht="18.75" x14ac:dyDescent="0.25">
      <c r="B44" s="42">
        <v>23</v>
      </c>
      <c r="C44" s="164">
        <v>24.300999999999998</v>
      </c>
      <c r="D44" s="164">
        <v>24.300999999999998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23.928739130434789</v>
      </c>
      <c r="D46" s="166"/>
    </row>
    <row r="47" spans="2:4" ht="31.5" x14ac:dyDescent="0.25">
      <c r="B47" s="45" t="s">
        <v>48</v>
      </c>
      <c r="C47" s="44">
        <f>_xlfn.STDEV.S(C21:C45)</f>
        <v>0.51417495471674901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75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75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75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75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75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75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ht="12.95" customHeight="1" x14ac:dyDescent="0.25">
      <c r="B17" s="156" t="s">
        <v>45</v>
      </c>
      <c r="C17" s="156" t="s">
        <v>46</v>
      </c>
      <c r="D17" s="156"/>
      <c r="E17" s="26"/>
      <c r="G17" s="26"/>
    </row>
    <row r="18" spans="2:7" ht="12.95" customHeight="1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24.138000000000002</v>
      </c>
      <c r="D21" s="164">
        <v>24.138000000000002</v>
      </c>
    </row>
    <row r="22" spans="2:7" ht="18.75" x14ac:dyDescent="0.25">
      <c r="B22" s="42">
        <v>1</v>
      </c>
      <c r="C22" s="164">
        <v>24.425000000000001</v>
      </c>
      <c r="D22" s="164">
        <v>24.425000000000001</v>
      </c>
    </row>
    <row r="23" spans="2:7" ht="18.75" x14ac:dyDescent="0.25">
      <c r="B23" s="42">
        <v>2</v>
      </c>
      <c r="C23" s="164">
        <v>24.806999999999999</v>
      </c>
      <c r="D23" s="164">
        <v>24.806999999999999</v>
      </c>
    </row>
    <row r="24" spans="2:7" ht="18.75" x14ac:dyDescent="0.25">
      <c r="B24" s="42">
        <v>3</v>
      </c>
      <c r="C24" s="164">
        <v>24.452999999999999</v>
      </c>
      <c r="D24" s="164">
        <v>24.452999999999999</v>
      </c>
    </row>
    <row r="25" spans="2:7" ht="18.75" x14ac:dyDescent="0.25">
      <c r="B25" s="42">
        <v>4</v>
      </c>
      <c r="C25" s="164">
        <v>23.888000000000002</v>
      </c>
      <c r="D25" s="164">
        <v>23.888000000000002</v>
      </c>
    </row>
    <row r="26" spans="2:7" ht="18.75" x14ac:dyDescent="0.25">
      <c r="B26" s="42">
        <v>5</v>
      </c>
      <c r="C26" s="164">
        <v>23.875</v>
      </c>
      <c r="D26" s="164">
        <v>23.875</v>
      </c>
    </row>
    <row r="27" spans="2:7" ht="18.75" x14ac:dyDescent="0.25">
      <c r="B27" s="42">
        <v>6</v>
      </c>
      <c r="C27" s="164">
        <v>24.277000000000001</v>
      </c>
      <c r="D27" s="164">
        <v>24.277000000000001</v>
      </c>
    </row>
    <row r="28" spans="2:7" ht="18.75" x14ac:dyDescent="0.25">
      <c r="B28" s="42">
        <v>7</v>
      </c>
      <c r="C28" s="164">
        <v>24.399000000000001</v>
      </c>
      <c r="D28" s="164">
        <v>24.399000000000001</v>
      </c>
    </row>
    <row r="29" spans="2:7" ht="18.75" x14ac:dyDescent="0.25">
      <c r="B29" s="42">
        <v>8</v>
      </c>
      <c r="C29" s="164">
        <v>23.925000000000001</v>
      </c>
      <c r="D29" s="164">
        <v>23.925000000000001</v>
      </c>
    </row>
    <row r="30" spans="2:7" ht="18.75" x14ac:dyDescent="0.25">
      <c r="B30" s="42">
        <v>9</v>
      </c>
      <c r="C30" s="164">
        <v>24.347999999999999</v>
      </c>
      <c r="D30" s="164">
        <v>24.347999999999999</v>
      </c>
    </row>
    <row r="31" spans="2:7" ht="18.75" x14ac:dyDescent="0.25">
      <c r="B31" s="42">
        <v>10</v>
      </c>
      <c r="C31" s="164">
        <v>24.349</v>
      </c>
      <c r="D31" s="164">
        <v>24.349</v>
      </c>
    </row>
    <row r="32" spans="2:7" ht="18.75" x14ac:dyDescent="0.25">
      <c r="B32" s="42">
        <v>11</v>
      </c>
      <c r="C32" s="164">
        <v>23.661999999999999</v>
      </c>
      <c r="D32" s="164">
        <v>23.661999999999999</v>
      </c>
    </row>
    <row r="33" spans="2:4" ht="18.75" x14ac:dyDescent="0.25">
      <c r="B33" s="42">
        <v>12</v>
      </c>
      <c r="C33" s="164">
        <v>24.146999999999998</v>
      </c>
      <c r="D33" s="164">
        <v>24.146999999999998</v>
      </c>
    </row>
    <row r="34" spans="2:4" ht="18.75" x14ac:dyDescent="0.25">
      <c r="B34" s="42">
        <v>13</v>
      </c>
      <c r="C34" s="164">
        <v>24.178999999999998</v>
      </c>
      <c r="D34" s="164">
        <v>24.178999999999998</v>
      </c>
    </row>
    <row r="35" spans="2:4" ht="18.75" x14ac:dyDescent="0.25">
      <c r="B35" s="42">
        <v>14</v>
      </c>
      <c r="C35" s="164">
        <v>24.530999999999999</v>
      </c>
      <c r="D35" s="164">
        <v>24.530999999999999</v>
      </c>
    </row>
    <row r="36" spans="2:4" ht="18.75" x14ac:dyDescent="0.25">
      <c r="B36" s="42">
        <v>15</v>
      </c>
      <c r="C36" s="164">
        <v>24.177</v>
      </c>
      <c r="D36" s="164">
        <v>24.177</v>
      </c>
    </row>
    <row r="37" spans="2:4" ht="18.75" x14ac:dyDescent="0.25">
      <c r="B37" s="42">
        <v>16</v>
      </c>
      <c r="C37" s="164">
        <v>24.295999999999999</v>
      </c>
      <c r="D37" s="164">
        <v>24.295999999999999</v>
      </c>
    </row>
    <row r="38" spans="2:4" ht="18.75" x14ac:dyDescent="0.25">
      <c r="B38" s="42">
        <v>17</v>
      </c>
      <c r="C38" s="164">
        <v>24.161000000000001</v>
      </c>
      <c r="D38" s="164">
        <v>24.161000000000001</v>
      </c>
    </row>
    <row r="39" spans="2:4" ht="18.75" x14ac:dyDescent="0.25">
      <c r="B39" s="42">
        <v>18</v>
      </c>
      <c r="C39" s="164">
        <v>24.550999999999998</v>
      </c>
      <c r="D39" s="164">
        <v>24.550999999999998</v>
      </c>
    </row>
    <row r="40" spans="2:4" ht="18.75" x14ac:dyDescent="0.25">
      <c r="B40" s="42">
        <v>19</v>
      </c>
      <c r="C40" s="164">
        <v>24.236000000000001</v>
      </c>
      <c r="D40" s="164">
        <v>24.236000000000001</v>
      </c>
    </row>
    <row r="41" spans="2:4" ht="18.75" x14ac:dyDescent="0.25">
      <c r="B41" s="42">
        <v>20</v>
      </c>
      <c r="C41" s="164">
        <v>23.812999999999999</v>
      </c>
      <c r="D41" s="164">
        <v>23.812999999999999</v>
      </c>
    </row>
    <row r="42" spans="2:4" ht="18.75" x14ac:dyDescent="0.25">
      <c r="B42" s="42">
        <v>21</v>
      </c>
      <c r="C42" s="164">
        <v>23.518000000000001</v>
      </c>
      <c r="D42" s="164">
        <v>23.518000000000001</v>
      </c>
    </row>
    <row r="43" spans="2:4" ht="18.75" x14ac:dyDescent="0.25">
      <c r="B43" s="42">
        <v>22</v>
      </c>
      <c r="C43" s="164">
        <v>23.085999999999999</v>
      </c>
      <c r="D43" s="164">
        <v>23.085999999999999</v>
      </c>
    </row>
    <row r="44" spans="2:4" ht="18.75" x14ac:dyDescent="0.25">
      <c r="B44" s="42">
        <v>23</v>
      </c>
      <c r="C44" s="164">
        <v>22.827000000000002</v>
      </c>
      <c r="D44" s="164">
        <v>22.827000000000002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24.083913043478258</v>
      </c>
      <c r="D46" s="166"/>
    </row>
    <row r="47" spans="2:4" ht="31.5" x14ac:dyDescent="0.25">
      <c r="B47" s="45" t="s">
        <v>48</v>
      </c>
      <c r="C47" s="44">
        <f>_xlfn.STDEV.S(C21:C45)</f>
        <v>0.45793484126082767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02-9700-48B5-BC1B-A1E7185183C6}">
  <dimension ref="A1:L50"/>
  <sheetViews>
    <sheetView showGridLines="0" tabSelected="1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8" customWidth="1"/>
    <col min="2" max="2" width="27" style="18" customWidth="1"/>
    <col min="3" max="3" width="18.140625" style="18" customWidth="1"/>
    <col min="4" max="4" width="17" style="18" customWidth="1"/>
    <col min="5" max="5" width="10.28515625" style="18" bestFit="1" customWidth="1"/>
    <col min="6" max="7" width="11.42578125" style="18"/>
    <col min="8" max="8" width="5" style="18" customWidth="1"/>
    <col min="9" max="16384" width="11.42578125" style="18"/>
  </cols>
  <sheetData>
    <row r="1" spans="1:12" s="19" customFormat="1" ht="22.5" customHeight="1" thickBot="1" x14ac:dyDescent="0.3">
      <c r="A1" s="15"/>
      <c r="B1" s="135" t="s">
        <v>0</v>
      </c>
      <c r="C1" s="136"/>
      <c r="D1" s="136"/>
      <c r="E1" s="137"/>
      <c r="F1" s="138" t="s">
        <v>34</v>
      </c>
      <c r="G1" s="139"/>
      <c r="H1" s="18"/>
      <c r="I1" s="18"/>
      <c r="J1" s="1"/>
      <c r="K1" s="1"/>
      <c r="L1" s="1"/>
    </row>
    <row r="2" spans="1:12" s="19" customFormat="1" ht="22.5" customHeight="1" x14ac:dyDescent="0.25">
      <c r="A2" s="16"/>
      <c r="B2" s="144" t="s">
        <v>2</v>
      </c>
      <c r="C2" s="145"/>
      <c r="D2" s="145"/>
      <c r="E2" s="146"/>
      <c r="F2" s="140"/>
      <c r="G2" s="141"/>
      <c r="H2" s="18"/>
      <c r="I2" s="18"/>
      <c r="J2" s="1"/>
      <c r="K2" s="1"/>
      <c r="L2" s="1"/>
    </row>
    <row r="3" spans="1:12" s="19" customFormat="1" ht="22.5" customHeight="1" thickBot="1" x14ac:dyDescent="0.3">
      <c r="A3" s="17"/>
      <c r="B3" s="147"/>
      <c r="C3" s="148"/>
      <c r="D3" s="148"/>
      <c r="E3" s="149"/>
      <c r="F3" s="142"/>
      <c r="G3" s="143"/>
      <c r="H3" s="18"/>
      <c r="I3" s="18"/>
      <c r="J3" s="2"/>
      <c r="K3" s="2"/>
      <c r="L3" s="2"/>
    </row>
    <row r="4" spans="1:12" ht="7.5" customHeight="1" x14ac:dyDescent="0.25">
      <c r="A4" s="37"/>
      <c r="B4" s="37"/>
      <c r="C4" s="37"/>
      <c r="D4" s="37"/>
      <c r="E4" s="37"/>
      <c r="F4" s="37"/>
      <c r="G4" s="37"/>
    </row>
    <row r="5" spans="1:12" ht="15.75" x14ac:dyDescent="0.25">
      <c r="A5" s="20"/>
      <c r="B5" s="20"/>
      <c r="C5" s="20"/>
      <c r="D5" s="20"/>
      <c r="E5" s="20"/>
    </row>
    <row r="7" spans="1:12" ht="15.6" customHeight="1" x14ac:dyDescent="0.25">
      <c r="A7" s="21" t="s">
        <v>3</v>
      </c>
      <c r="B7" s="132" t="str" cm="1">
        <f t="array" ref="B7">'Dia 1'!B7:B7</f>
        <v>AEROCIVIL</v>
      </c>
      <c r="C7" s="133"/>
      <c r="D7" s="21" t="s">
        <v>5</v>
      </c>
      <c r="E7" s="134" t="str" cm="1">
        <f t="array" ref="E7">'Dia 1'!E7:E7</f>
        <v>Bogotá DC</v>
      </c>
      <c r="F7" s="134"/>
      <c r="G7" s="134"/>
    </row>
    <row r="8" spans="1:12" ht="15.6" customHeight="1" x14ac:dyDescent="0.25">
      <c r="A8" s="21" t="s">
        <v>36</v>
      </c>
      <c r="B8" s="132" t="str" cm="1">
        <f t="array" ref="B8">'Dia 1'!B8:B8</f>
        <v>CA4 Funza</v>
      </c>
      <c r="C8" s="133"/>
      <c r="D8" s="22" t="s">
        <v>10</v>
      </c>
      <c r="E8" s="134" t="str" cm="1">
        <f t="array" ref="E8">'Dia 1'!E8:E8</f>
        <v xml:space="preserve">Distrito Capital </v>
      </c>
      <c r="F8" s="134"/>
      <c r="G8" s="134"/>
    </row>
    <row r="9" spans="1:12" ht="15.6" customHeight="1" x14ac:dyDescent="0.25">
      <c r="A9" s="21" t="s">
        <v>9</v>
      </c>
      <c r="B9" s="132" cm="1">
        <f t="array" ref="B9">'Dia 1'!B9:B9</f>
        <v>2078871.8419999999</v>
      </c>
      <c r="C9" s="133"/>
      <c r="D9" s="22" t="s">
        <v>14</v>
      </c>
      <c r="E9" s="134" cm="1">
        <f t="array" ref="E9">'Dia 1'!E9:E9</f>
        <v>-4870008.2280000001</v>
      </c>
      <c r="F9" s="134"/>
      <c r="G9" s="134"/>
    </row>
    <row r="10" spans="1:12" ht="15.6" customHeight="1" x14ac:dyDescent="0.25">
      <c r="A10" s="21" t="s">
        <v>37</v>
      </c>
      <c r="B10" s="132" t="str" cm="1">
        <f t="array" ref="B10">'Dia 1'!B10:B10</f>
        <v>Leonardo Pérez</v>
      </c>
      <c r="C10" s="133"/>
      <c r="D10" s="21" t="s">
        <v>39</v>
      </c>
      <c r="E10" s="134" cm="1">
        <f t="array" ref="E10">'Dia 1'!E10:E10</f>
        <v>2550</v>
      </c>
      <c r="F10" s="134"/>
      <c r="G10" s="134"/>
    </row>
    <row r="11" spans="1:12" ht="15.6" customHeight="1" x14ac:dyDescent="0.25">
      <c r="A11" s="23" t="s">
        <v>40</v>
      </c>
      <c r="B11" s="162" cm="1">
        <f t="array" ref="B11">'Dia 1'!B11:B11</f>
        <v>45992</v>
      </c>
      <c r="C11" s="163"/>
      <c r="D11" s="24" t="s">
        <v>41</v>
      </c>
      <c r="E11" s="152" cm="1">
        <f t="array" ref="E11">'Dia 1'!E11:E11</f>
        <v>0</v>
      </c>
      <c r="F11" s="152"/>
      <c r="G11" s="152"/>
    </row>
    <row r="12" spans="1:12" ht="15.6" customHeight="1" x14ac:dyDescent="0.25">
      <c r="A12" s="23" t="s">
        <v>42</v>
      </c>
      <c r="B12" s="162" cm="1">
        <f t="array" ref="B12">'Dia 1'!B12:B12</f>
        <v>46022</v>
      </c>
      <c r="C12" s="163"/>
      <c r="D12" s="23" t="s">
        <v>43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5" t="s">
        <v>44</v>
      </c>
      <c r="C15" s="155"/>
      <c r="D15" s="155"/>
      <c r="E15" s="25"/>
    </row>
    <row r="16" spans="1:12" ht="12.75" customHeight="1" x14ac:dyDescent="0.25"/>
    <row r="17" spans="2:7" x14ac:dyDescent="0.25">
      <c r="B17" s="156" t="s">
        <v>45</v>
      </c>
      <c r="C17" s="156" t="s">
        <v>46</v>
      </c>
      <c r="D17" s="156"/>
      <c r="E17" s="26"/>
      <c r="G17" s="26"/>
    </row>
    <row r="18" spans="2:7" x14ac:dyDescent="0.25">
      <c r="B18" s="156"/>
      <c r="C18" s="156"/>
      <c r="D18" s="156"/>
      <c r="E18" s="26"/>
      <c r="G18" s="26"/>
    </row>
    <row r="19" spans="2:7" ht="18.75" customHeight="1" x14ac:dyDescent="0.25">
      <c r="B19" s="156"/>
      <c r="C19" s="156"/>
      <c r="D19" s="156"/>
    </row>
    <row r="20" spans="2:7" x14ac:dyDescent="0.25">
      <c r="B20" s="156"/>
      <c r="C20" s="156"/>
      <c r="D20" s="156"/>
    </row>
    <row r="21" spans="2:7" ht="18.75" x14ac:dyDescent="0.25">
      <c r="B21" s="42">
        <v>0</v>
      </c>
      <c r="C21" s="164">
        <v>24.062000000000001</v>
      </c>
      <c r="D21" s="164">
        <v>24.062000000000001</v>
      </c>
    </row>
    <row r="22" spans="2:7" ht="18.75" x14ac:dyDescent="0.25">
      <c r="B22" s="42">
        <v>1</v>
      </c>
      <c r="C22" s="164">
        <v>23.157</v>
      </c>
      <c r="D22" s="164">
        <v>23.157</v>
      </c>
    </row>
    <row r="23" spans="2:7" ht="18.75" x14ac:dyDescent="0.25">
      <c r="B23" s="42">
        <v>2</v>
      </c>
      <c r="C23" s="164">
        <v>22.274999999999999</v>
      </c>
      <c r="D23" s="164">
        <v>22.274999999999999</v>
      </c>
    </row>
    <row r="24" spans="2:7" ht="18.75" x14ac:dyDescent="0.25">
      <c r="B24" s="42">
        <v>3</v>
      </c>
      <c r="C24" s="164">
        <v>21.76</v>
      </c>
      <c r="D24" s="164">
        <v>21.76</v>
      </c>
    </row>
    <row r="25" spans="2:7" ht="18.75" x14ac:dyDescent="0.25">
      <c r="B25" s="42">
        <v>4</v>
      </c>
      <c r="C25" s="164">
        <v>21.727</v>
      </c>
      <c r="D25" s="164">
        <v>21.727</v>
      </c>
    </row>
    <row r="26" spans="2:7" ht="18.75" x14ac:dyDescent="0.25">
      <c r="B26" s="42">
        <v>5</v>
      </c>
      <c r="C26" s="164">
        <v>21.641999999999999</v>
      </c>
      <c r="D26" s="164">
        <v>21.641999999999999</v>
      </c>
    </row>
    <row r="27" spans="2:7" ht="18.75" x14ac:dyDescent="0.25">
      <c r="B27" s="42">
        <v>6</v>
      </c>
      <c r="C27" s="164">
        <v>23.088000000000001</v>
      </c>
      <c r="D27" s="164">
        <v>23.088000000000001</v>
      </c>
    </row>
    <row r="28" spans="2:7" ht="18.75" x14ac:dyDescent="0.25">
      <c r="B28" s="42">
        <v>7</v>
      </c>
      <c r="C28" s="164">
        <v>24.483000000000001</v>
      </c>
      <c r="D28" s="164">
        <v>24.483000000000001</v>
      </c>
    </row>
    <row r="29" spans="2:7" ht="18.75" x14ac:dyDescent="0.25">
      <c r="B29" s="42">
        <v>8</v>
      </c>
      <c r="C29" s="164">
        <v>24.459</v>
      </c>
      <c r="D29" s="164">
        <v>24.459</v>
      </c>
    </row>
    <row r="30" spans="2:7" ht="18.75" x14ac:dyDescent="0.25">
      <c r="B30" s="42">
        <v>9</v>
      </c>
      <c r="C30" s="164">
        <v>24.24</v>
      </c>
      <c r="D30" s="164">
        <v>24.24</v>
      </c>
    </row>
    <row r="31" spans="2:7" ht="18.75" x14ac:dyDescent="0.25">
      <c r="B31" s="42">
        <v>10</v>
      </c>
      <c r="C31" s="164">
        <v>24.402000000000001</v>
      </c>
      <c r="D31" s="164">
        <v>24.402000000000001</v>
      </c>
    </row>
    <row r="32" spans="2:7" ht="18.75" x14ac:dyDescent="0.25">
      <c r="B32" s="42">
        <v>11</v>
      </c>
      <c r="C32" s="164">
        <v>24.352</v>
      </c>
      <c r="D32" s="164">
        <v>24.352</v>
      </c>
    </row>
    <row r="33" spans="2:4" ht="18.75" x14ac:dyDescent="0.25">
      <c r="B33" s="42">
        <v>12</v>
      </c>
      <c r="C33" s="164">
        <v>24.507999999999999</v>
      </c>
      <c r="D33" s="164">
        <v>24.507999999999999</v>
      </c>
    </row>
    <row r="34" spans="2:4" ht="18.75" x14ac:dyDescent="0.25">
      <c r="B34" s="42">
        <v>13</v>
      </c>
      <c r="C34" s="164">
        <v>24.463000000000001</v>
      </c>
      <c r="D34" s="164">
        <v>24.463000000000001</v>
      </c>
    </row>
    <row r="35" spans="2:4" ht="18.75" x14ac:dyDescent="0.25">
      <c r="B35" s="42">
        <v>14</v>
      </c>
      <c r="C35" s="164">
        <v>24.335000000000001</v>
      </c>
      <c r="D35" s="164">
        <v>24.335000000000001</v>
      </c>
    </row>
    <row r="36" spans="2:4" ht="18.75" x14ac:dyDescent="0.25">
      <c r="B36" s="42">
        <v>15</v>
      </c>
      <c r="C36" s="164">
        <v>24.466999999999999</v>
      </c>
      <c r="D36" s="164">
        <v>24.466999999999999</v>
      </c>
    </row>
    <row r="37" spans="2:4" ht="18.75" x14ac:dyDescent="0.25">
      <c r="B37" s="42">
        <v>16</v>
      </c>
      <c r="C37" s="164">
        <v>24.306999999999999</v>
      </c>
      <c r="D37" s="164">
        <v>24.306999999999999</v>
      </c>
    </row>
    <row r="38" spans="2:4" ht="18.75" x14ac:dyDescent="0.25">
      <c r="B38" s="42">
        <v>17</v>
      </c>
      <c r="C38" s="164">
        <v>24.283000000000001</v>
      </c>
      <c r="D38" s="164">
        <v>24.283000000000001</v>
      </c>
    </row>
    <row r="39" spans="2:4" ht="18.75" x14ac:dyDescent="0.25">
      <c r="B39" s="42">
        <v>18</v>
      </c>
      <c r="C39" s="164">
        <v>24.384</v>
      </c>
      <c r="D39" s="164">
        <v>24.384</v>
      </c>
    </row>
    <row r="40" spans="2:4" ht="18.75" x14ac:dyDescent="0.25">
      <c r="B40" s="42">
        <v>19</v>
      </c>
      <c r="C40" s="164">
        <v>24.471</v>
      </c>
      <c r="D40" s="164">
        <v>24.471</v>
      </c>
    </row>
    <row r="41" spans="2:4" ht="18.75" x14ac:dyDescent="0.25">
      <c r="B41" s="42">
        <v>20</v>
      </c>
      <c r="C41" s="164">
        <v>24.355</v>
      </c>
      <c r="D41" s="164">
        <v>24.355</v>
      </c>
    </row>
    <row r="42" spans="2:4" ht="18.75" x14ac:dyDescent="0.25">
      <c r="B42" s="42">
        <v>21</v>
      </c>
      <c r="C42" s="164">
        <v>24.23</v>
      </c>
      <c r="D42" s="164">
        <v>24.23</v>
      </c>
    </row>
    <row r="43" spans="2:4" ht="18.75" x14ac:dyDescent="0.25">
      <c r="B43" s="42">
        <v>22</v>
      </c>
      <c r="C43" s="164">
        <v>24.564</v>
      </c>
      <c r="D43" s="164">
        <v>24.564</v>
      </c>
    </row>
    <row r="44" spans="2:4" ht="18.75" x14ac:dyDescent="0.25">
      <c r="B44" s="42">
        <v>23</v>
      </c>
      <c r="C44" s="164">
        <v>24.521000000000001</v>
      </c>
      <c r="D44" s="164">
        <v>24.521000000000001</v>
      </c>
    </row>
    <row r="45" spans="2:4" ht="18.75" x14ac:dyDescent="0.25">
      <c r="B45" s="42">
        <v>24</v>
      </c>
      <c r="C45" s="164"/>
      <c r="D45" s="164"/>
    </row>
    <row r="46" spans="2:4" ht="33.75" customHeight="1" x14ac:dyDescent="0.25">
      <c r="B46" s="43" t="s">
        <v>47</v>
      </c>
      <c r="C46" s="166">
        <f>AVERAGE(C22:C45)</f>
        <v>23.846652173913046</v>
      </c>
      <c r="D46" s="166"/>
    </row>
    <row r="47" spans="2:4" ht="31.5" x14ac:dyDescent="0.25">
      <c r="B47" s="45" t="s">
        <v>48</v>
      </c>
      <c r="C47" s="44">
        <f>_xlfn.STDEV.S(C21:C45)</f>
        <v>0.99275238002408162</v>
      </c>
      <c r="D47" s="46" t="s">
        <v>49</v>
      </c>
    </row>
    <row r="48" spans="2:4" ht="15.75" x14ac:dyDescent="0.25">
      <c r="B48" s="43" t="s">
        <v>50</v>
      </c>
      <c r="C48" s="165" t="str">
        <f>IF(ABS(C47)&gt;=2.5,"NO CUMPLE CON DS T°C DEL SHELTER"," CUMPLE CON DS T°C DEL SHELTER")</f>
        <v xml:space="preserve"> CUMPLE CON DS T°C DEL SHELTER</v>
      </c>
      <c r="D48" s="165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28" customWidth="1"/>
    <col min="3" max="3" width="67.5703125" style="28" customWidth="1"/>
    <col min="4" max="16384" width="11.42578125" style="28"/>
  </cols>
  <sheetData>
    <row r="2" spans="1:3" ht="15" x14ac:dyDescent="0.25">
      <c r="A2" s="27" t="s">
        <v>51</v>
      </c>
    </row>
    <row r="4" spans="1:3" ht="15" x14ac:dyDescent="0.25">
      <c r="A4" s="29" t="s">
        <v>52</v>
      </c>
      <c r="B4" s="29" t="s">
        <v>53</v>
      </c>
      <c r="C4" s="29" t="s">
        <v>54</v>
      </c>
    </row>
    <row r="5" spans="1:3" x14ac:dyDescent="0.2">
      <c r="A5" s="30">
        <v>44278</v>
      </c>
      <c r="B5" s="31">
        <v>6</v>
      </c>
      <c r="C5" s="32" t="s">
        <v>55</v>
      </c>
    </row>
    <row r="6" spans="1:3" x14ac:dyDescent="0.2">
      <c r="A6" s="30">
        <v>45439</v>
      </c>
      <c r="B6" s="31">
        <v>7</v>
      </c>
      <c r="C6" s="32" t="s">
        <v>56</v>
      </c>
    </row>
    <row r="7" spans="1:3" x14ac:dyDescent="0.2">
      <c r="A7" s="30"/>
      <c r="B7" s="31"/>
      <c r="C7" s="32"/>
    </row>
    <row r="8" spans="1:3" x14ac:dyDescent="0.2">
      <c r="A8" s="30"/>
      <c r="B8" s="31"/>
      <c r="C8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2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2026-02-17T23:06:14Z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