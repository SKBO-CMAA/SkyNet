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Meteorologia\"/>
    </mc:Choice>
  </mc:AlternateContent>
  <xr:revisionPtr revIDLastSave="0" documentId="13_ncr:1_{B8645FBF-785B-4FB4-A10D-7EB87C60176A}" xr6:coauthVersionLast="47" xr6:coauthVersionMax="47" xr10:uidLastSave="{00000000-0000-0000-0000-000000000000}"/>
  <bookViews>
    <workbookView xWindow="20385" yWindow="-855" windowWidth="6570" windowHeight="15585" firstSheet="3" activeTab="3" xr2:uid="{4774ADFB-FF2A-4B7A-BDA5-628D9C712F2F}"/>
  </bookViews>
  <sheets>
    <sheet name="Fechas " sheetId="1" r:id="rId1"/>
    <sheet name="230303" sheetId="6" state="hidden" r:id="rId2"/>
    <sheet name="230903" sheetId="5" state="hidden" r:id="rId3"/>
    <sheet name="23-11-24" sheetId="2" r:id="rId4"/>
    <sheet name="24-05-24" sheetId="10" r:id="rId5"/>
    <sheet name="24-11-25" sheetId="12" r:id="rId6"/>
    <sheet name="25-05-28" sheetId="11" r:id="rId7"/>
    <sheet name="Cambios" sheetId="13" r:id="rId8"/>
  </sheets>
  <externalReferences>
    <externalReference r:id="rId9"/>
    <externalReference r:id="rId10"/>
  </externalReferences>
  <definedNames>
    <definedName name="_xlnm._FilterDatabase" localSheetId="0" hidden="1">'Fechas '!$B$2:$E$2</definedName>
    <definedName name="ubiog">'[1]U. Biogeografica'!$E$2:$E$18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" i="12" l="1"/>
  <c r="Z35" i="12"/>
  <c r="Y35" i="12"/>
  <c r="X35" i="12"/>
  <c r="W35" i="12"/>
  <c r="V35" i="12"/>
  <c r="U35" i="12"/>
  <c r="T35" i="12"/>
  <c r="AA34" i="12"/>
  <c r="Z34" i="12"/>
  <c r="Y34" i="12"/>
  <c r="X34" i="12"/>
  <c r="W34" i="12"/>
  <c r="V34" i="12"/>
  <c r="U34" i="12"/>
  <c r="T34" i="12"/>
  <c r="AA33" i="12"/>
  <c r="Z33" i="12"/>
  <c r="Y33" i="12"/>
  <c r="X33" i="12"/>
  <c r="W33" i="12"/>
  <c r="V33" i="12"/>
  <c r="U33" i="12"/>
  <c r="T33" i="12"/>
  <c r="AA32" i="12"/>
  <c r="Z32" i="12"/>
  <c r="Y32" i="12"/>
  <c r="X32" i="12"/>
  <c r="W32" i="12"/>
  <c r="V32" i="12"/>
  <c r="U32" i="12"/>
  <c r="T32" i="12"/>
  <c r="AA31" i="12"/>
  <c r="Z31" i="12"/>
  <c r="Y31" i="12"/>
  <c r="X31" i="12"/>
  <c r="W31" i="12"/>
  <c r="V31" i="12"/>
  <c r="U31" i="12"/>
  <c r="T31" i="12"/>
  <c r="AA30" i="12"/>
  <c r="Z30" i="12"/>
  <c r="Y30" i="12"/>
  <c r="X30" i="12"/>
  <c r="W30" i="12"/>
  <c r="V30" i="12"/>
  <c r="U30" i="12"/>
  <c r="T30" i="12"/>
  <c r="AA29" i="12"/>
  <c r="Z29" i="12"/>
  <c r="Y29" i="12"/>
  <c r="X29" i="12"/>
  <c r="W29" i="12"/>
  <c r="V29" i="12"/>
  <c r="U29" i="12"/>
  <c r="T29" i="12"/>
  <c r="AA28" i="12"/>
  <c r="Z28" i="12"/>
  <c r="Y28" i="12"/>
  <c r="X28" i="12"/>
  <c r="W28" i="12"/>
  <c r="V28" i="12"/>
  <c r="U28" i="12"/>
  <c r="T28" i="12"/>
  <c r="AA27" i="12"/>
  <c r="Z27" i="12"/>
  <c r="Y27" i="12"/>
  <c r="X27" i="12"/>
  <c r="W27" i="12"/>
  <c r="V27" i="12"/>
  <c r="U27" i="12"/>
  <c r="T27" i="12"/>
  <c r="AA26" i="12"/>
  <c r="Z26" i="12"/>
  <c r="Y26" i="12"/>
  <c r="X26" i="12"/>
  <c r="W26" i="12"/>
  <c r="V26" i="12"/>
  <c r="U26" i="12"/>
  <c r="T26" i="12"/>
  <c r="AA25" i="12"/>
  <c r="Z25" i="12"/>
  <c r="Y25" i="12"/>
  <c r="X25" i="12"/>
  <c r="W25" i="12"/>
  <c r="V25" i="12"/>
  <c r="U25" i="12"/>
  <c r="T25" i="12"/>
  <c r="AA24" i="12"/>
  <c r="Z24" i="12"/>
  <c r="Y24" i="12"/>
  <c r="X24" i="12"/>
  <c r="W24" i="12"/>
  <c r="V24" i="12"/>
  <c r="U24" i="12"/>
  <c r="T24" i="12"/>
  <c r="AA23" i="12"/>
  <c r="Z23" i="12"/>
  <c r="Y23" i="12"/>
  <c r="X23" i="12"/>
  <c r="W23" i="12"/>
  <c r="V23" i="12"/>
  <c r="U23" i="12"/>
  <c r="T23" i="12"/>
  <c r="AA22" i="12"/>
  <c r="Z22" i="12"/>
  <c r="Y22" i="12"/>
  <c r="X22" i="12"/>
  <c r="W22" i="12"/>
  <c r="V22" i="12"/>
  <c r="U22" i="12"/>
  <c r="T22" i="12"/>
  <c r="AA21" i="12"/>
  <c r="Z21" i="12"/>
  <c r="Y21" i="12"/>
  <c r="X21" i="12"/>
  <c r="W21" i="12"/>
  <c r="V21" i="12"/>
  <c r="U21" i="12"/>
  <c r="T21" i="12"/>
  <c r="AA20" i="12"/>
  <c r="Z20" i="12"/>
  <c r="Y20" i="12"/>
  <c r="X20" i="12"/>
  <c r="W20" i="12"/>
  <c r="V20" i="12"/>
  <c r="U20" i="12"/>
  <c r="T20" i="12"/>
  <c r="AA19" i="12"/>
  <c r="Z19" i="12"/>
  <c r="Y19" i="12"/>
  <c r="X19" i="12"/>
  <c r="W19" i="12"/>
  <c r="V19" i="12"/>
  <c r="U19" i="12"/>
  <c r="T19" i="12"/>
  <c r="AA18" i="12"/>
  <c r="Z18" i="12"/>
  <c r="Y18" i="12"/>
  <c r="X18" i="12"/>
  <c r="W18" i="12"/>
  <c r="V18" i="12"/>
  <c r="U18" i="12"/>
  <c r="T18" i="12"/>
  <c r="AA17" i="12"/>
  <c r="Z17" i="12"/>
  <c r="Y17" i="12"/>
  <c r="X17" i="12"/>
  <c r="W17" i="12"/>
  <c r="V17" i="12"/>
  <c r="U17" i="12"/>
  <c r="T17" i="12"/>
  <c r="AA16" i="12"/>
  <c r="Z16" i="12"/>
  <c r="Y16" i="12"/>
  <c r="X16" i="12"/>
  <c r="W16" i="12"/>
  <c r="V16" i="12"/>
  <c r="U16" i="12"/>
  <c r="T16" i="12"/>
  <c r="AA15" i="12"/>
  <c r="Z15" i="12"/>
  <c r="Y15" i="12"/>
  <c r="X15" i="12"/>
  <c r="W15" i="12"/>
  <c r="V15" i="12"/>
  <c r="U15" i="12"/>
  <c r="T15" i="12"/>
  <c r="AA14" i="12"/>
  <c r="Z14" i="12"/>
  <c r="Y14" i="12"/>
  <c r="X14" i="12"/>
  <c r="W14" i="12"/>
  <c r="V14" i="12"/>
  <c r="U14" i="12"/>
  <c r="T14" i="12"/>
  <c r="AA13" i="12"/>
  <c r="Z13" i="12"/>
  <c r="Y13" i="12"/>
  <c r="X13" i="12"/>
  <c r="W13" i="12"/>
  <c r="V13" i="12"/>
  <c r="U13" i="12"/>
  <c r="T13" i="12"/>
  <c r="AA12" i="12"/>
  <c r="Z12" i="12"/>
  <c r="Y12" i="12"/>
  <c r="X12" i="12"/>
  <c r="W12" i="12"/>
  <c r="V12" i="12"/>
  <c r="U12" i="12"/>
  <c r="T12" i="12"/>
  <c r="AA35" i="11"/>
  <c r="Z35" i="11"/>
  <c r="Y35" i="11"/>
  <c r="X35" i="11"/>
  <c r="W35" i="11"/>
  <c r="V35" i="11"/>
  <c r="U35" i="11"/>
  <c r="T35" i="11"/>
  <c r="AA34" i="11"/>
  <c r="Z34" i="11"/>
  <c r="Y34" i="11"/>
  <c r="X34" i="11"/>
  <c r="W34" i="11"/>
  <c r="V34" i="11"/>
  <c r="U34" i="11"/>
  <c r="T34" i="11"/>
  <c r="AA33" i="11"/>
  <c r="Z33" i="11"/>
  <c r="Y33" i="11"/>
  <c r="X33" i="11"/>
  <c r="W33" i="11"/>
  <c r="V33" i="11"/>
  <c r="U33" i="11"/>
  <c r="T33" i="11"/>
  <c r="AA32" i="11"/>
  <c r="Z32" i="11"/>
  <c r="Y32" i="11"/>
  <c r="X32" i="11"/>
  <c r="W32" i="11"/>
  <c r="V32" i="11"/>
  <c r="U32" i="11"/>
  <c r="T32" i="11"/>
  <c r="AA31" i="11"/>
  <c r="Z31" i="11"/>
  <c r="Y31" i="11"/>
  <c r="X31" i="11"/>
  <c r="W31" i="11"/>
  <c r="V31" i="11"/>
  <c r="U31" i="11"/>
  <c r="T31" i="11"/>
  <c r="AA30" i="11"/>
  <c r="Z30" i="11"/>
  <c r="Y30" i="11"/>
  <c r="X30" i="11"/>
  <c r="W30" i="11"/>
  <c r="V30" i="11"/>
  <c r="U30" i="11"/>
  <c r="T30" i="11"/>
  <c r="AA29" i="11"/>
  <c r="Z29" i="11"/>
  <c r="Y29" i="11"/>
  <c r="X29" i="11"/>
  <c r="W29" i="11"/>
  <c r="V29" i="11"/>
  <c r="U29" i="11"/>
  <c r="T29" i="11"/>
  <c r="AA28" i="11"/>
  <c r="Z28" i="11"/>
  <c r="Y28" i="11"/>
  <c r="X28" i="11"/>
  <c r="W28" i="11"/>
  <c r="V28" i="11"/>
  <c r="U28" i="11"/>
  <c r="T28" i="11"/>
  <c r="AA27" i="11"/>
  <c r="Z27" i="11"/>
  <c r="Y27" i="11"/>
  <c r="X27" i="11"/>
  <c r="W27" i="11"/>
  <c r="V27" i="11"/>
  <c r="U27" i="11"/>
  <c r="T27" i="11"/>
  <c r="AA26" i="11"/>
  <c r="Z26" i="11"/>
  <c r="Y26" i="11"/>
  <c r="X26" i="11"/>
  <c r="W26" i="11"/>
  <c r="V26" i="11"/>
  <c r="U26" i="11"/>
  <c r="T26" i="11"/>
  <c r="AA25" i="11"/>
  <c r="Z25" i="11"/>
  <c r="Y25" i="11"/>
  <c r="X25" i="11"/>
  <c r="W25" i="11"/>
  <c r="V25" i="11"/>
  <c r="U25" i="11"/>
  <c r="T25" i="11"/>
  <c r="AA24" i="11"/>
  <c r="Z24" i="11"/>
  <c r="Y24" i="11"/>
  <c r="X24" i="11"/>
  <c r="W24" i="11"/>
  <c r="V24" i="11"/>
  <c r="U24" i="11"/>
  <c r="T24" i="11"/>
  <c r="AA23" i="11"/>
  <c r="Z23" i="11"/>
  <c r="Y23" i="11"/>
  <c r="X23" i="11"/>
  <c r="W23" i="11"/>
  <c r="V23" i="11"/>
  <c r="U23" i="11"/>
  <c r="T23" i="11"/>
  <c r="AA22" i="11"/>
  <c r="Z22" i="11"/>
  <c r="Y22" i="11"/>
  <c r="X22" i="11"/>
  <c r="W22" i="11"/>
  <c r="V22" i="11"/>
  <c r="U22" i="11"/>
  <c r="T22" i="11"/>
  <c r="AA21" i="11"/>
  <c r="Z21" i="11"/>
  <c r="Y21" i="11"/>
  <c r="X21" i="11"/>
  <c r="W21" i="11"/>
  <c r="V21" i="11"/>
  <c r="U21" i="11"/>
  <c r="T21" i="11"/>
  <c r="AA20" i="11"/>
  <c r="Z20" i="11"/>
  <c r="Y20" i="11"/>
  <c r="X20" i="11"/>
  <c r="W20" i="11"/>
  <c r="V20" i="11"/>
  <c r="U20" i="11"/>
  <c r="T20" i="11"/>
  <c r="AA19" i="11"/>
  <c r="Z19" i="11"/>
  <c r="Y19" i="11"/>
  <c r="X19" i="11"/>
  <c r="W19" i="11"/>
  <c r="V19" i="11"/>
  <c r="U19" i="11"/>
  <c r="T19" i="11"/>
  <c r="AA18" i="11"/>
  <c r="Z18" i="11"/>
  <c r="Y18" i="11"/>
  <c r="X18" i="11"/>
  <c r="W18" i="11"/>
  <c r="V18" i="11"/>
  <c r="U18" i="11"/>
  <c r="T18" i="11"/>
  <c r="AA17" i="11"/>
  <c r="Z17" i="11"/>
  <c r="Y17" i="11"/>
  <c r="X17" i="11"/>
  <c r="W17" i="11"/>
  <c r="V17" i="11"/>
  <c r="U17" i="11"/>
  <c r="T17" i="11"/>
  <c r="AA16" i="11"/>
  <c r="Z16" i="11"/>
  <c r="Y16" i="11"/>
  <c r="X16" i="11"/>
  <c r="W16" i="11"/>
  <c r="V16" i="11"/>
  <c r="U16" i="11"/>
  <c r="T16" i="11"/>
  <c r="AA15" i="11"/>
  <c r="Z15" i="11"/>
  <c r="Y15" i="11"/>
  <c r="X15" i="11"/>
  <c r="W15" i="11"/>
  <c r="V15" i="11"/>
  <c r="U15" i="11"/>
  <c r="T15" i="11"/>
  <c r="AA14" i="11"/>
  <c r="Z14" i="11"/>
  <c r="Y14" i="11"/>
  <c r="X14" i="11"/>
  <c r="W14" i="11"/>
  <c r="V14" i="11"/>
  <c r="U14" i="11"/>
  <c r="T14" i="11"/>
  <c r="AA13" i="11"/>
  <c r="Z13" i="11"/>
  <c r="Y13" i="11"/>
  <c r="X13" i="11"/>
  <c r="W13" i="11"/>
  <c r="V13" i="11"/>
  <c r="U13" i="11"/>
  <c r="T13" i="11"/>
  <c r="AA12" i="11"/>
  <c r="Z12" i="11"/>
  <c r="Y12" i="11"/>
  <c r="X12" i="11"/>
  <c r="W12" i="11"/>
  <c r="V12" i="11"/>
  <c r="U12" i="11"/>
  <c r="T12" i="11"/>
  <c r="AA35" i="10"/>
  <c r="Z35" i="10"/>
  <c r="Y35" i="10"/>
  <c r="X35" i="10"/>
  <c r="W35" i="10"/>
  <c r="V35" i="10"/>
  <c r="U35" i="10"/>
  <c r="T35" i="10"/>
  <c r="AA34" i="10"/>
  <c r="Z34" i="10"/>
  <c r="Y34" i="10"/>
  <c r="X34" i="10"/>
  <c r="W34" i="10"/>
  <c r="V34" i="10"/>
  <c r="U34" i="10"/>
  <c r="T34" i="10"/>
  <c r="AA33" i="10"/>
  <c r="Z33" i="10"/>
  <c r="Y33" i="10"/>
  <c r="X33" i="10"/>
  <c r="W33" i="10"/>
  <c r="V33" i="10"/>
  <c r="U33" i="10"/>
  <c r="T33" i="10"/>
  <c r="AA32" i="10"/>
  <c r="Z32" i="10"/>
  <c r="Y32" i="10"/>
  <c r="X32" i="10"/>
  <c r="W32" i="10"/>
  <c r="V32" i="10"/>
  <c r="U32" i="10"/>
  <c r="T32" i="10"/>
  <c r="AA31" i="10"/>
  <c r="Z31" i="10"/>
  <c r="Y31" i="10"/>
  <c r="X31" i="10"/>
  <c r="W31" i="10"/>
  <c r="V31" i="10"/>
  <c r="U31" i="10"/>
  <c r="T31" i="10"/>
  <c r="AA30" i="10"/>
  <c r="Z30" i="10"/>
  <c r="Y30" i="10"/>
  <c r="X30" i="10"/>
  <c r="W30" i="10"/>
  <c r="V30" i="10"/>
  <c r="U30" i="10"/>
  <c r="T30" i="10"/>
  <c r="AA29" i="10"/>
  <c r="Z29" i="10"/>
  <c r="Y29" i="10"/>
  <c r="X29" i="10"/>
  <c r="W29" i="10"/>
  <c r="V29" i="10"/>
  <c r="U29" i="10"/>
  <c r="T29" i="10"/>
  <c r="AA28" i="10"/>
  <c r="Z28" i="10"/>
  <c r="Y28" i="10"/>
  <c r="X28" i="10"/>
  <c r="W28" i="10"/>
  <c r="V28" i="10"/>
  <c r="U28" i="10"/>
  <c r="T28" i="10"/>
  <c r="AA27" i="10"/>
  <c r="Z27" i="10"/>
  <c r="Y27" i="10"/>
  <c r="X27" i="10"/>
  <c r="W27" i="10"/>
  <c r="V27" i="10"/>
  <c r="U27" i="10"/>
  <c r="T27" i="10"/>
  <c r="AA26" i="10"/>
  <c r="Z26" i="10"/>
  <c r="Y26" i="10"/>
  <c r="X26" i="10"/>
  <c r="W26" i="10"/>
  <c r="V26" i="10"/>
  <c r="U26" i="10"/>
  <c r="T26" i="10"/>
  <c r="AA25" i="10"/>
  <c r="Z25" i="10"/>
  <c r="Y25" i="10"/>
  <c r="X25" i="10"/>
  <c r="W25" i="10"/>
  <c r="V25" i="10"/>
  <c r="U25" i="10"/>
  <c r="T25" i="10"/>
  <c r="AA24" i="10"/>
  <c r="Z24" i="10"/>
  <c r="Y24" i="10"/>
  <c r="X24" i="10"/>
  <c r="W24" i="10"/>
  <c r="V24" i="10"/>
  <c r="U24" i="10"/>
  <c r="T24" i="10"/>
  <c r="AA23" i="10"/>
  <c r="Z23" i="10"/>
  <c r="Y23" i="10"/>
  <c r="X23" i="10"/>
  <c r="W23" i="10"/>
  <c r="V23" i="10"/>
  <c r="U23" i="10"/>
  <c r="T23" i="10"/>
  <c r="AA22" i="10"/>
  <c r="Z22" i="10"/>
  <c r="Y22" i="10"/>
  <c r="X22" i="10"/>
  <c r="W22" i="10"/>
  <c r="V22" i="10"/>
  <c r="U22" i="10"/>
  <c r="T22" i="10"/>
  <c r="AA21" i="10"/>
  <c r="Z21" i="10"/>
  <c r="Y21" i="10"/>
  <c r="X21" i="10"/>
  <c r="W21" i="10"/>
  <c r="V21" i="10"/>
  <c r="U21" i="10"/>
  <c r="T21" i="10"/>
  <c r="AA20" i="10"/>
  <c r="Z20" i="10"/>
  <c r="Y20" i="10"/>
  <c r="X20" i="10"/>
  <c r="W20" i="10"/>
  <c r="V20" i="10"/>
  <c r="U20" i="10"/>
  <c r="T20" i="10"/>
  <c r="AA19" i="10"/>
  <c r="Z19" i="10"/>
  <c r="Y19" i="10"/>
  <c r="X19" i="10"/>
  <c r="W19" i="10"/>
  <c r="V19" i="10"/>
  <c r="U19" i="10"/>
  <c r="T19" i="10"/>
  <c r="AA18" i="10"/>
  <c r="Z18" i="10"/>
  <c r="Y18" i="10"/>
  <c r="X18" i="10"/>
  <c r="W18" i="10"/>
  <c r="V18" i="10"/>
  <c r="U18" i="10"/>
  <c r="T18" i="10"/>
  <c r="AA17" i="10"/>
  <c r="Z17" i="10"/>
  <c r="Y17" i="10"/>
  <c r="X17" i="10"/>
  <c r="W17" i="10"/>
  <c r="V17" i="10"/>
  <c r="U17" i="10"/>
  <c r="T17" i="10"/>
  <c r="AA16" i="10"/>
  <c r="Z16" i="10"/>
  <c r="Y16" i="10"/>
  <c r="X16" i="10"/>
  <c r="W16" i="10"/>
  <c r="V16" i="10"/>
  <c r="U16" i="10"/>
  <c r="T16" i="10"/>
  <c r="AA15" i="10"/>
  <c r="Z15" i="10"/>
  <c r="Y15" i="10"/>
  <c r="X15" i="10"/>
  <c r="W15" i="10"/>
  <c r="V15" i="10"/>
  <c r="U15" i="10"/>
  <c r="T15" i="10"/>
  <c r="AA14" i="10"/>
  <c r="Z14" i="10"/>
  <c r="Y14" i="10"/>
  <c r="X14" i="10"/>
  <c r="W14" i="10"/>
  <c r="V14" i="10"/>
  <c r="U14" i="10"/>
  <c r="T14" i="10"/>
  <c r="AA13" i="10"/>
  <c r="Z13" i="10"/>
  <c r="Y13" i="10"/>
  <c r="X13" i="10"/>
  <c r="W13" i="10"/>
  <c r="V13" i="10"/>
  <c r="U13" i="10"/>
  <c r="T13" i="10"/>
  <c r="AA12" i="10"/>
  <c r="Z12" i="10"/>
  <c r="Y12" i="10"/>
  <c r="X12" i="10"/>
  <c r="W12" i="10"/>
  <c r="V12" i="10"/>
  <c r="U12" i="10"/>
  <c r="T12" i="10"/>
  <c r="AA12" i="2"/>
  <c r="AB32" i="10" l="1"/>
  <c r="AB35" i="10"/>
  <c r="AB20" i="11"/>
  <c r="AB23" i="11"/>
  <c r="AB35" i="11"/>
  <c r="AB17" i="12"/>
  <c r="AB29" i="12"/>
  <c r="AB22" i="12"/>
  <c r="AB34" i="12"/>
  <c r="AB16" i="12"/>
  <c r="AB19" i="12"/>
  <c r="AB28" i="12"/>
  <c r="AB31" i="12"/>
  <c r="AB12" i="12"/>
  <c r="AB15" i="12"/>
  <c r="AB24" i="12"/>
  <c r="AB27" i="12"/>
  <c r="AB21" i="12"/>
  <c r="AB33" i="12"/>
  <c r="AB20" i="12"/>
  <c r="AB23" i="12"/>
  <c r="AB32" i="12"/>
  <c r="AB35" i="12"/>
  <c r="AB18" i="12"/>
  <c r="AB30" i="12"/>
  <c r="AB14" i="12"/>
  <c r="AB26" i="12"/>
  <c r="AB13" i="12"/>
  <c r="AB25" i="12"/>
  <c r="AB22" i="11"/>
  <c r="AB34" i="11"/>
  <c r="AB16" i="11"/>
  <c r="AB19" i="11"/>
  <c r="AB28" i="11"/>
  <c r="AB31" i="11"/>
  <c r="AB32" i="11"/>
  <c r="AB21" i="11"/>
  <c r="AB33" i="11"/>
  <c r="AB18" i="11"/>
  <c r="AB30" i="11"/>
  <c r="AB17" i="11"/>
  <c r="AB29" i="11"/>
  <c r="AB14" i="11"/>
  <c r="AB26" i="11"/>
  <c r="AB13" i="11"/>
  <c r="AB25" i="11"/>
  <c r="AB12" i="11"/>
  <c r="AB15" i="11"/>
  <c r="AB24" i="11"/>
  <c r="AB27" i="11"/>
  <c r="AB27" i="10"/>
  <c r="AB23" i="10"/>
  <c r="AB16" i="10"/>
  <c r="AB19" i="10"/>
  <c r="AB28" i="10"/>
  <c r="AB31" i="10"/>
  <c r="AB30" i="10"/>
  <c r="AB12" i="10"/>
  <c r="AB15" i="10"/>
  <c r="AB24" i="10"/>
  <c r="AB20" i="10"/>
  <c r="AB14" i="10"/>
  <c r="AB26" i="10"/>
  <c r="AB25" i="10"/>
  <c r="AB18" i="10"/>
  <c r="AB34" i="10"/>
  <c r="AB17" i="10"/>
  <c r="AB33" i="10"/>
  <c r="AB22" i="10"/>
  <c r="AB29" i="10"/>
  <c r="AB13" i="10"/>
  <c r="AB21" i="10"/>
  <c r="AA14" i="2"/>
  <c r="AA13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5" i="6" l="1"/>
  <c r="Z35" i="6"/>
  <c r="Y35" i="6"/>
  <c r="X35" i="6"/>
  <c r="W35" i="6"/>
  <c r="V35" i="6"/>
  <c r="U35" i="6"/>
  <c r="T35" i="6"/>
  <c r="AA34" i="6"/>
  <c r="Z34" i="6"/>
  <c r="Y34" i="6"/>
  <c r="X34" i="6"/>
  <c r="W34" i="6"/>
  <c r="V34" i="6"/>
  <c r="U34" i="6"/>
  <c r="T34" i="6"/>
  <c r="AA33" i="6"/>
  <c r="Z33" i="6"/>
  <c r="Y33" i="6"/>
  <c r="X33" i="6"/>
  <c r="W33" i="6"/>
  <c r="V33" i="6"/>
  <c r="U33" i="6"/>
  <c r="T33" i="6"/>
  <c r="AA32" i="6"/>
  <c r="Z32" i="6"/>
  <c r="Y32" i="6"/>
  <c r="X32" i="6"/>
  <c r="W32" i="6"/>
  <c r="V32" i="6"/>
  <c r="U32" i="6"/>
  <c r="T32" i="6"/>
  <c r="AA31" i="6"/>
  <c r="Z31" i="6"/>
  <c r="Y31" i="6"/>
  <c r="X31" i="6"/>
  <c r="W31" i="6"/>
  <c r="V31" i="6"/>
  <c r="U31" i="6"/>
  <c r="T31" i="6"/>
  <c r="AA30" i="6"/>
  <c r="Z30" i="6"/>
  <c r="Y30" i="6"/>
  <c r="X30" i="6"/>
  <c r="W30" i="6"/>
  <c r="V30" i="6"/>
  <c r="U30" i="6"/>
  <c r="T30" i="6"/>
  <c r="AA29" i="6"/>
  <c r="Z29" i="6"/>
  <c r="Y29" i="6"/>
  <c r="X29" i="6"/>
  <c r="W29" i="6"/>
  <c r="V29" i="6"/>
  <c r="U29" i="6"/>
  <c r="T29" i="6"/>
  <c r="AA28" i="6"/>
  <c r="Z28" i="6"/>
  <c r="Y28" i="6"/>
  <c r="X28" i="6"/>
  <c r="W28" i="6"/>
  <c r="V28" i="6"/>
  <c r="U28" i="6"/>
  <c r="T28" i="6"/>
  <c r="AA27" i="6"/>
  <c r="Z27" i="6"/>
  <c r="Y27" i="6"/>
  <c r="X27" i="6"/>
  <c r="W27" i="6"/>
  <c r="V27" i="6"/>
  <c r="U27" i="6"/>
  <c r="T27" i="6"/>
  <c r="AA26" i="6"/>
  <c r="Z26" i="6"/>
  <c r="Y26" i="6"/>
  <c r="X26" i="6"/>
  <c r="W26" i="6"/>
  <c r="V26" i="6"/>
  <c r="U26" i="6"/>
  <c r="T26" i="6"/>
  <c r="AA25" i="6"/>
  <c r="Z25" i="6"/>
  <c r="Y25" i="6"/>
  <c r="X25" i="6"/>
  <c r="W25" i="6"/>
  <c r="V25" i="6"/>
  <c r="U25" i="6"/>
  <c r="T25" i="6"/>
  <c r="AA24" i="6"/>
  <c r="Z24" i="6"/>
  <c r="Y24" i="6"/>
  <c r="X24" i="6"/>
  <c r="W24" i="6"/>
  <c r="V24" i="6"/>
  <c r="U24" i="6"/>
  <c r="T24" i="6"/>
  <c r="AA23" i="6"/>
  <c r="Z23" i="6"/>
  <c r="Y23" i="6"/>
  <c r="X23" i="6"/>
  <c r="W23" i="6"/>
  <c r="V23" i="6"/>
  <c r="U23" i="6"/>
  <c r="T23" i="6"/>
  <c r="AA22" i="6"/>
  <c r="Z22" i="6"/>
  <c r="Y22" i="6"/>
  <c r="X22" i="6"/>
  <c r="W22" i="6"/>
  <c r="V22" i="6"/>
  <c r="U22" i="6"/>
  <c r="T22" i="6"/>
  <c r="AA21" i="6"/>
  <c r="Z21" i="6"/>
  <c r="Y21" i="6"/>
  <c r="X21" i="6"/>
  <c r="W21" i="6"/>
  <c r="V21" i="6"/>
  <c r="U21" i="6"/>
  <c r="T21" i="6"/>
  <c r="AA20" i="6"/>
  <c r="Z20" i="6"/>
  <c r="Y20" i="6"/>
  <c r="X20" i="6"/>
  <c r="W20" i="6"/>
  <c r="V20" i="6"/>
  <c r="U20" i="6"/>
  <c r="T20" i="6"/>
  <c r="AA19" i="6"/>
  <c r="Z19" i="6"/>
  <c r="Y19" i="6"/>
  <c r="X19" i="6"/>
  <c r="W19" i="6"/>
  <c r="V19" i="6"/>
  <c r="U19" i="6"/>
  <c r="T19" i="6"/>
  <c r="AA18" i="6"/>
  <c r="Z18" i="6"/>
  <c r="Y18" i="6"/>
  <c r="X18" i="6"/>
  <c r="W18" i="6"/>
  <c r="V18" i="6"/>
  <c r="U18" i="6"/>
  <c r="T18" i="6"/>
  <c r="AA17" i="6"/>
  <c r="Z17" i="6"/>
  <c r="Y17" i="6"/>
  <c r="X17" i="6"/>
  <c r="W17" i="6"/>
  <c r="V17" i="6"/>
  <c r="U17" i="6"/>
  <c r="T17" i="6"/>
  <c r="AA16" i="6"/>
  <c r="Z16" i="6"/>
  <c r="Y16" i="6"/>
  <c r="X16" i="6"/>
  <c r="W16" i="6"/>
  <c r="V16" i="6"/>
  <c r="U16" i="6"/>
  <c r="T16" i="6"/>
  <c r="AA15" i="6"/>
  <c r="Z15" i="6"/>
  <c r="Y15" i="6"/>
  <c r="X15" i="6"/>
  <c r="W15" i="6"/>
  <c r="V15" i="6"/>
  <c r="U15" i="6"/>
  <c r="T15" i="6"/>
  <c r="AA14" i="6"/>
  <c r="Z14" i="6"/>
  <c r="Y14" i="6"/>
  <c r="X14" i="6"/>
  <c r="W14" i="6"/>
  <c r="V14" i="6"/>
  <c r="U14" i="6"/>
  <c r="T14" i="6"/>
  <c r="AA13" i="6"/>
  <c r="Z13" i="6"/>
  <c r="Y13" i="6"/>
  <c r="X13" i="6"/>
  <c r="W13" i="6"/>
  <c r="V13" i="6"/>
  <c r="U13" i="6"/>
  <c r="T13" i="6"/>
  <c r="AA12" i="6"/>
  <c r="Z12" i="6"/>
  <c r="Y12" i="6"/>
  <c r="X12" i="6"/>
  <c r="W12" i="6"/>
  <c r="V12" i="6"/>
  <c r="U12" i="6"/>
  <c r="T12" i="6"/>
  <c r="AA35" i="5"/>
  <c r="Z35" i="5"/>
  <c r="Y35" i="5"/>
  <c r="X35" i="5"/>
  <c r="W35" i="5"/>
  <c r="V35" i="5"/>
  <c r="U35" i="5"/>
  <c r="T35" i="5"/>
  <c r="AA34" i="5"/>
  <c r="Z34" i="5"/>
  <c r="Y34" i="5"/>
  <c r="X34" i="5"/>
  <c r="W34" i="5"/>
  <c r="V34" i="5"/>
  <c r="U34" i="5"/>
  <c r="T34" i="5"/>
  <c r="AA33" i="5"/>
  <c r="Z33" i="5"/>
  <c r="Y33" i="5"/>
  <c r="X33" i="5"/>
  <c r="W33" i="5"/>
  <c r="V33" i="5"/>
  <c r="U33" i="5"/>
  <c r="T33" i="5"/>
  <c r="AA32" i="5"/>
  <c r="Z32" i="5"/>
  <c r="Y32" i="5"/>
  <c r="X32" i="5"/>
  <c r="W32" i="5"/>
  <c r="V32" i="5"/>
  <c r="U32" i="5"/>
  <c r="T32" i="5"/>
  <c r="AA31" i="5"/>
  <c r="Z31" i="5"/>
  <c r="Y31" i="5"/>
  <c r="X31" i="5"/>
  <c r="W31" i="5"/>
  <c r="V31" i="5"/>
  <c r="U31" i="5"/>
  <c r="T31" i="5"/>
  <c r="AA30" i="5"/>
  <c r="Z30" i="5"/>
  <c r="Y30" i="5"/>
  <c r="X30" i="5"/>
  <c r="W30" i="5"/>
  <c r="V30" i="5"/>
  <c r="U30" i="5"/>
  <c r="T30" i="5"/>
  <c r="AA29" i="5"/>
  <c r="Z29" i="5"/>
  <c r="Y29" i="5"/>
  <c r="X29" i="5"/>
  <c r="W29" i="5"/>
  <c r="V29" i="5"/>
  <c r="U29" i="5"/>
  <c r="T29" i="5"/>
  <c r="AA28" i="5"/>
  <c r="Z28" i="5"/>
  <c r="Y28" i="5"/>
  <c r="X28" i="5"/>
  <c r="W28" i="5"/>
  <c r="V28" i="5"/>
  <c r="U28" i="5"/>
  <c r="T28" i="5"/>
  <c r="AA27" i="5"/>
  <c r="Z27" i="5"/>
  <c r="Y27" i="5"/>
  <c r="X27" i="5"/>
  <c r="W27" i="5"/>
  <c r="V27" i="5"/>
  <c r="U27" i="5"/>
  <c r="T27" i="5"/>
  <c r="AA26" i="5"/>
  <c r="Z26" i="5"/>
  <c r="Y26" i="5"/>
  <c r="X26" i="5"/>
  <c r="W26" i="5"/>
  <c r="V26" i="5"/>
  <c r="U26" i="5"/>
  <c r="T26" i="5"/>
  <c r="AA25" i="5"/>
  <c r="Z25" i="5"/>
  <c r="Y25" i="5"/>
  <c r="X25" i="5"/>
  <c r="W25" i="5"/>
  <c r="V25" i="5"/>
  <c r="U25" i="5"/>
  <c r="T25" i="5"/>
  <c r="AA24" i="5"/>
  <c r="Z24" i="5"/>
  <c r="Y24" i="5"/>
  <c r="X24" i="5"/>
  <c r="W24" i="5"/>
  <c r="V24" i="5"/>
  <c r="U24" i="5"/>
  <c r="T24" i="5"/>
  <c r="AA23" i="5"/>
  <c r="Z23" i="5"/>
  <c r="Y23" i="5"/>
  <c r="X23" i="5"/>
  <c r="W23" i="5"/>
  <c r="V23" i="5"/>
  <c r="U23" i="5"/>
  <c r="T23" i="5"/>
  <c r="AA22" i="5"/>
  <c r="Z22" i="5"/>
  <c r="Y22" i="5"/>
  <c r="X22" i="5"/>
  <c r="W22" i="5"/>
  <c r="V22" i="5"/>
  <c r="U22" i="5"/>
  <c r="T22" i="5"/>
  <c r="AA21" i="5"/>
  <c r="Z21" i="5"/>
  <c r="Y21" i="5"/>
  <c r="X21" i="5"/>
  <c r="W21" i="5"/>
  <c r="V21" i="5"/>
  <c r="U21" i="5"/>
  <c r="T21" i="5"/>
  <c r="AA20" i="5"/>
  <c r="Z20" i="5"/>
  <c r="Y20" i="5"/>
  <c r="X20" i="5"/>
  <c r="W20" i="5"/>
  <c r="V20" i="5"/>
  <c r="U20" i="5"/>
  <c r="T20" i="5"/>
  <c r="AA19" i="5"/>
  <c r="Z19" i="5"/>
  <c r="Y19" i="5"/>
  <c r="X19" i="5"/>
  <c r="W19" i="5"/>
  <c r="V19" i="5"/>
  <c r="U19" i="5"/>
  <c r="T19" i="5"/>
  <c r="AA18" i="5"/>
  <c r="Z18" i="5"/>
  <c r="Y18" i="5"/>
  <c r="X18" i="5"/>
  <c r="W18" i="5"/>
  <c r="V18" i="5"/>
  <c r="U18" i="5"/>
  <c r="T18" i="5"/>
  <c r="AA17" i="5"/>
  <c r="Z17" i="5"/>
  <c r="Y17" i="5"/>
  <c r="X17" i="5"/>
  <c r="W17" i="5"/>
  <c r="V17" i="5"/>
  <c r="U17" i="5"/>
  <c r="T17" i="5"/>
  <c r="AA16" i="5"/>
  <c r="Z16" i="5"/>
  <c r="Y16" i="5"/>
  <c r="X16" i="5"/>
  <c r="W16" i="5"/>
  <c r="V16" i="5"/>
  <c r="U16" i="5"/>
  <c r="T16" i="5"/>
  <c r="AA15" i="5"/>
  <c r="Z15" i="5"/>
  <c r="Y15" i="5"/>
  <c r="X15" i="5"/>
  <c r="W15" i="5"/>
  <c r="V15" i="5"/>
  <c r="U15" i="5"/>
  <c r="T15" i="5"/>
  <c r="AA14" i="5"/>
  <c r="Z14" i="5"/>
  <c r="Y14" i="5"/>
  <c r="X14" i="5"/>
  <c r="W14" i="5"/>
  <c r="V14" i="5"/>
  <c r="U14" i="5"/>
  <c r="T14" i="5"/>
  <c r="AA13" i="5"/>
  <c r="Z13" i="5"/>
  <c r="Y13" i="5"/>
  <c r="X13" i="5"/>
  <c r="W13" i="5"/>
  <c r="V13" i="5"/>
  <c r="U13" i="5"/>
  <c r="T13" i="5"/>
  <c r="AA12" i="5"/>
  <c r="Z12" i="5"/>
  <c r="Y12" i="5"/>
  <c r="X12" i="5"/>
  <c r="W12" i="5"/>
  <c r="V12" i="5"/>
  <c r="U12" i="5"/>
  <c r="T12" i="5"/>
  <c r="Z35" i="2" l="1"/>
  <c r="Y35" i="2"/>
  <c r="X35" i="2"/>
  <c r="W35" i="2"/>
  <c r="V35" i="2"/>
  <c r="U35" i="2"/>
  <c r="T35" i="2"/>
  <c r="Z34" i="2"/>
  <c r="Y34" i="2"/>
  <c r="X34" i="2"/>
  <c r="W34" i="2"/>
  <c r="V34" i="2"/>
  <c r="U34" i="2"/>
  <c r="T34" i="2"/>
  <c r="Z33" i="2"/>
  <c r="Y33" i="2"/>
  <c r="X33" i="2"/>
  <c r="W33" i="2"/>
  <c r="V33" i="2"/>
  <c r="U33" i="2"/>
  <c r="T33" i="2"/>
  <c r="Z32" i="2"/>
  <c r="Y32" i="2"/>
  <c r="X32" i="2"/>
  <c r="W32" i="2"/>
  <c r="V32" i="2"/>
  <c r="U32" i="2"/>
  <c r="T32" i="2"/>
  <c r="Z31" i="2"/>
  <c r="Y31" i="2"/>
  <c r="X31" i="2"/>
  <c r="W31" i="2"/>
  <c r="V31" i="2"/>
  <c r="U31" i="2"/>
  <c r="T31" i="2"/>
  <c r="Z30" i="2"/>
  <c r="Y30" i="2"/>
  <c r="X30" i="2"/>
  <c r="W30" i="2"/>
  <c r="V30" i="2"/>
  <c r="U30" i="2"/>
  <c r="T30" i="2"/>
  <c r="Z29" i="2"/>
  <c r="Y29" i="2"/>
  <c r="X29" i="2"/>
  <c r="W29" i="2"/>
  <c r="V29" i="2"/>
  <c r="U29" i="2"/>
  <c r="T29" i="2"/>
  <c r="Z28" i="2"/>
  <c r="Y28" i="2"/>
  <c r="X28" i="2"/>
  <c r="W28" i="2"/>
  <c r="V28" i="2"/>
  <c r="U28" i="2"/>
  <c r="T28" i="2"/>
  <c r="Z27" i="2"/>
  <c r="Y27" i="2"/>
  <c r="X27" i="2"/>
  <c r="W27" i="2"/>
  <c r="V27" i="2"/>
  <c r="U27" i="2"/>
  <c r="T27" i="2"/>
  <c r="Z26" i="2"/>
  <c r="Y26" i="2"/>
  <c r="X26" i="2"/>
  <c r="W26" i="2"/>
  <c r="V26" i="2"/>
  <c r="U26" i="2"/>
  <c r="T26" i="2"/>
  <c r="Z25" i="2"/>
  <c r="Y25" i="2"/>
  <c r="X25" i="2"/>
  <c r="W25" i="2"/>
  <c r="V25" i="2"/>
  <c r="U25" i="2"/>
  <c r="T25" i="2"/>
  <c r="Z24" i="2"/>
  <c r="Y24" i="2"/>
  <c r="X24" i="2"/>
  <c r="W24" i="2"/>
  <c r="V24" i="2"/>
  <c r="U24" i="2"/>
  <c r="T24" i="2"/>
  <c r="Z23" i="2"/>
  <c r="Y23" i="2"/>
  <c r="X23" i="2"/>
  <c r="W23" i="2"/>
  <c r="V23" i="2"/>
  <c r="U23" i="2"/>
  <c r="T23" i="2"/>
  <c r="Z22" i="2"/>
  <c r="Y22" i="2"/>
  <c r="X22" i="2"/>
  <c r="W22" i="2"/>
  <c r="V22" i="2"/>
  <c r="U22" i="2"/>
  <c r="T22" i="2"/>
  <c r="Z21" i="2"/>
  <c r="Y21" i="2"/>
  <c r="X21" i="2"/>
  <c r="W21" i="2"/>
  <c r="V21" i="2"/>
  <c r="U21" i="2"/>
  <c r="T21" i="2"/>
  <c r="Z20" i="2"/>
  <c r="Y20" i="2"/>
  <c r="X20" i="2"/>
  <c r="W20" i="2"/>
  <c r="V20" i="2"/>
  <c r="U20" i="2"/>
  <c r="T20" i="2"/>
  <c r="Z19" i="2"/>
  <c r="Y19" i="2"/>
  <c r="X19" i="2"/>
  <c r="W19" i="2"/>
  <c r="V19" i="2"/>
  <c r="U19" i="2"/>
  <c r="T19" i="2"/>
  <c r="Z18" i="2"/>
  <c r="Y18" i="2"/>
  <c r="X18" i="2"/>
  <c r="W18" i="2"/>
  <c r="V18" i="2"/>
  <c r="U18" i="2"/>
  <c r="T18" i="2"/>
  <c r="Z17" i="2"/>
  <c r="Y17" i="2"/>
  <c r="X17" i="2"/>
  <c r="W17" i="2"/>
  <c r="V17" i="2"/>
  <c r="U17" i="2"/>
  <c r="T17" i="2"/>
  <c r="Z16" i="2"/>
  <c r="Y16" i="2"/>
  <c r="X16" i="2"/>
  <c r="W16" i="2"/>
  <c r="V16" i="2"/>
  <c r="U16" i="2"/>
  <c r="T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T14" i="2"/>
  <c r="Z13" i="2"/>
  <c r="Y13" i="2"/>
  <c r="X13" i="2"/>
  <c r="W13" i="2"/>
  <c r="V13" i="2"/>
  <c r="U13" i="2"/>
  <c r="T13" i="2"/>
  <c r="Z12" i="2"/>
  <c r="Y12" i="2"/>
  <c r="X12" i="2"/>
  <c r="W12" i="2"/>
  <c r="V12" i="2"/>
  <c r="U12" i="2"/>
  <c r="T12" i="2"/>
  <c r="AB16" i="2" l="1"/>
  <c r="AB28" i="2"/>
  <c r="AB26" i="2"/>
  <c r="AB31" i="2"/>
  <c r="AB23" i="2"/>
  <c r="AB21" i="2"/>
  <c r="AB33" i="2"/>
  <c r="AB19" i="2"/>
  <c r="AB14" i="2"/>
  <c r="AB18" i="2"/>
  <c r="AB35" i="2"/>
  <c r="AB30" i="2"/>
  <c r="AB15" i="2"/>
  <c r="AB24" i="2"/>
  <c r="AB13" i="2"/>
  <c r="AB25" i="2"/>
  <c r="AB27" i="2"/>
  <c r="AB22" i="2"/>
  <c r="AB34" i="2"/>
  <c r="AB20" i="2"/>
  <c r="AB32" i="2"/>
  <c r="AB17" i="2"/>
  <c r="AB29" i="2"/>
  <c r="AB12" i="2"/>
</calcChain>
</file>

<file path=xl/sharedStrings.xml><?xml version="1.0" encoding="utf-8"?>
<sst xmlns="http://schemas.openxmlformats.org/spreadsheetml/2006/main" count="473" uniqueCount="83">
  <si>
    <t>FECHA INICIO</t>
  </si>
  <si>
    <t>FECHA FINAL</t>
  </si>
  <si>
    <t xml:space="preserve">ESTACION </t>
  </si>
  <si>
    <t>SERIAL DAVIS</t>
  </si>
  <si>
    <t>CA2</t>
  </si>
  <si>
    <t>BF230419006</t>
  </si>
  <si>
    <t>K2 INGENIERIA S.A.S</t>
  </si>
  <si>
    <t>Versión 02
18/08/2022
FOA802-13</t>
  </si>
  <si>
    <t>FORMATO DE COMPROBACION DE ESTACIÓN METEOROLÓGICA</t>
  </si>
  <si>
    <t>Téc. Metrólogo:</t>
  </si>
  <si>
    <t>Estación Meteorológica</t>
  </si>
  <si>
    <t>Marca</t>
  </si>
  <si>
    <t>Modelo</t>
  </si>
  <si>
    <t>Serie / 
Cod. Inventario</t>
  </si>
  <si>
    <t>Téc. Responsable:</t>
  </si>
  <si>
    <t>Equipo Patrón</t>
  </si>
  <si>
    <t>Supervisor:</t>
  </si>
  <si>
    <t>Equipo en comprobación</t>
  </si>
  <si>
    <t>Fecha</t>
  </si>
  <si>
    <t>Hora</t>
  </si>
  <si>
    <t>ESTACIÓN PATRÓN</t>
  </si>
  <si>
    <t>ESTACIÓN INTERCOMPARADA</t>
  </si>
  <si>
    <t>%Error Max. Asociado</t>
  </si>
  <si>
    <t>Cumplimiento</t>
  </si>
  <si>
    <t>Temp. Out</t>
  </si>
  <si>
    <t>H. Out</t>
  </si>
  <si>
    <t>P. Bar</t>
  </si>
  <si>
    <t>Dir.
Viento</t>
  </si>
  <si>
    <t>V. Viento</t>
  </si>
  <si>
    <t>Rad
Solar</t>
  </si>
  <si>
    <t>Uv
Index</t>
  </si>
  <si>
    <t>Precipitación</t>
  </si>
  <si>
    <t>Temp. Out R</t>
  </si>
  <si>
    <t>Uv.
Index</t>
  </si>
  <si>
    <t>Temp.    
Out 
&lt; 0.5°C</t>
  </si>
  <si>
    <t>H. Out
&lt; 5%</t>
  </si>
  <si>
    <t>P. Bar
&lt; 1 mm Hg</t>
  </si>
  <si>
    <t>Dir.
Viento
&lt; 22.5°</t>
  </si>
  <si>
    <t>V. Viento
&lt; 1 m/s</t>
  </si>
  <si>
    <t>Rad
Solar
&lt; 90</t>
  </si>
  <si>
    <t>Uv
Index.
&lt; 0.8</t>
  </si>
  <si>
    <t>Precipitación
&lt; 5%</t>
  </si>
  <si>
    <t>Fecha de Emisión:</t>
  </si>
  <si>
    <t>Trazabilidad:</t>
  </si>
  <si>
    <t>El equipo patrón utilizado tiene trazabilidad NIST fecha de calibracion</t>
  </si>
  <si>
    <t>Método empleado:</t>
  </si>
  <si>
    <t>Comparación directa.</t>
  </si>
  <si>
    <t>Conclusiones</t>
  </si>
  <si>
    <t>Los resultados de la intercomparación comprueban que los instrumentos trabajan dentro de los márgenes permitidos, siendo producto de 24 muestras con intervalo de 1 Hora.</t>
  </si>
  <si>
    <t>Variables analizadas:</t>
  </si>
  <si>
    <t>Temperatura, Humedad, Presión Barométrica, Dir viento, Vel viento, Radiación solar, Uv, Precipitación.</t>
  </si>
  <si>
    <r>
      <rPr>
        <b/>
        <sz val="16"/>
        <color theme="1"/>
        <rFont val="Aptos Narrow"/>
        <family val="2"/>
        <scheme val="minor"/>
      </rPr>
      <t>Versión 03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2024-06-04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6"/>
        <color theme="1"/>
        <rFont val="Aptos Narrow"/>
        <family val="2"/>
        <scheme val="minor"/>
      </rPr>
      <t>FOA802-13</t>
    </r>
  </si>
  <si>
    <t>serie / 
Cod. Inventario</t>
  </si>
  <si>
    <t>Error Max. Asociado</t>
  </si>
  <si>
    <t>NW</t>
  </si>
  <si>
    <t>NNW</t>
  </si>
  <si>
    <t>N</t>
  </si>
  <si>
    <t>NN</t>
  </si>
  <si>
    <t>NNE</t>
  </si>
  <si>
    <t>NE</t>
  </si>
  <si>
    <t>ESE</t>
  </si>
  <si>
    <t>SE</t>
  </si>
  <si>
    <t>S</t>
  </si>
  <si>
    <t>SSE</t>
  </si>
  <si>
    <t>WSW</t>
  </si>
  <si>
    <t>WNW</t>
  </si>
  <si>
    <t>CA4</t>
  </si>
  <si>
    <t>BF202313009</t>
  </si>
  <si>
    <t>CONTROL DE CAMBIOS</t>
  </si>
  <si>
    <t>FECHA</t>
  </si>
  <si>
    <t>VERSION</t>
  </si>
  <si>
    <t>CAMBIOS</t>
  </si>
  <si>
    <t>Emisión inicial</t>
  </si>
  <si>
    <t>Revisión general</t>
  </si>
  <si>
    <t>Revisión general. Cambio de logo y formato fecha aaaa-mm-dd</t>
  </si>
  <si>
    <t>El equipo patrón utilizado tiene trazabilidad NIST fecha de calibración.</t>
  </si>
  <si>
    <t>Davis</t>
  </si>
  <si>
    <t>Equipo de Comprobación</t>
  </si>
  <si>
    <t>DULLYS ALBERTO DITA MEDINA</t>
  </si>
  <si>
    <t>ALEXANDER DIAZ HERRERA</t>
  </si>
  <si>
    <t>LEONARDO PÉREZ DÍAZ</t>
  </si>
  <si>
    <t>BH240808013</t>
  </si>
  <si>
    <t xml:space="preserve"> 6313U22500200873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</si>
</sst>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[$-240A]hh:mm:ss\ AM/PM;@"/>
    <numFmt numFmtId="167" formatCode="[$-F800]dddd\,\ mmmm\ dd\,\ yyyy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242424"/>
      <name val="Aptos Narrow"/>
      <family val="2"/>
    </font>
    <font>
      <sz val="11"/>
      <color theme="1"/>
      <name val="Bai Jamjuree Medium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B47F"/>
        <bgColor indexed="64"/>
      </patternFill>
    </fill>
    <fill>
      <patternFill patternType="solid">
        <fgColor rgb="FFE4DE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14" fontId="0" fillId="0" borderId="1" xfId="0" applyNumberFormat="1" applyBorder="1"/>
    <xf numFmtId="18" fontId="0" fillId="0" borderId="26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8" borderId="14" xfId="0" applyFill="1" applyBorder="1"/>
    <xf numFmtId="0" fontId="0" fillId="8" borderId="0" xfId="0" applyFill="1"/>
    <xf numFmtId="0" fontId="0" fillId="8" borderId="51" xfId="0" applyFill="1" applyBorder="1"/>
    <xf numFmtId="0" fontId="0" fillId="9" borderId="30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42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8" fontId="0" fillId="0" borderId="3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4" fillId="0" borderId="60" xfId="0" applyFont="1" applyBorder="1" applyAlignment="1">
      <alignment horizontal="center"/>
    </xf>
    <xf numFmtId="18" fontId="0" fillId="0" borderId="2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59" xfId="0" applyFont="1" applyBorder="1" applyAlignment="1">
      <alignment horizontal="center"/>
    </xf>
    <xf numFmtId="14" fontId="0" fillId="12" borderId="2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/>
    </xf>
    <xf numFmtId="166" fontId="0" fillId="0" borderId="1" xfId="0" applyNumberFormat="1" applyBorder="1"/>
    <xf numFmtId="0" fontId="8" fillId="0" borderId="0" xfId="0" applyFont="1"/>
    <xf numFmtId="0" fontId="9" fillId="0" borderId="0" xfId="0" applyFont="1"/>
    <xf numFmtId="0" fontId="10" fillId="8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/>
    </xf>
    <xf numFmtId="1" fontId="0" fillId="0" borderId="51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7" borderId="9" xfId="0" applyNumberFormat="1" applyFill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167" fontId="5" fillId="0" borderId="33" xfId="0" applyNumberFormat="1" applyFont="1" applyBorder="1" applyAlignment="1">
      <alignment horizontal="center" vertical="center"/>
    </xf>
    <xf numFmtId="167" fontId="5" fillId="0" borderId="34" xfId="0" applyNumberFormat="1" applyFont="1" applyBorder="1" applyAlignment="1">
      <alignment horizontal="center" vertical="center"/>
    </xf>
    <xf numFmtId="167" fontId="5" fillId="0" borderId="35" xfId="0" applyNumberFormat="1" applyFont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0" fillId="0" borderId="61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11" borderId="37" xfId="0" applyFont="1" applyFill="1" applyBorder="1" applyAlignment="1">
      <alignment horizontal="left" vertical="center"/>
    </xf>
    <xf numFmtId="0" fontId="2" fillId="11" borderId="38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left" vertical="center"/>
    </xf>
    <xf numFmtId="0" fontId="2" fillId="9" borderId="39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0" fillId="0" borderId="62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2" fillId="11" borderId="41" xfId="0" applyFont="1" applyFill="1" applyBorder="1" applyAlignment="1">
      <alignment horizontal="left" vertical="center"/>
    </xf>
    <xf numFmtId="0" fontId="2" fillId="11" borderId="42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/>
    </xf>
    <xf numFmtId="0" fontId="2" fillId="10" borderId="59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 wrapText="1"/>
    </xf>
    <xf numFmtId="0" fontId="2" fillId="9" borderId="3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5" fillId="0" borderId="33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2" borderId="41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006100"/>
      <color rgb="FF0062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E-42AF-8DE2-4BD55F51BC7D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E-42AF-8DE2-4BD55F51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A12-8BE4-C801E4F24647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A12-8BE4-C801E4F2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7-4905-B0F5-01C8F63F06E7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7-4905-B0F5-01C8F63F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E-40A3-9D8E-71291741EB12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E-40A3-9D8E-71291741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2-40DB-B956-60105E08BC59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2-40DB-B956-60105E08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1-48C5-ACA1-783D38F491C4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1-48C5-ACA1-783D38F4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9-47AC-BA59-BFE1844A3D32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9-47AC-BA59-BFE1844A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2-46EE-B69E-38EB2B6DF6B9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2-46EE-B69E-38EB2B6D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363-B468-EA0CADE6C734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4363-B468-EA0CADE6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498-8A98-66DA4856EB6D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C-4498-8A98-66DA4856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E-4F6C-91E7-F0A1D6813070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E-4F6C-91E7-F0A1D681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C6F-B1BE-9219575BCD9E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8-4C6F-B1BE-9219575BC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9-48D0-900D-661F63007CAC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9-48D0-900D-661F6300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8AE-B588-359DE19B0672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4-48AE-B588-359DE19B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E-48C5-8569-4E3AE42DCBEC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E-48C5-8569-4E3AE42D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CD0-BC0A-342431BD1B54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2-4CD0-BC0A-342431BD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'23-11-24'!$D$12:$D$35</c:f>
              <c:numCache>
                <c:formatCode>0</c:formatCode>
                <c:ptCount val="24"/>
                <c:pt idx="0">
                  <c:v>12.65</c:v>
                </c:pt>
                <c:pt idx="1">
                  <c:v>11.95</c:v>
                </c:pt>
                <c:pt idx="2">
                  <c:v>11.84</c:v>
                </c:pt>
                <c:pt idx="3">
                  <c:v>11.34</c:v>
                </c:pt>
                <c:pt idx="4">
                  <c:v>10.94</c:v>
                </c:pt>
                <c:pt idx="5">
                  <c:v>11.24</c:v>
                </c:pt>
                <c:pt idx="6">
                  <c:v>11.43</c:v>
                </c:pt>
                <c:pt idx="7">
                  <c:v>11.88</c:v>
                </c:pt>
                <c:pt idx="8">
                  <c:v>13.36</c:v>
                </c:pt>
                <c:pt idx="9">
                  <c:v>16.28</c:v>
                </c:pt>
                <c:pt idx="10">
                  <c:v>17.010000000000002</c:v>
                </c:pt>
                <c:pt idx="11">
                  <c:v>17.850000000000001</c:v>
                </c:pt>
                <c:pt idx="12">
                  <c:v>18.87</c:v>
                </c:pt>
                <c:pt idx="13">
                  <c:v>18.93</c:v>
                </c:pt>
                <c:pt idx="14">
                  <c:v>17.54</c:v>
                </c:pt>
                <c:pt idx="15">
                  <c:v>16.3</c:v>
                </c:pt>
                <c:pt idx="16">
                  <c:v>15.51</c:v>
                </c:pt>
                <c:pt idx="17">
                  <c:v>14.64</c:v>
                </c:pt>
                <c:pt idx="18">
                  <c:v>13.61</c:v>
                </c:pt>
                <c:pt idx="19">
                  <c:v>13.5</c:v>
                </c:pt>
                <c:pt idx="20">
                  <c:v>13.45</c:v>
                </c:pt>
                <c:pt idx="21">
                  <c:v>13.25</c:v>
                </c:pt>
                <c:pt idx="22">
                  <c:v>13.73</c:v>
                </c:pt>
                <c:pt idx="23">
                  <c:v>12.84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E-4813-83B7-8E22F48BE690}"/>
            </c:ext>
          </c:extLst>
        </c:ser>
        <c:ser>
          <c:idx val="1"/>
          <c:order val="1"/>
          <c:tx>
            <c:strRef>
              <c:f>'23-11-24'!$L$11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'23-11-24'!$L$12:$L$35</c:f>
              <c:numCache>
                <c:formatCode>0</c:formatCode>
                <c:ptCount val="24"/>
                <c:pt idx="0">
                  <c:v>12.9</c:v>
                </c:pt>
                <c:pt idx="1">
                  <c:v>12.2</c:v>
                </c:pt>
                <c:pt idx="2">
                  <c:v>12.1</c:v>
                </c:pt>
                <c:pt idx="3">
                  <c:v>11.6</c:v>
                </c:pt>
                <c:pt idx="4">
                  <c:v>11.2</c:v>
                </c:pt>
                <c:pt idx="5">
                  <c:v>11.5</c:v>
                </c:pt>
                <c:pt idx="6">
                  <c:v>11.7</c:v>
                </c:pt>
                <c:pt idx="7">
                  <c:v>12.1</c:v>
                </c:pt>
                <c:pt idx="8">
                  <c:v>13.6</c:v>
                </c:pt>
                <c:pt idx="9">
                  <c:v>16.600000000000001</c:v>
                </c:pt>
                <c:pt idx="10">
                  <c:v>17.399999999999999</c:v>
                </c:pt>
                <c:pt idx="11">
                  <c:v>18.2</c:v>
                </c:pt>
                <c:pt idx="12">
                  <c:v>19.3</c:v>
                </c:pt>
                <c:pt idx="13">
                  <c:v>19.3</c:v>
                </c:pt>
                <c:pt idx="14">
                  <c:v>17.899999999999999</c:v>
                </c:pt>
                <c:pt idx="15">
                  <c:v>16.600000000000001</c:v>
                </c:pt>
                <c:pt idx="16">
                  <c:v>15.8</c:v>
                </c:pt>
                <c:pt idx="17">
                  <c:v>14.9</c:v>
                </c:pt>
                <c:pt idx="18">
                  <c:v>13.9</c:v>
                </c:pt>
                <c:pt idx="19">
                  <c:v>13.8</c:v>
                </c:pt>
                <c:pt idx="20">
                  <c:v>13.7</c:v>
                </c:pt>
                <c:pt idx="21">
                  <c:v>13.5</c:v>
                </c:pt>
                <c:pt idx="22">
                  <c:v>14</c:v>
                </c:pt>
                <c:pt idx="23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E-4813-83B7-8E22F48B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'23-11-24'!$E$12:$E$35</c:f>
              <c:numCache>
                <c:formatCode>0</c:formatCode>
                <c:ptCount val="24"/>
                <c:pt idx="0">
                  <c:v>79.27</c:v>
                </c:pt>
                <c:pt idx="1">
                  <c:v>80.319999999999993</c:v>
                </c:pt>
                <c:pt idx="2">
                  <c:v>80.14</c:v>
                </c:pt>
                <c:pt idx="3">
                  <c:v>82.59</c:v>
                </c:pt>
                <c:pt idx="4">
                  <c:v>83.31</c:v>
                </c:pt>
                <c:pt idx="5">
                  <c:v>81.86</c:v>
                </c:pt>
                <c:pt idx="6">
                  <c:v>81.78</c:v>
                </c:pt>
                <c:pt idx="7">
                  <c:v>82.52</c:v>
                </c:pt>
                <c:pt idx="8">
                  <c:v>77.88</c:v>
                </c:pt>
                <c:pt idx="9">
                  <c:v>67.45</c:v>
                </c:pt>
                <c:pt idx="10">
                  <c:v>62.65</c:v>
                </c:pt>
                <c:pt idx="11">
                  <c:v>59.64</c:v>
                </c:pt>
                <c:pt idx="12">
                  <c:v>55.81</c:v>
                </c:pt>
                <c:pt idx="13">
                  <c:v>55.31</c:v>
                </c:pt>
                <c:pt idx="14">
                  <c:v>70.13</c:v>
                </c:pt>
                <c:pt idx="15">
                  <c:v>78.040000000000006</c:v>
                </c:pt>
                <c:pt idx="16">
                  <c:v>80.86</c:v>
                </c:pt>
                <c:pt idx="17">
                  <c:v>83.66</c:v>
                </c:pt>
                <c:pt idx="18">
                  <c:v>88.59</c:v>
                </c:pt>
                <c:pt idx="19">
                  <c:v>88.74</c:v>
                </c:pt>
                <c:pt idx="20">
                  <c:v>87.69</c:v>
                </c:pt>
                <c:pt idx="21">
                  <c:v>87.62</c:v>
                </c:pt>
                <c:pt idx="22">
                  <c:v>82.78</c:v>
                </c:pt>
                <c:pt idx="23">
                  <c:v>86.01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46B0-AF2C-D8CE4A6A34CD}"/>
            </c:ext>
          </c:extLst>
        </c:ser>
        <c:ser>
          <c:idx val="1"/>
          <c:order val="1"/>
          <c:tx>
            <c:strRef>
              <c:f>'23-11-24'!$M$11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'23-11-24'!$M$12:$M$35</c:f>
              <c:numCache>
                <c:formatCode>0</c:formatCode>
                <c:ptCount val="24"/>
                <c:pt idx="0">
                  <c:v>77</c:v>
                </c:pt>
                <c:pt idx="1">
                  <c:v>78</c:v>
                </c:pt>
                <c:pt idx="2">
                  <c:v>77.8</c:v>
                </c:pt>
                <c:pt idx="3">
                  <c:v>80.2</c:v>
                </c:pt>
                <c:pt idx="4">
                  <c:v>80.900000000000006</c:v>
                </c:pt>
                <c:pt idx="5">
                  <c:v>79.5</c:v>
                </c:pt>
                <c:pt idx="6">
                  <c:v>79.400000000000006</c:v>
                </c:pt>
                <c:pt idx="7">
                  <c:v>80.099999999999994</c:v>
                </c:pt>
                <c:pt idx="8">
                  <c:v>75.599999999999994</c:v>
                </c:pt>
                <c:pt idx="9">
                  <c:v>65.5</c:v>
                </c:pt>
                <c:pt idx="10">
                  <c:v>60.8</c:v>
                </c:pt>
                <c:pt idx="11">
                  <c:v>57.9</c:v>
                </c:pt>
                <c:pt idx="12">
                  <c:v>54.2</c:v>
                </c:pt>
                <c:pt idx="13">
                  <c:v>53.7</c:v>
                </c:pt>
                <c:pt idx="14">
                  <c:v>68.099999999999994</c:v>
                </c:pt>
                <c:pt idx="15">
                  <c:v>75.8</c:v>
                </c:pt>
                <c:pt idx="16">
                  <c:v>78.5</c:v>
                </c:pt>
                <c:pt idx="17">
                  <c:v>81.2</c:v>
                </c:pt>
                <c:pt idx="18">
                  <c:v>86</c:v>
                </c:pt>
                <c:pt idx="19">
                  <c:v>86.2</c:v>
                </c:pt>
                <c:pt idx="20">
                  <c:v>85.1</c:v>
                </c:pt>
                <c:pt idx="21">
                  <c:v>85.1</c:v>
                </c:pt>
                <c:pt idx="22">
                  <c:v>80.400000000000006</c:v>
                </c:pt>
                <c:pt idx="23">
                  <c:v>83.5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F-46B0-AF2C-D8CE4A6A3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'23-11-24'!$G$12:$G$35</c:f>
              <c:numCache>
                <c:formatCode>0</c:formatCode>
                <c:ptCount val="24"/>
                <c:pt idx="0">
                  <c:v>45</c:v>
                </c:pt>
                <c:pt idx="1">
                  <c:v>270</c:v>
                </c:pt>
                <c:pt idx="2">
                  <c:v>315</c:v>
                </c:pt>
                <c:pt idx="3">
                  <c:v>22.5</c:v>
                </c:pt>
                <c:pt idx="4">
                  <c:v>292.5</c:v>
                </c:pt>
                <c:pt idx="5">
                  <c:v>270</c:v>
                </c:pt>
                <c:pt idx="6">
                  <c:v>90</c:v>
                </c:pt>
                <c:pt idx="7">
                  <c:v>292.5</c:v>
                </c:pt>
                <c:pt idx="8">
                  <c:v>337.5</c:v>
                </c:pt>
                <c:pt idx="9">
                  <c:v>337.5</c:v>
                </c:pt>
                <c:pt idx="10">
                  <c:v>67.5</c:v>
                </c:pt>
                <c:pt idx="11">
                  <c:v>337.5</c:v>
                </c:pt>
                <c:pt idx="12">
                  <c:v>45</c:v>
                </c:pt>
                <c:pt idx="13">
                  <c:v>67.5</c:v>
                </c:pt>
                <c:pt idx="14">
                  <c:v>247.5</c:v>
                </c:pt>
                <c:pt idx="15">
                  <c:v>270</c:v>
                </c:pt>
                <c:pt idx="16">
                  <c:v>292.5</c:v>
                </c:pt>
                <c:pt idx="17">
                  <c:v>247.5</c:v>
                </c:pt>
                <c:pt idx="18">
                  <c:v>292.5</c:v>
                </c:pt>
                <c:pt idx="19">
                  <c:v>292.5</c:v>
                </c:pt>
                <c:pt idx="20">
                  <c:v>315</c:v>
                </c:pt>
                <c:pt idx="21">
                  <c:v>225</c:v>
                </c:pt>
                <c:pt idx="22">
                  <c:v>67.5</c:v>
                </c:pt>
                <c:pt idx="23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1-4987-A096-0E0806D2B076}"/>
            </c:ext>
          </c:extLst>
        </c:ser>
        <c:ser>
          <c:idx val="1"/>
          <c:order val="1"/>
          <c:tx>
            <c:strRef>
              <c:f>'23-11-24'!$O$11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'23-11-24'!$O$12:$O$35</c:f>
              <c:numCache>
                <c:formatCode>0</c:formatCode>
                <c:ptCount val="24"/>
                <c:pt idx="0">
                  <c:v>45</c:v>
                </c:pt>
                <c:pt idx="1">
                  <c:v>270</c:v>
                </c:pt>
                <c:pt idx="2">
                  <c:v>315</c:v>
                </c:pt>
                <c:pt idx="3">
                  <c:v>22.5</c:v>
                </c:pt>
                <c:pt idx="4">
                  <c:v>270</c:v>
                </c:pt>
                <c:pt idx="5">
                  <c:v>270</c:v>
                </c:pt>
                <c:pt idx="6">
                  <c:v>90</c:v>
                </c:pt>
                <c:pt idx="7">
                  <c:v>292.5</c:v>
                </c:pt>
                <c:pt idx="8">
                  <c:v>337.5</c:v>
                </c:pt>
                <c:pt idx="9">
                  <c:v>337.5</c:v>
                </c:pt>
                <c:pt idx="10">
                  <c:v>45</c:v>
                </c:pt>
                <c:pt idx="11">
                  <c:v>337.5</c:v>
                </c:pt>
                <c:pt idx="12">
                  <c:v>45</c:v>
                </c:pt>
                <c:pt idx="13">
                  <c:v>67.5</c:v>
                </c:pt>
                <c:pt idx="14">
                  <c:v>225</c:v>
                </c:pt>
                <c:pt idx="15">
                  <c:v>270</c:v>
                </c:pt>
                <c:pt idx="16">
                  <c:v>292.5</c:v>
                </c:pt>
                <c:pt idx="17">
                  <c:v>225</c:v>
                </c:pt>
                <c:pt idx="18">
                  <c:v>270</c:v>
                </c:pt>
                <c:pt idx="19">
                  <c:v>292.5</c:v>
                </c:pt>
                <c:pt idx="20">
                  <c:v>292.5</c:v>
                </c:pt>
                <c:pt idx="21">
                  <c:v>225</c:v>
                </c:pt>
                <c:pt idx="22">
                  <c:v>67.5</c:v>
                </c:pt>
                <c:pt idx="23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1-4987-A096-0E0806D2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'23-11-24'!$H$12:$H$35</c:f>
              <c:numCache>
                <c:formatCode>0</c:formatCode>
                <c:ptCount val="24"/>
                <c:pt idx="0">
                  <c:v>1.89</c:v>
                </c:pt>
                <c:pt idx="1">
                  <c:v>1.53</c:v>
                </c:pt>
                <c:pt idx="2">
                  <c:v>1.83</c:v>
                </c:pt>
                <c:pt idx="3">
                  <c:v>2.86</c:v>
                </c:pt>
                <c:pt idx="4">
                  <c:v>2.44</c:v>
                </c:pt>
                <c:pt idx="5">
                  <c:v>1.34</c:v>
                </c:pt>
                <c:pt idx="6">
                  <c:v>1.6</c:v>
                </c:pt>
                <c:pt idx="7">
                  <c:v>2.41</c:v>
                </c:pt>
                <c:pt idx="8">
                  <c:v>3.29</c:v>
                </c:pt>
                <c:pt idx="9">
                  <c:v>1.94</c:v>
                </c:pt>
                <c:pt idx="10">
                  <c:v>3.01</c:v>
                </c:pt>
                <c:pt idx="11">
                  <c:v>1.48</c:v>
                </c:pt>
                <c:pt idx="12">
                  <c:v>3.07</c:v>
                </c:pt>
                <c:pt idx="13">
                  <c:v>2.61</c:v>
                </c:pt>
                <c:pt idx="14">
                  <c:v>2.16</c:v>
                </c:pt>
                <c:pt idx="15">
                  <c:v>2.69</c:v>
                </c:pt>
                <c:pt idx="16">
                  <c:v>2.68</c:v>
                </c:pt>
                <c:pt idx="17">
                  <c:v>2.2200000000000002</c:v>
                </c:pt>
                <c:pt idx="18">
                  <c:v>3.9</c:v>
                </c:pt>
                <c:pt idx="19">
                  <c:v>2.02</c:v>
                </c:pt>
                <c:pt idx="20">
                  <c:v>1.1399999999999999</c:v>
                </c:pt>
                <c:pt idx="21">
                  <c:v>1.1299999999999999</c:v>
                </c:pt>
                <c:pt idx="22">
                  <c:v>3.23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789-9CC9-303CAD98C273}"/>
            </c:ext>
          </c:extLst>
        </c:ser>
        <c:ser>
          <c:idx val="1"/>
          <c:order val="1"/>
          <c:tx>
            <c:strRef>
              <c:f>'23-11-24'!$P$11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'23-11-24'!$P$12:$P$35</c:f>
              <c:numCache>
                <c:formatCode>0</c:formatCode>
                <c:ptCount val="24"/>
                <c:pt idx="0">
                  <c:v>1.9</c:v>
                </c:pt>
                <c:pt idx="1">
                  <c:v>1.5</c:v>
                </c:pt>
                <c:pt idx="2">
                  <c:v>1.8</c:v>
                </c:pt>
                <c:pt idx="3">
                  <c:v>1.9</c:v>
                </c:pt>
                <c:pt idx="4">
                  <c:v>1.6</c:v>
                </c:pt>
                <c:pt idx="5">
                  <c:v>1.3</c:v>
                </c:pt>
                <c:pt idx="6">
                  <c:v>1.6</c:v>
                </c:pt>
                <c:pt idx="7">
                  <c:v>1.6</c:v>
                </c:pt>
                <c:pt idx="8">
                  <c:v>2.2999999999999998</c:v>
                </c:pt>
                <c:pt idx="9">
                  <c:v>1.9</c:v>
                </c:pt>
                <c:pt idx="10">
                  <c:v>2.2000000000000002</c:v>
                </c:pt>
                <c:pt idx="11">
                  <c:v>1.5</c:v>
                </c:pt>
                <c:pt idx="12">
                  <c:v>2.1</c:v>
                </c:pt>
                <c:pt idx="13">
                  <c:v>1.8</c:v>
                </c:pt>
                <c:pt idx="14">
                  <c:v>2.2000000000000002</c:v>
                </c:pt>
                <c:pt idx="15">
                  <c:v>2.7</c:v>
                </c:pt>
                <c:pt idx="16">
                  <c:v>2.7</c:v>
                </c:pt>
                <c:pt idx="17">
                  <c:v>2.2000000000000002</c:v>
                </c:pt>
                <c:pt idx="18">
                  <c:v>2.9</c:v>
                </c:pt>
                <c:pt idx="19">
                  <c:v>2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3.2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4-4789-9CC9-303CAD98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38.07</c:v>
                </c:pt>
                <c:pt idx="7">
                  <c:v>93.38</c:v>
                </c:pt>
                <c:pt idx="8">
                  <c:v>322.85000000000002</c:v>
                </c:pt>
                <c:pt idx="9">
                  <c:v>675.88</c:v>
                </c:pt>
                <c:pt idx="10">
                  <c:v>346.66</c:v>
                </c:pt>
                <c:pt idx="11">
                  <c:v>501.16</c:v>
                </c:pt>
                <c:pt idx="12">
                  <c:v>682</c:v>
                </c:pt>
                <c:pt idx="13">
                  <c:v>273.92</c:v>
                </c:pt>
                <c:pt idx="14">
                  <c:v>136.77000000000001</c:v>
                </c:pt>
                <c:pt idx="15">
                  <c:v>121.18</c:v>
                </c:pt>
                <c:pt idx="16">
                  <c:v>41.75</c:v>
                </c:pt>
                <c:pt idx="17">
                  <c:v>32.590000000000003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4F27-AB3A-8ECF1FA7890E}"/>
            </c:ext>
          </c:extLst>
        </c:ser>
        <c:ser>
          <c:idx val="1"/>
          <c:order val="1"/>
          <c:tx>
            <c:strRef>
              <c:f>'23-11-24'!$Q$11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22.1</c:v>
                </c:pt>
                <c:pt idx="7">
                  <c:v>84.4</c:v>
                </c:pt>
                <c:pt idx="8">
                  <c:v>276.89999999999998</c:v>
                </c:pt>
                <c:pt idx="9">
                  <c:v>589.9</c:v>
                </c:pt>
                <c:pt idx="10">
                  <c:v>334.7</c:v>
                </c:pt>
                <c:pt idx="11">
                  <c:v>411.2</c:v>
                </c:pt>
                <c:pt idx="12">
                  <c:v>646</c:v>
                </c:pt>
                <c:pt idx="13">
                  <c:v>213.9</c:v>
                </c:pt>
                <c:pt idx="14">
                  <c:v>92.8</c:v>
                </c:pt>
                <c:pt idx="15">
                  <c:v>84.2</c:v>
                </c:pt>
                <c:pt idx="16">
                  <c:v>41.8</c:v>
                </c:pt>
                <c:pt idx="17">
                  <c:v>14.6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4F27-AB3A-8ECF1FA7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E-44D6-A2CB-B20541C241C5}"/>
            </c:ext>
          </c:extLst>
        </c:ser>
        <c:ser>
          <c:idx val="1"/>
          <c:order val="1"/>
          <c:tx>
            <c:strRef>
              <c:f>'23-11-24'!$R$11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E-44D6-A2CB-B20541C2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'23-11-24'!$F$12:$F$35</c:f>
              <c:numCache>
                <c:formatCode>0</c:formatCode>
                <c:ptCount val="24"/>
                <c:pt idx="0">
                  <c:v>573.62</c:v>
                </c:pt>
                <c:pt idx="1">
                  <c:v>572.6</c:v>
                </c:pt>
                <c:pt idx="2">
                  <c:v>571.97</c:v>
                </c:pt>
                <c:pt idx="3">
                  <c:v>572.63</c:v>
                </c:pt>
                <c:pt idx="4">
                  <c:v>572.14</c:v>
                </c:pt>
                <c:pt idx="5">
                  <c:v>572.15</c:v>
                </c:pt>
                <c:pt idx="6">
                  <c:v>573.53</c:v>
                </c:pt>
                <c:pt idx="7">
                  <c:v>573.24</c:v>
                </c:pt>
                <c:pt idx="8">
                  <c:v>574.17999999999995</c:v>
                </c:pt>
                <c:pt idx="9">
                  <c:v>572.96</c:v>
                </c:pt>
                <c:pt idx="10">
                  <c:v>572.59</c:v>
                </c:pt>
                <c:pt idx="11">
                  <c:v>572.88</c:v>
                </c:pt>
                <c:pt idx="12">
                  <c:v>570.97</c:v>
                </c:pt>
                <c:pt idx="13">
                  <c:v>570.17999999999995</c:v>
                </c:pt>
                <c:pt idx="14">
                  <c:v>569.71</c:v>
                </c:pt>
                <c:pt idx="15">
                  <c:v>570.37</c:v>
                </c:pt>
                <c:pt idx="16">
                  <c:v>569.39</c:v>
                </c:pt>
                <c:pt idx="17">
                  <c:v>569.71</c:v>
                </c:pt>
                <c:pt idx="18">
                  <c:v>570.44000000000005</c:v>
                </c:pt>
                <c:pt idx="19">
                  <c:v>572.05999999999995</c:v>
                </c:pt>
                <c:pt idx="20">
                  <c:v>571.9</c:v>
                </c:pt>
                <c:pt idx="21">
                  <c:v>572.83000000000004</c:v>
                </c:pt>
                <c:pt idx="22">
                  <c:v>572.91</c:v>
                </c:pt>
                <c:pt idx="23">
                  <c:v>573.47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5-4EE1-8DAE-274457E9DF78}"/>
            </c:ext>
          </c:extLst>
        </c:ser>
        <c:ser>
          <c:idx val="1"/>
          <c:order val="1"/>
          <c:tx>
            <c:strRef>
              <c:f>'23-11-24'!$N$11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'23-11-24'!$N$12:$N$35</c:f>
              <c:numCache>
                <c:formatCode>0</c:formatCode>
                <c:ptCount val="24"/>
                <c:pt idx="0">
                  <c:v>572.79999999999995</c:v>
                </c:pt>
                <c:pt idx="1">
                  <c:v>572.6</c:v>
                </c:pt>
                <c:pt idx="2">
                  <c:v>572</c:v>
                </c:pt>
                <c:pt idx="3">
                  <c:v>571.70000000000005</c:v>
                </c:pt>
                <c:pt idx="4">
                  <c:v>572.1</c:v>
                </c:pt>
                <c:pt idx="5">
                  <c:v>572.20000000000005</c:v>
                </c:pt>
                <c:pt idx="6">
                  <c:v>572.6</c:v>
                </c:pt>
                <c:pt idx="7">
                  <c:v>573.20000000000005</c:v>
                </c:pt>
                <c:pt idx="8">
                  <c:v>573.20000000000005</c:v>
                </c:pt>
                <c:pt idx="9">
                  <c:v>573</c:v>
                </c:pt>
                <c:pt idx="10">
                  <c:v>572.6</c:v>
                </c:pt>
                <c:pt idx="11">
                  <c:v>571.9</c:v>
                </c:pt>
                <c:pt idx="12">
                  <c:v>571</c:v>
                </c:pt>
                <c:pt idx="13">
                  <c:v>570.20000000000005</c:v>
                </c:pt>
                <c:pt idx="14">
                  <c:v>569.70000000000005</c:v>
                </c:pt>
                <c:pt idx="15">
                  <c:v>569.4</c:v>
                </c:pt>
                <c:pt idx="16">
                  <c:v>569.4</c:v>
                </c:pt>
                <c:pt idx="17">
                  <c:v>569.70000000000005</c:v>
                </c:pt>
                <c:pt idx="18">
                  <c:v>570.4</c:v>
                </c:pt>
                <c:pt idx="19">
                  <c:v>571.1</c:v>
                </c:pt>
                <c:pt idx="20">
                  <c:v>571.9</c:v>
                </c:pt>
                <c:pt idx="21">
                  <c:v>572.79999999999995</c:v>
                </c:pt>
                <c:pt idx="22">
                  <c:v>572.9</c:v>
                </c:pt>
                <c:pt idx="23">
                  <c:v>572.5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5-4EE1-8DAE-274457E9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  <c:min val="46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4-464E-86B0-64F9CF048CA8}"/>
            </c:ext>
          </c:extLst>
        </c:ser>
        <c:ser>
          <c:idx val="1"/>
          <c:order val="1"/>
          <c:tx>
            <c:strRef>
              <c:f>'23-11-24'!$S$11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'23-11-24'!$S$12:$S$34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4-464E-86B0-64F9CF04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'24-05-24'!$D$12:$D$35</c:f>
              <c:numCache>
                <c:formatCode>0</c:formatCode>
                <c:ptCount val="24"/>
                <c:pt idx="0">
                  <c:v>13.136666666666665</c:v>
                </c:pt>
                <c:pt idx="1">
                  <c:v>12.868333333333334</c:v>
                </c:pt>
                <c:pt idx="2">
                  <c:v>12.591666666666669</c:v>
                </c:pt>
                <c:pt idx="3">
                  <c:v>12.408333333333333</c:v>
                </c:pt>
                <c:pt idx="4">
                  <c:v>12.58</c:v>
                </c:pt>
                <c:pt idx="5">
                  <c:v>12.339999999999998</c:v>
                </c:pt>
                <c:pt idx="6">
                  <c:v>12.506666666666666</c:v>
                </c:pt>
                <c:pt idx="7">
                  <c:v>12.723333333333331</c:v>
                </c:pt>
                <c:pt idx="8">
                  <c:v>13.143333333333333</c:v>
                </c:pt>
                <c:pt idx="9">
                  <c:v>13.626666666666667</c:v>
                </c:pt>
                <c:pt idx="10">
                  <c:v>14.165000000000001</c:v>
                </c:pt>
                <c:pt idx="11">
                  <c:v>14.671666666666667</c:v>
                </c:pt>
                <c:pt idx="12">
                  <c:v>14.798333333333334</c:v>
                </c:pt>
                <c:pt idx="13">
                  <c:v>14.641666666666666</c:v>
                </c:pt>
                <c:pt idx="14">
                  <c:v>14.251666666666667</c:v>
                </c:pt>
                <c:pt idx="15">
                  <c:v>14.771666666666667</c:v>
                </c:pt>
                <c:pt idx="16">
                  <c:v>15.228333333333333</c:v>
                </c:pt>
                <c:pt idx="17">
                  <c:v>14.991666666666667</c:v>
                </c:pt>
                <c:pt idx="18">
                  <c:v>14.96</c:v>
                </c:pt>
                <c:pt idx="19">
                  <c:v>13.901666666666666</c:v>
                </c:pt>
                <c:pt idx="20">
                  <c:v>13.675000000000002</c:v>
                </c:pt>
                <c:pt idx="21">
                  <c:v>13.588333333333333</c:v>
                </c:pt>
                <c:pt idx="22">
                  <c:v>13.511666666666665</c:v>
                </c:pt>
                <c:pt idx="23">
                  <c:v>13.686666666666666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C-4CC8-A348-10FB5651BCE7}"/>
            </c:ext>
          </c:extLst>
        </c:ser>
        <c:ser>
          <c:idx val="1"/>
          <c:order val="1"/>
          <c:tx>
            <c:strRef>
              <c:f>'24-05-24'!$L$11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'24-05-24'!$L$12:$L$35</c:f>
              <c:numCache>
                <c:formatCode>0</c:formatCode>
                <c:ptCount val="24"/>
                <c:pt idx="0">
                  <c:v>13.399999999999999</c:v>
                </c:pt>
                <c:pt idx="1">
                  <c:v>13.149999999999999</c:v>
                </c:pt>
                <c:pt idx="2">
                  <c:v>12.866666666666667</c:v>
                </c:pt>
                <c:pt idx="3">
                  <c:v>12.666666666666666</c:v>
                </c:pt>
                <c:pt idx="4">
                  <c:v>12.85</c:v>
                </c:pt>
                <c:pt idx="5">
                  <c:v>12.600000000000001</c:v>
                </c:pt>
                <c:pt idx="6">
                  <c:v>12.766666666666667</c:v>
                </c:pt>
                <c:pt idx="7">
                  <c:v>12.983333333333334</c:v>
                </c:pt>
                <c:pt idx="8">
                  <c:v>13.450000000000001</c:v>
                </c:pt>
                <c:pt idx="9">
                  <c:v>13.916666666666666</c:v>
                </c:pt>
                <c:pt idx="10">
                  <c:v>14.483333333333333</c:v>
                </c:pt>
                <c:pt idx="11">
                  <c:v>15</c:v>
                </c:pt>
                <c:pt idx="12">
                  <c:v>15.116666666666667</c:v>
                </c:pt>
                <c:pt idx="13">
                  <c:v>14.950000000000001</c:v>
                </c:pt>
                <c:pt idx="14">
                  <c:v>14.549999999999999</c:v>
                </c:pt>
                <c:pt idx="15">
                  <c:v>15.066666666666668</c:v>
                </c:pt>
                <c:pt idx="16">
                  <c:v>15.550000000000002</c:v>
                </c:pt>
                <c:pt idx="17">
                  <c:v>15.299999999999999</c:v>
                </c:pt>
                <c:pt idx="18">
                  <c:v>15.266666666666666</c:v>
                </c:pt>
                <c:pt idx="19">
                  <c:v>14.200000000000001</c:v>
                </c:pt>
                <c:pt idx="20">
                  <c:v>13.966666666666667</c:v>
                </c:pt>
                <c:pt idx="21">
                  <c:v>13.883333333333333</c:v>
                </c:pt>
                <c:pt idx="22">
                  <c:v>13.816666666666668</c:v>
                </c:pt>
                <c:pt idx="23">
                  <c:v>13.966666666666667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C-4CC8-A348-10FB5651B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'24-05-24'!$E$12:$E$35</c:f>
              <c:numCache>
                <c:formatCode>0</c:formatCode>
                <c:ptCount val="24"/>
                <c:pt idx="0">
                  <c:v>91.858333333333334</c:v>
                </c:pt>
                <c:pt idx="1">
                  <c:v>91.591666666666654</c:v>
                </c:pt>
                <c:pt idx="2">
                  <c:v>91.821666666666673</c:v>
                </c:pt>
                <c:pt idx="3">
                  <c:v>90.885000000000005</c:v>
                </c:pt>
                <c:pt idx="4">
                  <c:v>90.023333333333326</c:v>
                </c:pt>
                <c:pt idx="5">
                  <c:v>90.064999999999998</c:v>
                </c:pt>
                <c:pt idx="6">
                  <c:v>91.99</c:v>
                </c:pt>
                <c:pt idx="7">
                  <c:v>91.726666666666674</c:v>
                </c:pt>
                <c:pt idx="8">
                  <c:v>89.32</c:v>
                </c:pt>
                <c:pt idx="9">
                  <c:v>87.68</c:v>
                </c:pt>
                <c:pt idx="10">
                  <c:v>86.153333333333322</c:v>
                </c:pt>
                <c:pt idx="11">
                  <c:v>82.740000000000009</c:v>
                </c:pt>
                <c:pt idx="12">
                  <c:v>78.085000000000008</c:v>
                </c:pt>
                <c:pt idx="13">
                  <c:v>74.38666666666667</c:v>
                </c:pt>
                <c:pt idx="14">
                  <c:v>77.916666666666671</c:v>
                </c:pt>
                <c:pt idx="15">
                  <c:v>73.48833333333333</c:v>
                </c:pt>
                <c:pt idx="16">
                  <c:v>72.283333333333331</c:v>
                </c:pt>
                <c:pt idx="17">
                  <c:v>74.49666666666667</c:v>
                </c:pt>
                <c:pt idx="18">
                  <c:v>72.575000000000003</c:v>
                </c:pt>
                <c:pt idx="19">
                  <c:v>79.191666666666663</c:v>
                </c:pt>
                <c:pt idx="20">
                  <c:v>78.598333333333343</c:v>
                </c:pt>
                <c:pt idx="21">
                  <c:v>76.998333333333335</c:v>
                </c:pt>
                <c:pt idx="22">
                  <c:v>76.311666666666667</c:v>
                </c:pt>
                <c:pt idx="23">
                  <c:v>75.681666666666658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6-4E58-AE0E-499843D03D79}"/>
            </c:ext>
          </c:extLst>
        </c:ser>
        <c:ser>
          <c:idx val="1"/>
          <c:order val="1"/>
          <c:tx>
            <c:strRef>
              <c:f>'24-05-24'!$M$11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'24-05-24'!$M$12:$M$35</c:f>
              <c:numCache>
                <c:formatCode>0</c:formatCode>
                <c:ptCount val="24"/>
                <c:pt idx="0">
                  <c:v>89.2</c:v>
                </c:pt>
                <c:pt idx="1">
                  <c:v>88.933333333333337</c:v>
                </c:pt>
                <c:pt idx="2">
                  <c:v>89.149999999999991</c:v>
                </c:pt>
                <c:pt idx="3">
                  <c:v>88.233333333333334</c:v>
                </c:pt>
                <c:pt idx="4">
                  <c:v>87.399999999999991</c:v>
                </c:pt>
                <c:pt idx="5">
                  <c:v>87.45</c:v>
                </c:pt>
                <c:pt idx="6">
                  <c:v>89.316666666666677</c:v>
                </c:pt>
                <c:pt idx="7">
                  <c:v>89.05</c:v>
                </c:pt>
                <c:pt idx="8">
                  <c:v>86.716666666666683</c:v>
                </c:pt>
                <c:pt idx="9">
                  <c:v>85.13333333333334</c:v>
                </c:pt>
                <c:pt idx="10">
                  <c:v>83.633333333333326</c:v>
                </c:pt>
                <c:pt idx="11">
                  <c:v>80.333333333333329</c:v>
                </c:pt>
                <c:pt idx="12">
                  <c:v>75.800000000000011</c:v>
                </c:pt>
                <c:pt idx="13">
                  <c:v>72.199999999999989</c:v>
                </c:pt>
                <c:pt idx="14">
                  <c:v>75.649999999999991</c:v>
                </c:pt>
                <c:pt idx="15">
                  <c:v>71.350000000000009</c:v>
                </c:pt>
                <c:pt idx="16">
                  <c:v>70.199999999999989</c:v>
                </c:pt>
                <c:pt idx="17">
                  <c:v>72.316666666666663</c:v>
                </c:pt>
                <c:pt idx="18">
                  <c:v>70.466666666666654</c:v>
                </c:pt>
                <c:pt idx="19">
                  <c:v>76.899999999999991</c:v>
                </c:pt>
                <c:pt idx="20">
                  <c:v>76.3</c:v>
                </c:pt>
                <c:pt idx="21">
                  <c:v>74.75</c:v>
                </c:pt>
                <c:pt idx="22">
                  <c:v>74.083333333333329</c:v>
                </c:pt>
                <c:pt idx="23">
                  <c:v>73.483333333333334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6-4E58-AE0E-499843D0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'24-05-24'!$G$12:$G$35</c:f>
              <c:numCache>
                <c:formatCode>0</c:formatCode>
                <c:ptCount val="24"/>
                <c:pt idx="0">
                  <c:v>337.5</c:v>
                </c:pt>
                <c:pt idx="1">
                  <c:v>337.5</c:v>
                </c:pt>
                <c:pt idx="2">
                  <c:v>270</c:v>
                </c:pt>
                <c:pt idx="3">
                  <c:v>337.5</c:v>
                </c:pt>
                <c:pt idx="4">
                  <c:v>22.5</c:v>
                </c:pt>
                <c:pt idx="5">
                  <c:v>337.5</c:v>
                </c:pt>
                <c:pt idx="6">
                  <c:v>337.5</c:v>
                </c:pt>
                <c:pt idx="7">
                  <c:v>247.5</c:v>
                </c:pt>
                <c:pt idx="8">
                  <c:v>0</c:v>
                </c:pt>
                <c:pt idx="9">
                  <c:v>315</c:v>
                </c:pt>
                <c:pt idx="10">
                  <c:v>22.5</c:v>
                </c:pt>
                <c:pt idx="11">
                  <c:v>45</c:v>
                </c:pt>
                <c:pt idx="12">
                  <c:v>202.5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135</c:v>
                </c:pt>
                <c:pt idx="17">
                  <c:v>180</c:v>
                </c:pt>
                <c:pt idx="18">
                  <c:v>135</c:v>
                </c:pt>
                <c:pt idx="19">
                  <c:v>0</c:v>
                </c:pt>
                <c:pt idx="20">
                  <c:v>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5-49FE-A08A-43ED3335864E}"/>
            </c:ext>
          </c:extLst>
        </c:ser>
        <c:ser>
          <c:idx val="1"/>
          <c:order val="1"/>
          <c:tx>
            <c:strRef>
              <c:f>'24-05-24'!$O$11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'24-05-24'!$O$12:$O$35</c:f>
              <c:numCache>
                <c:formatCode>0</c:formatCode>
                <c:ptCount val="24"/>
                <c:pt idx="0">
                  <c:v>337.5</c:v>
                </c:pt>
                <c:pt idx="1">
                  <c:v>315</c:v>
                </c:pt>
                <c:pt idx="2">
                  <c:v>247.5</c:v>
                </c:pt>
                <c:pt idx="3">
                  <c:v>337.5</c:v>
                </c:pt>
                <c:pt idx="4">
                  <c:v>22.5</c:v>
                </c:pt>
                <c:pt idx="5">
                  <c:v>337.5</c:v>
                </c:pt>
                <c:pt idx="6">
                  <c:v>337.5</c:v>
                </c:pt>
                <c:pt idx="7">
                  <c:v>247.5</c:v>
                </c:pt>
                <c:pt idx="8">
                  <c:v>0</c:v>
                </c:pt>
                <c:pt idx="9">
                  <c:v>315</c:v>
                </c:pt>
                <c:pt idx="10">
                  <c:v>0</c:v>
                </c:pt>
                <c:pt idx="11">
                  <c:v>45</c:v>
                </c:pt>
                <c:pt idx="12">
                  <c:v>180</c:v>
                </c:pt>
                <c:pt idx="13">
                  <c:v>157.5</c:v>
                </c:pt>
                <c:pt idx="14">
                  <c:v>180</c:v>
                </c:pt>
                <c:pt idx="15">
                  <c:v>180</c:v>
                </c:pt>
                <c:pt idx="16">
                  <c:v>112.5</c:v>
                </c:pt>
                <c:pt idx="17">
                  <c:v>180</c:v>
                </c:pt>
                <c:pt idx="18">
                  <c:v>135</c:v>
                </c:pt>
                <c:pt idx="19">
                  <c:v>0</c:v>
                </c:pt>
                <c:pt idx="20">
                  <c:v>0</c:v>
                </c:pt>
                <c:pt idx="21">
                  <c:v>67.5</c:v>
                </c:pt>
                <c:pt idx="22">
                  <c:v>90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5-49FE-A08A-43ED33358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'24-05-24'!$H$12:$H$35</c:f>
              <c:numCache>
                <c:formatCode>0</c:formatCode>
                <c:ptCount val="24"/>
                <c:pt idx="0">
                  <c:v>1.9183333333333332</c:v>
                </c:pt>
                <c:pt idx="1">
                  <c:v>1.5733333333333333</c:v>
                </c:pt>
                <c:pt idx="2">
                  <c:v>0.8883333333333332</c:v>
                </c:pt>
                <c:pt idx="3">
                  <c:v>2.6700000000000004</c:v>
                </c:pt>
                <c:pt idx="4">
                  <c:v>2.2050000000000001</c:v>
                </c:pt>
                <c:pt idx="5">
                  <c:v>1.51</c:v>
                </c:pt>
                <c:pt idx="6">
                  <c:v>1.79</c:v>
                </c:pt>
                <c:pt idx="7">
                  <c:v>1.0633333333333332</c:v>
                </c:pt>
                <c:pt idx="8">
                  <c:v>0.97833333333333339</c:v>
                </c:pt>
                <c:pt idx="9">
                  <c:v>1.4483333333333333</c:v>
                </c:pt>
                <c:pt idx="10">
                  <c:v>2.226666666666667</c:v>
                </c:pt>
                <c:pt idx="11">
                  <c:v>1.5466666666666666</c:v>
                </c:pt>
                <c:pt idx="12">
                  <c:v>3.1283333333333339</c:v>
                </c:pt>
                <c:pt idx="13">
                  <c:v>4.29</c:v>
                </c:pt>
                <c:pt idx="14">
                  <c:v>5.1833333333333336</c:v>
                </c:pt>
                <c:pt idx="15">
                  <c:v>3.5816666666666666</c:v>
                </c:pt>
                <c:pt idx="16">
                  <c:v>2.8683333333333336</c:v>
                </c:pt>
                <c:pt idx="17">
                  <c:v>2.3649999999999998</c:v>
                </c:pt>
                <c:pt idx="18">
                  <c:v>2.2383333333333333</c:v>
                </c:pt>
                <c:pt idx="19">
                  <c:v>1.1916666666666667</c:v>
                </c:pt>
                <c:pt idx="20">
                  <c:v>2.6333333333333333</c:v>
                </c:pt>
                <c:pt idx="21">
                  <c:v>3.4316666666666662</c:v>
                </c:pt>
                <c:pt idx="22">
                  <c:v>3.3516666666666666</c:v>
                </c:pt>
                <c:pt idx="23">
                  <c:v>2.6350000000000002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B-4B99-83EB-62831BD22D5A}"/>
            </c:ext>
          </c:extLst>
        </c:ser>
        <c:ser>
          <c:idx val="1"/>
          <c:order val="1"/>
          <c:tx>
            <c:strRef>
              <c:f>'24-05-24'!$P$11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'24-05-24'!$P$12:$P$35</c:f>
              <c:numCache>
                <c:formatCode>0</c:formatCode>
                <c:ptCount val="24"/>
                <c:pt idx="0">
                  <c:v>1.4333333333333333</c:v>
                </c:pt>
                <c:pt idx="1">
                  <c:v>1.0833333333333333</c:v>
                </c:pt>
                <c:pt idx="2">
                  <c:v>0.8833333333333333</c:v>
                </c:pt>
                <c:pt idx="3">
                  <c:v>1.6833333333333333</c:v>
                </c:pt>
                <c:pt idx="4">
                  <c:v>1.5666666666666667</c:v>
                </c:pt>
                <c:pt idx="5">
                  <c:v>0.68333333333333346</c:v>
                </c:pt>
                <c:pt idx="6">
                  <c:v>1.2833333333333334</c:v>
                </c:pt>
                <c:pt idx="7">
                  <c:v>0.9</c:v>
                </c:pt>
                <c:pt idx="8">
                  <c:v>0.48333333333333334</c:v>
                </c:pt>
                <c:pt idx="9">
                  <c:v>0.95000000000000007</c:v>
                </c:pt>
                <c:pt idx="10">
                  <c:v>1.7166666666666666</c:v>
                </c:pt>
                <c:pt idx="11">
                  <c:v>1.2</c:v>
                </c:pt>
                <c:pt idx="12">
                  <c:v>2.6333333333333333</c:v>
                </c:pt>
                <c:pt idx="13">
                  <c:v>4.1499999999999995</c:v>
                </c:pt>
                <c:pt idx="14">
                  <c:v>4.3499999999999996</c:v>
                </c:pt>
                <c:pt idx="15">
                  <c:v>3.2666666666666671</c:v>
                </c:pt>
                <c:pt idx="16">
                  <c:v>2.3666666666666667</c:v>
                </c:pt>
                <c:pt idx="17">
                  <c:v>2.3833333333333333</c:v>
                </c:pt>
                <c:pt idx="18">
                  <c:v>1.5833333333333333</c:v>
                </c:pt>
                <c:pt idx="19">
                  <c:v>0.8666666666666667</c:v>
                </c:pt>
                <c:pt idx="20">
                  <c:v>1.8166666666666664</c:v>
                </c:pt>
                <c:pt idx="21">
                  <c:v>3.1166666666666671</c:v>
                </c:pt>
                <c:pt idx="22">
                  <c:v>2.5500000000000003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B-4B99-83EB-62831BD22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47.143333333333338</c:v>
                </c:pt>
                <c:pt idx="7">
                  <c:v>93.681666666666658</c:v>
                </c:pt>
                <c:pt idx="8">
                  <c:v>95.273333333333326</c:v>
                </c:pt>
                <c:pt idx="9">
                  <c:v>108.82833333333333</c:v>
                </c:pt>
                <c:pt idx="10">
                  <c:v>154.84833333333333</c:v>
                </c:pt>
                <c:pt idx="11">
                  <c:v>167.79333333333335</c:v>
                </c:pt>
                <c:pt idx="12">
                  <c:v>137.66166666666666</c:v>
                </c:pt>
                <c:pt idx="13">
                  <c:v>173.53</c:v>
                </c:pt>
                <c:pt idx="14">
                  <c:v>177.97666666666669</c:v>
                </c:pt>
                <c:pt idx="15">
                  <c:v>217.55000000000004</c:v>
                </c:pt>
                <c:pt idx="16">
                  <c:v>192.08833333333334</c:v>
                </c:pt>
                <c:pt idx="17">
                  <c:v>114.99333333333334</c:v>
                </c:pt>
                <c:pt idx="18">
                  <c:v>14.016666666666666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C-4F12-9FA5-37918822967A}"/>
            </c:ext>
          </c:extLst>
        </c:ser>
        <c:ser>
          <c:idx val="1"/>
          <c:order val="1"/>
          <c:tx>
            <c:strRef>
              <c:f>'24-05-24'!$Q$11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22.3</c:v>
                </c:pt>
                <c:pt idx="7">
                  <c:v>39.166666666666664</c:v>
                </c:pt>
                <c:pt idx="8">
                  <c:v>42.283333333333331</c:v>
                </c:pt>
                <c:pt idx="9">
                  <c:v>66.5</c:v>
                </c:pt>
                <c:pt idx="10">
                  <c:v>105.5</c:v>
                </c:pt>
                <c:pt idx="11">
                  <c:v>116.78333333333332</c:v>
                </c:pt>
                <c:pt idx="12">
                  <c:v>90.333333333333329</c:v>
                </c:pt>
                <c:pt idx="13">
                  <c:v>122.56666666666668</c:v>
                </c:pt>
                <c:pt idx="14">
                  <c:v>134.98333333333335</c:v>
                </c:pt>
                <c:pt idx="15">
                  <c:v>178.88333333333333</c:v>
                </c:pt>
                <c:pt idx="16">
                  <c:v>149.25</c:v>
                </c:pt>
                <c:pt idx="17">
                  <c:v>61.499999999999993</c:v>
                </c:pt>
                <c:pt idx="18">
                  <c:v>2.1833333333333336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C-4F12-9FA5-379188229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5-4C6D-A879-C14C5018D928}"/>
            </c:ext>
          </c:extLst>
        </c:ser>
        <c:ser>
          <c:idx val="1"/>
          <c:order val="1"/>
          <c:tx>
            <c:strRef>
              <c:f>'24-05-24'!$R$11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5-4C6D-A879-C14C5018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'24-05-24'!$F$12:$F$35</c:f>
              <c:numCache>
                <c:formatCode>0</c:formatCode>
                <c:ptCount val="24"/>
                <c:pt idx="0">
                  <c:v>569.22333333333336</c:v>
                </c:pt>
                <c:pt idx="1">
                  <c:v>568.60666666666668</c:v>
                </c:pt>
                <c:pt idx="2">
                  <c:v>568.81666666666672</c:v>
                </c:pt>
                <c:pt idx="3">
                  <c:v>568.72</c:v>
                </c:pt>
                <c:pt idx="4">
                  <c:v>568.59666666666669</c:v>
                </c:pt>
                <c:pt idx="5">
                  <c:v>568.65</c:v>
                </c:pt>
                <c:pt idx="6">
                  <c:v>568.55833333333328</c:v>
                </c:pt>
                <c:pt idx="7">
                  <c:v>569.74166666666667</c:v>
                </c:pt>
                <c:pt idx="8">
                  <c:v>570.5333333333333</c:v>
                </c:pt>
                <c:pt idx="9">
                  <c:v>570.20999999999992</c:v>
                </c:pt>
                <c:pt idx="10">
                  <c:v>570.64499999999998</c:v>
                </c:pt>
                <c:pt idx="11">
                  <c:v>570.4849999999999</c:v>
                </c:pt>
                <c:pt idx="12">
                  <c:v>570.32000000000005</c:v>
                </c:pt>
                <c:pt idx="13">
                  <c:v>570.16500000000008</c:v>
                </c:pt>
                <c:pt idx="14">
                  <c:v>569.58833333333337</c:v>
                </c:pt>
                <c:pt idx="15">
                  <c:v>569.43833333333339</c:v>
                </c:pt>
                <c:pt idx="16">
                  <c:v>569.07500000000005</c:v>
                </c:pt>
                <c:pt idx="17">
                  <c:v>568.84166666666658</c:v>
                </c:pt>
                <c:pt idx="18">
                  <c:v>569.2399999999999</c:v>
                </c:pt>
                <c:pt idx="19">
                  <c:v>569.57833333333338</c:v>
                </c:pt>
                <c:pt idx="20">
                  <c:v>570.15833333333342</c:v>
                </c:pt>
                <c:pt idx="21">
                  <c:v>570.80166666666662</c:v>
                </c:pt>
                <c:pt idx="22">
                  <c:v>571.93666666666661</c:v>
                </c:pt>
                <c:pt idx="23">
                  <c:v>571.83666666666659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7-47D6-8294-F10E513902B2}"/>
            </c:ext>
          </c:extLst>
        </c:ser>
        <c:ser>
          <c:idx val="1"/>
          <c:order val="1"/>
          <c:tx>
            <c:strRef>
              <c:f>'24-05-24'!$N$11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'24-05-24'!$N$12:$N$35</c:f>
              <c:numCache>
                <c:formatCode>0</c:formatCode>
                <c:ptCount val="24"/>
                <c:pt idx="0">
                  <c:v>568.73333333333323</c:v>
                </c:pt>
                <c:pt idx="1">
                  <c:v>568.28333333333342</c:v>
                </c:pt>
                <c:pt idx="2">
                  <c:v>568.33333333333326</c:v>
                </c:pt>
                <c:pt idx="3">
                  <c:v>568.04999999999995</c:v>
                </c:pt>
                <c:pt idx="4">
                  <c:v>568.08333333333337</c:v>
                </c:pt>
                <c:pt idx="5">
                  <c:v>567.98333333333335</c:v>
                </c:pt>
                <c:pt idx="6">
                  <c:v>568.38333333333333</c:v>
                </c:pt>
                <c:pt idx="7">
                  <c:v>569.25000000000011</c:v>
                </c:pt>
                <c:pt idx="8">
                  <c:v>569.7166666666667</c:v>
                </c:pt>
                <c:pt idx="9">
                  <c:v>569.88333333333333</c:v>
                </c:pt>
                <c:pt idx="10">
                  <c:v>569.80000000000007</c:v>
                </c:pt>
                <c:pt idx="11">
                  <c:v>569.65</c:v>
                </c:pt>
                <c:pt idx="12">
                  <c:v>569.46666666666658</c:v>
                </c:pt>
                <c:pt idx="13">
                  <c:v>569.50000000000011</c:v>
                </c:pt>
                <c:pt idx="14">
                  <c:v>569.28333333333319</c:v>
                </c:pt>
                <c:pt idx="15">
                  <c:v>568.76666666666654</c:v>
                </c:pt>
                <c:pt idx="16">
                  <c:v>568.25</c:v>
                </c:pt>
                <c:pt idx="17">
                  <c:v>568.18333333333328</c:v>
                </c:pt>
                <c:pt idx="18">
                  <c:v>568.73333333333323</c:v>
                </c:pt>
                <c:pt idx="19">
                  <c:v>569.08333333333337</c:v>
                </c:pt>
                <c:pt idx="20">
                  <c:v>569.65</c:v>
                </c:pt>
                <c:pt idx="21">
                  <c:v>570.31666666666672</c:v>
                </c:pt>
                <c:pt idx="22">
                  <c:v>571.13333333333333</c:v>
                </c:pt>
                <c:pt idx="23">
                  <c:v>571.5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7-47D6-8294-F10E51390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'24-05-24'!$K$12:$K$35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A-4D0C-8766-60460DB057B3}"/>
            </c:ext>
          </c:extLst>
        </c:ser>
        <c:ser>
          <c:idx val="1"/>
          <c:order val="1"/>
          <c:tx>
            <c:strRef>
              <c:f>'24-05-24'!$S$11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'24-05-24'!$S$12:$S$34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3A-4D0C-8766-60460DB05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'24-11-25'!$D$12:$D$35</c:f>
              <c:numCache>
                <c:formatCode>0</c:formatCode>
                <c:ptCount val="24"/>
                <c:pt idx="0">
                  <c:v>10.604999999999999</c:v>
                </c:pt>
                <c:pt idx="1">
                  <c:v>9.9933333333333323</c:v>
                </c:pt>
                <c:pt idx="2">
                  <c:v>9.625</c:v>
                </c:pt>
                <c:pt idx="3">
                  <c:v>8.7216666666666676</c:v>
                </c:pt>
                <c:pt idx="4">
                  <c:v>8.8733333333333331</c:v>
                </c:pt>
                <c:pt idx="5">
                  <c:v>9.1483333333333334</c:v>
                </c:pt>
                <c:pt idx="6">
                  <c:v>8.8766666666666652</c:v>
                </c:pt>
                <c:pt idx="7">
                  <c:v>10.368333333333334</c:v>
                </c:pt>
                <c:pt idx="8">
                  <c:v>12.078333333333333</c:v>
                </c:pt>
                <c:pt idx="9">
                  <c:v>14.898333333333333</c:v>
                </c:pt>
                <c:pt idx="10">
                  <c:v>16.118333333333332</c:v>
                </c:pt>
                <c:pt idx="11">
                  <c:v>16.963333333333335</c:v>
                </c:pt>
                <c:pt idx="12">
                  <c:v>17.478333333333335</c:v>
                </c:pt>
                <c:pt idx="13">
                  <c:v>18.185000000000002</c:v>
                </c:pt>
                <c:pt idx="14">
                  <c:v>17.193333333333335</c:v>
                </c:pt>
                <c:pt idx="15">
                  <c:v>16.275000000000002</c:v>
                </c:pt>
                <c:pt idx="16">
                  <c:v>16.580000000000002</c:v>
                </c:pt>
                <c:pt idx="17">
                  <c:v>15.090000000000002</c:v>
                </c:pt>
                <c:pt idx="18">
                  <c:v>14.575000000000001</c:v>
                </c:pt>
                <c:pt idx="19">
                  <c:v>13.751666666666667</c:v>
                </c:pt>
                <c:pt idx="20">
                  <c:v>13.223333333333334</c:v>
                </c:pt>
                <c:pt idx="21">
                  <c:v>12.738333333333335</c:v>
                </c:pt>
                <c:pt idx="22">
                  <c:v>12.284999999999998</c:v>
                </c:pt>
                <c:pt idx="23">
                  <c:v>11.63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F-4E57-BF54-BDD4CDCB45CA}"/>
            </c:ext>
          </c:extLst>
        </c:ser>
        <c:ser>
          <c:idx val="1"/>
          <c:order val="1"/>
          <c:tx>
            <c:strRef>
              <c:f>'24-11-25'!$L$11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'24-11-25'!$L$12:$L$35</c:f>
              <c:numCache>
                <c:formatCode>0</c:formatCode>
                <c:ptCount val="24"/>
                <c:pt idx="0">
                  <c:v>10.82</c:v>
                </c:pt>
                <c:pt idx="1">
                  <c:v>10.196666666666667</c:v>
                </c:pt>
                <c:pt idx="2">
                  <c:v>9.8216666666666672</c:v>
                </c:pt>
                <c:pt idx="3">
                  <c:v>8.9016666666666673</c:v>
                </c:pt>
                <c:pt idx="4">
                  <c:v>9.0533333333333328</c:v>
                </c:pt>
                <c:pt idx="5">
                  <c:v>9.3349999999999991</c:v>
                </c:pt>
                <c:pt idx="6">
                  <c:v>9.0583333333333318</c:v>
                </c:pt>
                <c:pt idx="7">
                  <c:v>10.58</c:v>
                </c:pt>
                <c:pt idx="8">
                  <c:v>12.326666666666666</c:v>
                </c:pt>
                <c:pt idx="9">
                  <c:v>15.201666666666668</c:v>
                </c:pt>
                <c:pt idx="10">
                  <c:v>16.446666666666669</c:v>
                </c:pt>
                <c:pt idx="11">
                  <c:v>17.311666666666667</c:v>
                </c:pt>
                <c:pt idx="12">
                  <c:v>17.833333333333332</c:v>
                </c:pt>
                <c:pt idx="13">
                  <c:v>18.555</c:v>
                </c:pt>
                <c:pt idx="14">
                  <c:v>17.543333333333333</c:v>
                </c:pt>
                <c:pt idx="15">
                  <c:v>16.606666666666669</c:v>
                </c:pt>
                <c:pt idx="16">
                  <c:v>16.918333333333333</c:v>
                </c:pt>
                <c:pt idx="17">
                  <c:v>15.395000000000001</c:v>
                </c:pt>
                <c:pt idx="18">
                  <c:v>14.871666666666664</c:v>
                </c:pt>
                <c:pt idx="19">
                  <c:v>14.031666666666666</c:v>
                </c:pt>
                <c:pt idx="20">
                  <c:v>13.493333333333332</c:v>
                </c:pt>
                <c:pt idx="21">
                  <c:v>12.998333333333333</c:v>
                </c:pt>
                <c:pt idx="22">
                  <c:v>12.536666666666667</c:v>
                </c:pt>
                <c:pt idx="23">
                  <c:v>11.868333333333334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F-4E57-BF54-BDD4CDCB4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'24-11-25'!$E$12:$E$35</c:f>
              <c:numCache>
                <c:formatCode>0</c:formatCode>
                <c:ptCount val="24"/>
                <c:pt idx="0">
                  <c:v>89.853333333333339</c:v>
                </c:pt>
                <c:pt idx="1">
                  <c:v>91.035000000000011</c:v>
                </c:pt>
                <c:pt idx="2">
                  <c:v>92.293333333333337</c:v>
                </c:pt>
                <c:pt idx="3">
                  <c:v>92.773333333333326</c:v>
                </c:pt>
                <c:pt idx="4">
                  <c:v>93.481666666666669</c:v>
                </c:pt>
                <c:pt idx="5">
                  <c:v>93.73</c:v>
                </c:pt>
                <c:pt idx="6">
                  <c:v>93.73</c:v>
                </c:pt>
                <c:pt idx="7">
                  <c:v>93.425000000000011</c:v>
                </c:pt>
                <c:pt idx="8">
                  <c:v>90.161666666666676</c:v>
                </c:pt>
                <c:pt idx="9">
                  <c:v>75.966666666666654</c:v>
                </c:pt>
                <c:pt idx="10">
                  <c:v>68.164999999999992</c:v>
                </c:pt>
                <c:pt idx="11">
                  <c:v>64.466666666666654</c:v>
                </c:pt>
                <c:pt idx="12">
                  <c:v>63.931666666666665</c:v>
                </c:pt>
                <c:pt idx="13">
                  <c:v>59.220000000000006</c:v>
                </c:pt>
                <c:pt idx="14">
                  <c:v>67.518333333333331</c:v>
                </c:pt>
                <c:pt idx="15">
                  <c:v>76.444999999999993</c:v>
                </c:pt>
                <c:pt idx="16">
                  <c:v>75.873333333333335</c:v>
                </c:pt>
                <c:pt idx="17">
                  <c:v>81.098333333333343</c:v>
                </c:pt>
                <c:pt idx="18">
                  <c:v>81.691666666666677</c:v>
                </c:pt>
                <c:pt idx="19">
                  <c:v>87.334999999999994</c:v>
                </c:pt>
                <c:pt idx="20">
                  <c:v>90.79</c:v>
                </c:pt>
                <c:pt idx="21">
                  <c:v>90.578333333333333</c:v>
                </c:pt>
                <c:pt idx="22">
                  <c:v>90.12166666666667</c:v>
                </c:pt>
                <c:pt idx="23">
                  <c:v>90.084999999999994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6-4402-90FA-0955CF274A92}"/>
            </c:ext>
          </c:extLst>
        </c:ser>
        <c:ser>
          <c:idx val="1"/>
          <c:order val="1"/>
          <c:tx>
            <c:strRef>
              <c:f>'24-11-25'!$M$11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'24-11-25'!$M$12:$M$35</c:f>
              <c:numCache>
                <c:formatCode>0</c:formatCode>
                <c:ptCount val="24"/>
                <c:pt idx="0">
                  <c:v>87.236666666666665</c:v>
                </c:pt>
                <c:pt idx="1">
                  <c:v>88.384999999999991</c:v>
                </c:pt>
                <c:pt idx="2">
                  <c:v>89.606666666666669</c:v>
                </c:pt>
                <c:pt idx="3">
                  <c:v>90.071666666666673</c:v>
                </c:pt>
                <c:pt idx="4">
                  <c:v>90.758333333333326</c:v>
                </c:pt>
                <c:pt idx="5">
                  <c:v>91</c:v>
                </c:pt>
                <c:pt idx="6">
                  <c:v>91</c:v>
                </c:pt>
                <c:pt idx="7">
                  <c:v>90.703333333333333</c:v>
                </c:pt>
                <c:pt idx="8">
                  <c:v>87.535000000000011</c:v>
                </c:pt>
                <c:pt idx="9">
                  <c:v>73.754999999999995</c:v>
                </c:pt>
                <c:pt idx="10">
                  <c:v>66.180000000000007</c:v>
                </c:pt>
                <c:pt idx="11">
                  <c:v>62.588333333333338</c:v>
                </c:pt>
                <c:pt idx="12">
                  <c:v>62.068333333333349</c:v>
                </c:pt>
                <c:pt idx="13">
                  <c:v>57.495000000000005</c:v>
                </c:pt>
                <c:pt idx="14">
                  <c:v>65.553333333333327</c:v>
                </c:pt>
                <c:pt idx="15">
                  <c:v>74.220000000000013</c:v>
                </c:pt>
                <c:pt idx="16">
                  <c:v>73.663333333333327</c:v>
                </c:pt>
                <c:pt idx="17">
                  <c:v>78.736666666666665</c:v>
                </c:pt>
                <c:pt idx="18">
                  <c:v>79.313333333333333</c:v>
                </c:pt>
                <c:pt idx="19">
                  <c:v>84.791666666666671</c:v>
                </c:pt>
                <c:pt idx="20">
                  <c:v>88.144999999999996</c:v>
                </c:pt>
                <c:pt idx="21">
                  <c:v>87.94</c:v>
                </c:pt>
                <c:pt idx="22">
                  <c:v>87.49666666666667</c:v>
                </c:pt>
                <c:pt idx="23">
                  <c:v>87.46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6-4402-90FA-0955CF27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'24-11-25'!$G$12:$G$35</c:f>
              <c:numCache>
                <c:formatCode>0</c:formatCode>
                <c:ptCount val="24"/>
                <c:pt idx="0">
                  <c:v>337.5</c:v>
                </c:pt>
                <c:pt idx="1">
                  <c:v>292.5</c:v>
                </c:pt>
                <c:pt idx="2">
                  <c:v>225</c:v>
                </c:pt>
                <c:pt idx="3">
                  <c:v>315</c:v>
                </c:pt>
                <c:pt idx="4">
                  <c:v>0</c:v>
                </c:pt>
                <c:pt idx="5">
                  <c:v>90</c:v>
                </c:pt>
                <c:pt idx="6">
                  <c:v>135</c:v>
                </c:pt>
                <c:pt idx="7">
                  <c:v>315</c:v>
                </c:pt>
                <c:pt idx="8">
                  <c:v>22.5</c:v>
                </c:pt>
                <c:pt idx="9">
                  <c:v>67.5</c:v>
                </c:pt>
                <c:pt idx="10">
                  <c:v>67.5</c:v>
                </c:pt>
                <c:pt idx="11">
                  <c:v>67.5</c:v>
                </c:pt>
                <c:pt idx="12">
                  <c:v>22.5</c:v>
                </c:pt>
                <c:pt idx="13">
                  <c:v>112.5</c:v>
                </c:pt>
                <c:pt idx="14">
                  <c:v>112.5</c:v>
                </c:pt>
                <c:pt idx="15">
                  <c:v>247.5</c:v>
                </c:pt>
                <c:pt idx="16">
                  <c:v>292.5</c:v>
                </c:pt>
                <c:pt idx="17">
                  <c:v>337.5</c:v>
                </c:pt>
                <c:pt idx="18">
                  <c:v>337.5</c:v>
                </c:pt>
                <c:pt idx="19">
                  <c:v>292.5</c:v>
                </c:pt>
                <c:pt idx="20">
                  <c:v>225</c:v>
                </c:pt>
                <c:pt idx="21">
                  <c:v>337.5</c:v>
                </c:pt>
                <c:pt idx="22">
                  <c:v>337.5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D-4255-9E66-2425BD467B41}"/>
            </c:ext>
          </c:extLst>
        </c:ser>
        <c:ser>
          <c:idx val="1"/>
          <c:order val="1"/>
          <c:tx>
            <c:strRef>
              <c:f>'24-11-25'!$O$11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'24-11-25'!$O$12:$O$35</c:f>
              <c:numCache>
                <c:formatCode>0</c:formatCode>
                <c:ptCount val="24"/>
                <c:pt idx="0">
                  <c:v>322.27999999999997</c:v>
                </c:pt>
                <c:pt idx="1">
                  <c:v>276</c:v>
                </c:pt>
                <c:pt idx="2">
                  <c:v>208.48</c:v>
                </c:pt>
                <c:pt idx="3">
                  <c:v>322.42</c:v>
                </c:pt>
                <c:pt idx="4">
                  <c:v>5.16</c:v>
                </c:pt>
                <c:pt idx="5">
                  <c:v>76.58</c:v>
                </c:pt>
                <c:pt idx="6">
                  <c:v>130.31</c:v>
                </c:pt>
                <c:pt idx="7">
                  <c:v>303.91000000000003</c:v>
                </c:pt>
                <c:pt idx="8">
                  <c:v>20.96</c:v>
                </c:pt>
                <c:pt idx="9">
                  <c:v>67.099999999999994</c:v>
                </c:pt>
                <c:pt idx="10">
                  <c:v>64.989999999999995</c:v>
                </c:pt>
                <c:pt idx="11">
                  <c:v>67.849999999999994</c:v>
                </c:pt>
                <c:pt idx="12">
                  <c:v>12.95</c:v>
                </c:pt>
                <c:pt idx="13">
                  <c:v>97.54</c:v>
                </c:pt>
                <c:pt idx="14">
                  <c:v>98.89</c:v>
                </c:pt>
                <c:pt idx="15">
                  <c:v>246.68</c:v>
                </c:pt>
                <c:pt idx="16">
                  <c:v>282.68</c:v>
                </c:pt>
                <c:pt idx="17">
                  <c:v>326.32</c:v>
                </c:pt>
                <c:pt idx="18">
                  <c:v>331.89</c:v>
                </c:pt>
                <c:pt idx="19">
                  <c:v>289.49</c:v>
                </c:pt>
                <c:pt idx="20">
                  <c:v>215.29</c:v>
                </c:pt>
                <c:pt idx="21">
                  <c:v>332.71</c:v>
                </c:pt>
                <c:pt idx="22">
                  <c:v>333.79</c:v>
                </c:pt>
                <c:pt idx="23">
                  <c:v>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D-4255-9E66-2425BD46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'24-11-25'!$H$12:$H$35</c:f>
              <c:numCache>
                <c:formatCode>0</c:formatCode>
                <c:ptCount val="24"/>
                <c:pt idx="0">
                  <c:v>1.5933333333333335</c:v>
                </c:pt>
                <c:pt idx="1">
                  <c:v>1.675</c:v>
                </c:pt>
                <c:pt idx="2">
                  <c:v>1.07</c:v>
                </c:pt>
                <c:pt idx="3">
                  <c:v>2.3450000000000002</c:v>
                </c:pt>
                <c:pt idx="4">
                  <c:v>0.71</c:v>
                </c:pt>
                <c:pt idx="5">
                  <c:v>1.5183333333333333</c:v>
                </c:pt>
                <c:pt idx="6">
                  <c:v>1.7133333333333336</c:v>
                </c:pt>
                <c:pt idx="7">
                  <c:v>2.0266666666666668</c:v>
                </c:pt>
                <c:pt idx="8">
                  <c:v>2.311666666666667</c:v>
                </c:pt>
                <c:pt idx="9">
                  <c:v>3.5116666666666667</c:v>
                </c:pt>
                <c:pt idx="10">
                  <c:v>4.0633333333333335</c:v>
                </c:pt>
                <c:pt idx="11">
                  <c:v>3.7666666666666662</c:v>
                </c:pt>
                <c:pt idx="12">
                  <c:v>2.6533333333333338</c:v>
                </c:pt>
                <c:pt idx="13">
                  <c:v>2.8533333333333335</c:v>
                </c:pt>
                <c:pt idx="14">
                  <c:v>3.7349999999999994</c:v>
                </c:pt>
                <c:pt idx="15">
                  <c:v>3.2533333333333334</c:v>
                </c:pt>
                <c:pt idx="16">
                  <c:v>3.7633333333333336</c:v>
                </c:pt>
                <c:pt idx="17">
                  <c:v>3.7333333333333338</c:v>
                </c:pt>
                <c:pt idx="18">
                  <c:v>4.2833333333333332</c:v>
                </c:pt>
                <c:pt idx="19">
                  <c:v>1.8183333333333336</c:v>
                </c:pt>
                <c:pt idx="20">
                  <c:v>2.08</c:v>
                </c:pt>
                <c:pt idx="21">
                  <c:v>2.63</c:v>
                </c:pt>
                <c:pt idx="22">
                  <c:v>2.5350000000000001</c:v>
                </c:pt>
                <c:pt idx="23">
                  <c:v>1.7166666666666668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D-4C69-9EB6-14B1C841C973}"/>
            </c:ext>
          </c:extLst>
        </c:ser>
        <c:ser>
          <c:idx val="1"/>
          <c:order val="1"/>
          <c:tx>
            <c:strRef>
              <c:f>'24-11-25'!$P$11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'24-11-25'!$P$12:$P$35</c:f>
              <c:numCache>
                <c:formatCode>0</c:formatCode>
                <c:ptCount val="24"/>
                <c:pt idx="0">
                  <c:v>0.92666666666666664</c:v>
                </c:pt>
                <c:pt idx="1">
                  <c:v>1.175</c:v>
                </c:pt>
                <c:pt idx="2">
                  <c:v>0.56999999999999995</c:v>
                </c:pt>
                <c:pt idx="3">
                  <c:v>1.5116666666666667</c:v>
                </c:pt>
                <c:pt idx="4">
                  <c:v>0.54333333333333333</c:v>
                </c:pt>
                <c:pt idx="5">
                  <c:v>0.85166666666666668</c:v>
                </c:pt>
                <c:pt idx="6">
                  <c:v>1.2133333333333334</c:v>
                </c:pt>
                <c:pt idx="7">
                  <c:v>1.5266666666666666</c:v>
                </c:pt>
                <c:pt idx="8">
                  <c:v>2.145</c:v>
                </c:pt>
                <c:pt idx="9">
                  <c:v>3.0116666666666667</c:v>
                </c:pt>
                <c:pt idx="10">
                  <c:v>3.7300000000000004</c:v>
                </c:pt>
                <c:pt idx="11">
                  <c:v>3.0999999999999996</c:v>
                </c:pt>
                <c:pt idx="12">
                  <c:v>2.1533333333333338</c:v>
                </c:pt>
                <c:pt idx="13">
                  <c:v>2.186666666666667</c:v>
                </c:pt>
                <c:pt idx="14">
                  <c:v>3.7349999999999994</c:v>
                </c:pt>
                <c:pt idx="15">
                  <c:v>2.5866666666666669</c:v>
                </c:pt>
                <c:pt idx="16">
                  <c:v>3.2633333333333336</c:v>
                </c:pt>
                <c:pt idx="17">
                  <c:v>3.5666666666666669</c:v>
                </c:pt>
                <c:pt idx="18">
                  <c:v>3.6166666666666667</c:v>
                </c:pt>
                <c:pt idx="19">
                  <c:v>1.3183333333333336</c:v>
                </c:pt>
                <c:pt idx="20">
                  <c:v>1.4133333333333333</c:v>
                </c:pt>
                <c:pt idx="21">
                  <c:v>1.7966666666666666</c:v>
                </c:pt>
                <c:pt idx="22">
                  <c:v>2.0350000000000001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D-4C69-9EB6-14B1C841C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B-473A-8877-88129BCB4A6F}"/>
            </c:ext>
          </c:extLst>
        </c:ser>
        <c:ser>
          <c:idx val="1"/>
          <c:order val="1"/>
          <c:tx>
            <c:strRef>
              <c:f>'24-11-25'!$R$11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B-473A-8877-88129BCB4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'24-11-25'!$F$12:$F$35</c:f>
              <c:numCache>
                <c:formatCode>0</c:formatCode>
                <c:ptCount val="24"/>
                <c:pt idx="0">
                  <c:v>571.14</c:v>
                </c:pt>
                <c:pt idx="1">
                  <c:v>570.86166666666668</c:v>
                </c:pt>
                <c:pt idx="2">
                  <c:v>569.58500000000004</c:v>
                </c:pt>
                <c:pt idx="3">
                  <c:v>569.82833333333338</c:v>
                </c:pt>
                <c:pt idx="4">
                  <c:v>570.45666666666659</c:v>
                </c:pt>
                <c:pt idx="5">
                  <c:v>570.76166666666666</c:v>
                </c:pt>
                <c:pt idx="6">
                  <c:v>571.07333333333338</c:v>
                </c:pt>
                <c:pt idx="7">
                  <c:v>572.00166666666667</c:v>
                </c:pt>
                <c:pt idx="8">
                  <c:v>572.37166666666656</c:v>
                </c:pt>
                <c:pt idx="9">
                  <c:v>572.13333333333333</c:v>
                </c:pt>
                <c:pt idx="10">
                  <c:v>571.39333333333332</c:v>
                </c:pt>
                <c:pt idx="11">
                  <c:v>570.52666666666664</c:v>
                </c:pt>
                <c:pt idx="12">
                  <c:v>569.28833333333341</c:v>
                </c:pt>
                <c:pt idx="13">
                  <c:v>567.8266666666666</c:v>
                </c:pt>
                <c:pt idx="14">
                  <c:v>567.31166666666661</c:v>
                </c:pt>
                <c:pt idx="15">
                  <c:v>566.61</c:v>
                </c:pt>
                <c:pt idx="16">
                  <c:v>566.375</c:v>
                </c:pt>
                <c:pt idx="17">
                  <c:v>567.01</c:v>
                </c:pt>
                <c:pt idx="18">
                  <c:v>567.33499999999992</c:v>
                </c:pt>
                <c:pt idx="19">
                  <c:v>568.37</c:v>
                </c:pt>
                <c:pt idx="20">
                  <c:v>569.27</c:v>
                </c:pt>
                <c:pt idx="21">
                  <c:v>569.62833333333344</c:v>
                </c:pt>
                <c:pt idx="22">
                  <c:v>570.14166666666665</c:v>
                </c:pt>
                <c:pt idx="23">
                  <c:v>570.005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A-41AF-AE11-17CED00B6BD6}"/>
            </c:ext>
          </c:extLst>
        </c:ser>
        <c:ser>
          <c:idx val="1"/>
          <c:order val="1"/>
          <c:tx>
            <c:strRef>
              <c:f>'24-11-25'!$N$11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'24-11-25'!$N$12:$N$35</c:f>
              <c:numCache>
                <c:formatCode>0</c:formatCode>
                <c:ptCount val="24"/>
                <c:pt idx="0">
                  <c:v>570.30666666666662</c:v>
                </c:pt>
                <c:pt idx="1">
                  <c:v>570.02833333333331</c:v>
                </c:pt>
                <c:pt idx="2">
                  <c:v>569.41833333333341</c:v>
                </c:pt>
                <c:pt idx="3">
                  <c:v>569.495</c:v>
                </c:pt>
                <c:pt idx="4">
                  <c:v>569.95666666666659</c:v>
                </c:pt>
                <c:pt idx="5">
                  <c:v>570.09499999999991</c:v>
                </c:pt>
                <c:pt idx="6">
                  <c:v>570.74</c:v>
                </c:pt>
                <c:pt idx="7">
                  <c:v>571.50166666666667</c:v>
                </c:pt>
                <c:pt idx="8">
                  <c:v>571.87166666666656</c:v>
                </c:pt>
                <c:pt idx="9">
                  <c:v>571.4666666666667</c:v>
                </c:pt>
                <c:pt idx="10">
                  <c:v>570.72666666666669</c:v>
                </c:pt>
                <c:pt idx="11">
                  <c:v>569.69333333333327</c:v>
                </c:pt>
                <c:pt idx="12">
                  <c:v>568.45500000000004</c:v>
                </c:pt>
                <c:pt idx="13">
                  <c:v>567.49333333333323</c:v>
                </c:pt>
                <c:pt idx="14">
                  <c:v>566.81166666666661</c:v>
                </c:pt>
                <c:pt idx="15">
                  <c:v>566.11</c:v>
                </c:pt>
                <c:pt idx="16">
                  <c:v>565.875</c:v>
                </c:pt>
                <c:pt idx="17">
                  <c:v>566.17666666666662</c:v>
                </c:pt>
                <c:pt idx="18">
                  <c:v>567.00166666666667</c:v>
                </c:pt>
                <c:pt idx="19">
                  <c:v>568.03666666666663</c:v>
                </c:pt>
                <c:pt idx="20">
                  <c:v>568.77</c:v>
                </c:pt>
                <c:pt idx="21">
                  <c:v>569.29500000000007</c:v>
                </c:pt>
                <c:pt idx="22">
                  <c:v>569.80833333333328</c:v>
                </c:pt>
                <c:pt idx="23">
                  <c:v>569.67166666666662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A-41AF-AE11-17CED00B6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7-4434-90C3-398C9A05A304}"/>
            </c:ext>
          </c:extLst>
        </c:ser>
        <c:ser>
          <c:idx val="1"/>
          <c:order val="1"/>
          <c:tx>
            <c:strRef>
              <c:f>'24-11-25'!$S$11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7-4434-90C3-398C9A05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14.888333333333334</c:v>
                </c:pt>
                <c:pt idx="6">
                  <c:v>110.71666666666665</c:v>
                </c:pt>
                <c:pt idx="7">
                  <c:v>232.95833333333334</c:v>
                </c:pt>
                <c:pt idx="8">
                  <c:v>319.53166666666669</c:v>
                </c:pt>
                <c:pt idx="9">
                  <c:v>572.90333333333331</c:v>
                </c:pt>
                <c:pt idx="10">
                  <c:v>696.31000000000006</c:v>
                </c:pt>
                <c:pt idx="11">
                  <c:v>501.9016666666667</c:v>
                </c:pt>
                <c:pt idx="12">
                  <c:v>318.16333333333336</c:v>
                </c:pt>
                <c:pt idx="13">
                  <c:v>340.75333333333333</c:v>
                </c:pt>
                <c:pt idx="14">
                  <c:v>169.51500000000001</c:v>
                </c:pt>
                <c:pt idx="15">
                  <c:v>333.20000000000005</c:v>
                </c:pt>
                <c:pt idx="16">
                  <c:v>152.95833333333334</c:v>
                </c:pt>
                <c:pt idx="17">
                  <c:v>63.238333333333323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1-4606-9CC5-C56A860149B4}"/>
            </c:ext>
          </c:extLst>
        </c:ser>
        <c:ser>
          <c:idx val="1"/>
          <c:order val="1"/>
          <c:tx>
            <c:strRef>
              <c:f>'24-11-25'!$Q$11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'24-11-25'!$Q$12:$Q$35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0.72166666666666668</c:v>
                </c:pt>
                <c:pt idx="6">
                  <c:v>56.883333333333326</c:v>
                </c:pt>
                <c:pt idx="7">
                  <c:v>171.125</c:v>
                </c:pt>
                <c:pt idx="8">
                  <c:v>277.19833333333332</c:v>
                </c:pt>
                <c:pt idx="9">
                  <c:v>525.23666666666668</c:v>
                </c:pt>
                <c:pt idx="10">
                  <c:v>640.64333333333332</c:v>
                </c:pt>
                <c:pt idx="11">
                  <c:v>436.9016666666667</c:v>
                </c:pt>
                <c:pt idx="12">
                  <c:v>275.83</c:v>
                </c:pt>
                <c:pt idx="13">
                  <c:v>310.92</c:v>
                </c:pt>
                <c:pt idx="14">
                  <c:v>118.015</c:v>
                </c:pt>
                <c:pt idx="15">
                  <c:v>295.2</c:v>
                </c:pt>
                <c:pt idx="16">
                  <c:v>103.29166666666667</c:v>
                </c:pt>
                <c:pt idx="17">
                  <c:v>26.405000000000001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1-4606-9CC5-C56A8601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'25-05-28'!$D$12:$D$35</c:f>
              <c:numCache>
                <c:formatCode>0</c:formatCode>
                <c:ptCount val="24"/>
                <c:pt idx="0">
                  <c:v>13.983333333333334</c:v>
                </c:pt>
                <c:pt idx="1">
                  <c:v>14.081666666666665</c:v>
                </c:pt>
                <c:pt idx="2">
                  <c:v>14.096666666666669</c:v>
                </c:pt>
                <c:pt idx="3">
                  <c:v>13.683333333333332</c:v>
                </c:pt>
                <c:pt idx="4">
                  <c:v>13.266666666666667</c:v>
                </c:pt>
                <c:pt idx="5">
                  <c:v>13.873333333333335</c:v>
                </c:pt>
                <c:pt idx="6">
                  <c:v>14.448333333333332</c:v>
                </c:pt>
                <c:pt idx="7">
                  <c:v>15.203333333333333</c:v>
                </c:pt>
                <c:pt idx="8">
                  <c:v>15.631666666666666</c:v>
                </c:pt>
                <c:pt idx="9">
                  <c:v>16.186666666666664</c:v>
                </c:pt>
                <c:pt idx="10">
                  <c:v>16.411666666666665</c:v>
                </c:pt>
                <c:pt idx="11">
                  <c:v>16.781666666666666</c:v>
                </c:pt>
                <c:pt idx="12">
                  <c:v>17.38</c:v>
                </c:pt>
                <c:pt idx="13">
                  <c:v>17.831666666666667</c:v>
                </c:pt>
                <c:pt idx="14">
                  <c:v>17.888333333333332</c:v>
                </c:pt>
                <c:pt idx="15">
                  <c:v>18.141666666666666</c:v>
                </c:pt>
                <c:pt idx="16">
                  <c:v>17.958333333333332</c:v>
                </c:pt>
                <c:pt idx="17">
                  <c:v>17.794999999999998</c:v>
                </c:pt>
                <c:pt idx="18">
                  <c:v>16.873333333333331</c:v>
                </c:pt>
                <c:pt idx="19">
                  <c:v>16.306666666666665</c:v>
                </c:pt>
                <c:pt idx="20">
                  <c:v>15.005000000000001</c:v>
                </c:pt>
                <c:pt idx="21">
                  <c:v>14.065</c:v>
                </c:pt>
                <c:pt idx="22">
                  <c:v>14.510000000000003</c:v>
                </c:pt>
                <c:pt idx="23">
                  <c:v>14.596666666666666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4-4179-BF4D-1ECD643BEB75}"/>
            </c:ext>
          </c:extLst>
        </c:ser>
        <c:ser>
          <c:idx val="1"/>
          <c:order val="1"/>
          <c:tx>
            <c:strRef>
              <c:f>'25-05-28'!$L$11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'25-05-28'!$L$12:$L$35</c:f>
              <c:numCache>
                <c:formatCode>0</c:formatCode>
                <c:ptCount val="24"/>
                <c:pt idx="0">
                  <c:v>14.283333333333333</c:v>
                </c:pt>
                <c:pt idx="1">
                  <c:v>14.366666666666667</c:v>
                </c:pt>
                <c:pt idx="2">
                  <c:v>14.383333333333335</c:v>
                </c:pt>
                <c:pt idx="3">
                  <c:v>13.983333333333334</c:v>
                </c:pt>
                <c:pt idx="4">
                  <c:v>13.549999999999999</c:v>
                </c:pt>
                <c:pt idx="5">
                  <c:v>14.16666666666667</c:v>
                </c:pt>
                <c:pt idx="6">
                  <c:v>14.766666666666667</c:v>
                </c:pt>
                <c:pt idx="7">
                  <c:v>15.516666666666666</c:v>
                </c:pt>
                <c:pt idx="8">
                  <c:v>15.949999999999998</c:v>
                </c:pt>
                <c:pt idx="9">
                  <c:v>16.533333333333331</c:v>
                </c:pt>
                <c:pt idx="10">
                  <c:v>16.749999999999996</c:v>
                </c:pt>
                <c:pt idx="11">
                  <c:v>17.149999999999999</c:v>
                </c:pt>
                <c:pt idx="12">
                  <c:v>17.75</c:v>
                </c:pt>
                <c:pt idx="13">
                  <c:v>18.2</c:v>
                </c:pt>
                <c:pt idx="14">
                  <c:v>18.266666666666669</c:v>
                </c:pt>
                <c:pt idx="15">
                  <c:v>18.516666666666669</c:v>
                </c:pt>
                <c:pt idx="16">
                  <c:v>18.333333333333332</c:v>
                </c:pt>
                <c:pt idx="17">
                  <c:v>18.166666666666668</c:v>
                </c:pt>
                <c:pt idx="18">
                  <c:v>17.216666666666669</c:v>
                </c:pt>
                <c:pt idx="19">
                  <c:v>16.633333333333333</c:v>
                </c:pt>
                <c:pt idx="20">
                  <c:v>15.316666666666668</c:v>
                </c:pt>
                <c:pt idx="21">
                  <c:v>14.333333333333336</c:v>
                </c:pt>
                <c:pt idx="22">
                  <c:v>14.833333333333334</c:v>
                </c:pt>
                <c:pt idx="23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4-4179-BF4D-1ECD643B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'25-05-28'!$E$12:$E$35</c:f>
              <c:numCache>
                <c:formatCode>0</c:formatCode>
                <c:ptCount val="24"/>
                <c:pt idx="0">
                  <c:v>87.796666666666667</c:v>
                </c:pt>
                <c:pt idx="1">
                  <c:v>87.834999999999994</c:v>
                </c:pt>
                <c:pt idx="2">
                  <c:v>87.11</c:v>
                </c:pt>
                <c:pt idx="3">
                  <c:v>88.308333333333337</c:v>
                </c:pt>
                <c:pt idx="4">
                  <c:v>89.149999999999991</c:v>
                </c:pt>
                <c:pt idx="5">
                  <c:v>84.033333333333346</c:v>
                </c:pt>
                <c:pt idx="6">
                  <c:v>81.14</c:v>
                </c:pt>
                <c:pt idx="7">
                  <c:v>77.418333333333337</c:v>
                </c:pt>
                <c:pt idx="8">
                  <c:v>75.625</c:v>
                </c:pt>
                <c:pt idx="9">
                  <c:v>73.656666666666666</c:v>
                </c:pt>
                <c:pt idx="10">
                  <c:v>72.708333333333329</c:v>
                </c:pt>
                <c:pt idx="11">
                  <c:v>71.809999999999988</c:v>
                </c:pt>
                <c:pt idx="12">
                  <c:v>69.198333333333338</c:v>
                </c:pt>
                <c:pt idx="13">
                  <c:v>66.165000000000006</c:v>
                </c:pt>
                <c:pt idx="14">
                  <c:v>65.821666666666673</c:v>
                </c:pt>
                <c:pt idx="15">
                  <c:v>65.765000000000001</c:v>
                </c:pt>
                <c:pt idx="16">
                  <c:v>67.138333333333335</c:v>
                </c:pt>
                <c:pt idx="17">
                  <c:v>65.63000000000001</c:v>
                </c:pt>
                <c:pt idx="18">
                  <c:v>69.15666666666668</c:v>
                </c:pt>
                <c:pt idx="19">
                  <c:v>72.348333333333329</c:v>
                </c:pt>
                <c:pt idx="20">
                  <c:v>79.918333333333337</c:v>
                </c:pt>
                <c:pt idx="21">
                  <c:v>84.323333333333323</c:v>
                </c:pt>
                <c:pt idx="22">
                  <c:v>82.723333333333343</c:v>
                </c:pt>
                <c:pt idx="23">
                  <c:v>81.594999999999999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F-4854-9168-D8203312B043}"/>
            </c:ext>
          </c:extLst>
        </c:ser>
        <c:ser>
          <c:idx val="1"/>
          <c:order val="1"/>
          <c:tx>
            <c:strRef>
              <c:f>'25-05-28'!$M$11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'25-05-28'!$M$12:$M$35</c:f>
              <c:numCache>
                <c:formatCode>0</c:formatCode>
                <c:ptCount val="24"/>
                <c:pt idx="0">
                  <c:v>85.233333333333334</c:v>
                </c:pt>
                <c:pt idx="1">
                  <c:v>85.283333333333331</c:v>
                </c:pt>
                <c:pt idx="2">
                  <c:v>84.566666666666663</c:v>
                </c:pt>
                <c:pt idx="3">
                  <c:v>85.733333333333334</c:v>
                </c:pt>
                <c:pt idx="4">
                  <c:v>86.566666666666663</c:v>
                </c:pt>
                <c:pt idx="5">
                  <c:v>81.600000000000009</c:v>
                </c:pt>
                <c:pt idx="6">
                  <c:v>78.783333333333346</c:v>
                </c:pt>
                <c:pt idx="7">
                  <c:v>75.150000000000006</c:v>
                </c:pt>
                <c:pt idx="8">
                  <c:v>73.416666666666671</c:v>
                </c:pt>
                <c:pt idx="9">
                  <c:v>71.533333333333346</c:v>
                </c:pt>
                <c:pt idx="10">
                  <c:v>70.583333333333329</c:v>
                </c:pt>
                <c:pt idx="11">
                  <c:v>69.716666666666654</c:v>
                </c:pt>
                <c:pt idx="12">
                  <c:v>67.2</c:v>
                </c:pt>
                <c:pt idx="13">
                  <c:v>64.233333333333334</c:v>
                </c:pt>
                <c:pt idx="14">
                  <c:v>63.916666666666657</c:v>
                </c:pt>
                <c:pt idx="15">
                  <c:v>63.866666666666674</c:v>
                </c:pt>
                <c:pt idx="16">
                  <c:v>65.183333333333337</c:v>
                </c:pt>
                <c:pt idx="17">
                  <c:v>63.716666666666661</c:v>
                </c:pt>
                <c:pt idx="18">
                  <c:v>67.13333333333334</c:v>
                </c:pt>
                <c:pt idx="19">
                  <c:v>70.233333333333334</c:v>
                </c:pt>
                <c:pt idx="20">
                  <c:v>77.583333333333329</c:v>
                </c:pt>
                <c:pt idx="21">
                  <c:v>81.883333333333326</c:v>
                </c:pt>
                <c:pt idx="22">
                  <c:v>80.316666666666663</c:v>
                </c:pt>
                <c:pt idx="23">
                  <c:v>79.216666666666654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F-4854-9168-D8203312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'25-05-28'!$G$12:$G$35</c:f>
              <c:numCache>
                <c:formatCode>0</c:formatCode>
                <c:ptCount val="24"/>
                <c:pt idx="0">
                  <c:v>67.5</c:v>
                </c:pt>
                <c:pt idx="1">
                  <c:v>112.5</c:v>
                </c:pt>
                <c:pt idx="2">
                  <c:v>135</c:v>
                </c:pt>
                <c:pt idx="3">
                  <c:v>112.5</c:v>
                </c:pt>
                <c:pt idx="4">
                  <c:v>112.5</c:v>
                </c:pt>
                <c:pt idx="5">
                  <c:v>112.5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157.5</c:v>
                </c:pt>
                <c:pt idx="15">
                  <c:v>90</c:v>
                </c:pt>
                <c:pt idx="16">
                  <c:v>90</c:v>
                </c:pt>
                <c:pt idx="17">
                  <c:v>135</c:v>
                </c:pt>
                <c:pt idx="18">
                  <c:v>135</c:v>
                </c:pt>
                <c:pt idx="19">
                  <c:v>135</c:v>
                </c:pt>
                <c:pt idx="20">
                  <c:v>90</c:v>
                </c:pt>
                <c:pt idx="21">
                  <c:v>0</c:v>
                </c:pt>
                <c:pt idx="22">
                  <c:v>90</c:v>
                </c:pt>
                <c:pt idx="23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C-42F5-8F1E-A470369CC2B7}"/>
            </c:ext>
          </c:extLst>
        </c:ser>
        <c:ser>
          <c:idx val="1"/>
          <c:order val="1"/>
          <c:tx>
            <c:strRef>
              <c:f>'25-05-28'!$O$11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'25-05-28'!$O$12:$O$35</c:f>
              <c:numCache>
                <c:formatCode>0</c:formatCode>
                <c:ptCount val="24"/>
                <c:pt idx="0">
                  <c:v>67.5</c:v>
                </c:pt>
                <c:pt idx="1">
                  <c:v>112.5</c:v>
                </c:pt>
                <c:pt idx="2">
                  <c:v>135</c:v>
                </c:pt>
                <c:pt idx="3">
                  <c:v>112.5</c:v>
                </c:pt>
                <c:pt idx="4">
                  <c:v>112.5</c:v>
                </c:pt>
                <c:pt idx="5">
                  <c:v>112.5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135</c:v>
                </c:pt>
                <c:pt idx="15">
                  <c:v>90</c:v>
                </c:pt>
                <c:pt idx="16">
                  <c:v>67.5</c:v>
                </c:pt>
                <c:pt idx="17">
                  <c:v>135</c:v>
                </c:pt>
                <c:pt idx="18">
                  <c:v>112.5</c:v>
                </c:pt>
                <c:pt idx="19">
                  <c:v>135</c:v>
                </c:pt>
                <c:pt idx="20">
                  <c:v>90</c:v>
                </c:pt>
                <c:pt idx="21">
                  <c:v>0</c:v>
                </c:pt>
                <c:pt idx="22">
                  <c:v>67.5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C-42F5-8F1E-A470369CC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'25-05-28'!$H$12:$H$35</c:f>
              <c:numCache>
                <c:formatCode>0</c:formatCode>
                <c:ptCount val="24"/>
                <c:pt idx="0">
                  <c:v>2.77</c:v>
                </c:pt>
                <c:pt idx="1">
                  <c:v>1.5</c:v>
                </c:pt>
                <c:pt idx="2">
                  <c:v>1.6633333333333331</c:v>
                </c:pt>
                <c:pt idx="3">
                  <c:v>2.0533333333333332</c:v>
                </c:pt>
                <c:pt idx="4">
                  <c:v>1.8099999999999998</c:v>
                </c:pt>
                <c:pt idx="5">
                  <c:v>3.4749999999999996</c:v>
                </c:pt>
                <c:pt idx="6">
                  <c:v>5.01</c:v>
                </c:pt>
                <c:pt idx="7">
                  <c:v>4.7450000000000001</c:v>
                </c:pt>
                <c:pt idx="8">
                  <c:v>4.9899999999999993</c:v>
                </c:pt>
                <c:pt idx="9">
                  <c:v>4.666666666666667</c:v>
                </c:pt>
                <c:pt idx="10">
                  <c:v>4.2316666666666665</c:v>
                </c:pt>
                <c:pt idx="11">
                  <c:v>5.3583333333333343</c:v>
                </c:pt>
                <c:pt idx="12">
                  <c:v>5.91</c:v>
                </c:pt>
                <c:pt idx="13">
                  <c:v>4.335</c:v>
                </c:pt>
                <c:pt idx="14">
                  <c:v>3.625</c:v>
                </c:pt>
                <c:pt idx="15">
                  <c:v>4.26</c:v>
                </c:pt>
                <c:pt idx="16">
                  <c:v>4.3816666666666668</c:v>
                </c:pt>
                <c:pt idx="17">
                  <c:v>4.0166666666666666</c:v>
                </c:pt>
                <c:pt idx="18">
                  <c:v>3.7050000000000005</c:v>
                </c:pt>
                <c:pt idx="19">
                  <c:v>3.8916666666666671</c:v>
                </c:pt>
                <c:pt idx="20">
                  <c:v>2.6199999999999997</c:v>
                </c:pt>
                <c:pt idx="21">
                  <c:v>2.6566666666666667</c:v>
                </c:pt>
                <c:pt idx="22">
                  <c:v>2.2533333333333334</c:v>
                </c:pt>
                <c:pt idx="23">
                  <c:v>2.3650000000000002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C-4A50-950F-97E1A3509F8B}"/>
            </c:ext>
          </c:extLst>
        </c:ser>
        <c:ser>
          <c:idx val="1"/>
          <c:order val="1"/>
          <c:tx>
            <c:strRef>
              <c:f>'25-05-28'!$P$11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'25-05-28'!$P$12:$P$35</c:f>
              <c:numCache>
                <c:formatCode>0</c:formatCode>
                <c:ptCount val="24"/>
                <c:pt idx="0">
                  <c:v>2.2833333333333332</c:v>
                </c:pt>
                <c:pt idx="1">
                  <c:v>0.98333333333333328</c:v>
                </c:pt>
                <c:pt idx="2">
                  <c:v>1.3499999999999999</c:v>
                </c:pt>
                <c:pt idx="3">
                  <c:v>1.3666666666666669</c:v>
                </c:pt>
                <c:pt idx="4">
                  <c:v>1.3166666666666667</c:v>
                </c:pt>
                <c:pt idx="5">
                  <c:v>2.9833333333333329</c:v>
                </c:pt>
                <c:pt idx="6">
                  <c:v>4.7</c:v>
                </c:pt>
                <c:pt idx="7">
                  <c:v>4.416666666666667</c:v>
                </c:pt>
                <c:pt idx="8">
                  <c:v>4.6499999999999995</c:v>
                </c:pt>
                <c:pt idx="9">
                  <c:v>4.0166666666666666</c:v>
                </c:pt>
                <c:pt idx="10">
                  <c:v>3.7333333333333329</c:v>
                </c:pt>
                <c:pt idx="11">
                  <c:v>4.8499999999999996</c:v>
                </c:pt>
                <c:pt idx="12">
                  <c:v>4.9333333333333336</c:v>
                </c:pt>
                <c:pt idx="13">
                  <c:v>4.166666666666667</c:v>
                </c:pt>
                <c:pt idx="14">
                  <c:v>3.3000000000000003</c:v>
                </c:pt>
                <c:pt idx="15">
                  <c:v>3.5999999999999996</c:v>
                </c:pt>
                <c:pt idx="16">
                  <c:v>4.0666666666666673</c:v>
                </c:pt>
                <c:pt idx="17">
                  <c:v>3.6833333333333336</c:v>
                </c:pt>
                <c:pt idx="18">
                  <c:v>3.0500000000000003</c:v>
                </c:pt>
                <c:pt idx="19">
                  <c:v>3.2333333333333338</c:v>
                </c:pt>
                <c:pt idx="20">
                  <c:v>2.1500000000000004</c:v>
                </c:pt>
                <c:pt idx="21">
                  <c:v>2.1333333333333333</c:v>
                </c:pt>
                <c:pt idx="22">
                  <c:v>2.0833333333333335</c:v>
                </c:pt>
                <c:pt idx="23">
                  <c:v>2.1999999999999997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C-4A50-950F-97E1A350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6-4D74-8C55-D72A5D09F885}"/>
            </c:ext>
          </c:extLst>
        </c:ser>
        <c:ser>
          <c:idx val="1"/>
          <c:order val="1"/>
          <c:tx>
            <c:strRef>
              <c:f>'25-05-28'!$R$11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6-4D74-8C55-D72A5D09F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'25-05-28'!$F$12:$F$35</c:f>
              <c:numCache>
                <c:formatCode>0</c:formatCode>
                <c:ptCount val="24"/>
                <c:pt idx="0">
                  <c:v>570.80499999999995</c:v>
                </c:pt>
                <c:pt idx="1">
                  <c:v>570.5716666666666</c:v>
                </c:pt>
                <c:pt idx="2">
                  <c:v>570.06333333333339</c:v>
                </c:pt>
                <c:pt idx="3">
                  <c:v>570.05166666666662</c:v>
                </c:pt>
                <c:pt idx="4">
                  <c:v>569.75</c:v>
                </c:pt>
                <c:pt idx="5">
                  <c:v>569.36500000000012</c:v>
                </c:pt>
                <c:pt idx="6">
                  <c:v>570.04666666666674</c:v>
                </c:pt>
                <c:pt idx="7">
                  <c:v>570.25</c:v>
                </c:pt>
                <c:pt idx="8">
                  <c:v>570.62</c:v>
                </c:pt>
                <c:pt idx="9">
                  <c:v>571.12333333333333</c:v>
                </c:pt>
                <c:pt idx="10">
                  <c:v>570.64</c:v>
                </c:pt>
                <c:pt idx="11">
                  <c:v>570.77333333333343</c:v>
                </c:pt>
                <c:pt idx="12">
                  <c:v>569.88666666666666</c:v>
                </c:pt>
                <c:pt idx="13">
                  <c:v>568.95000000000005</c:v>
                </c:pt>
                <c:pt idx="14">
                  <c:v>567.88</c:v>
                </c:pt>
                <c:pt idx="15">
                  <c:v>567.70666666666659</c:v>
                </c:pt>
                <c:pt idx="16">
                  <c:v>568.02166666666665</c:v>
                </c:pt>
                <c:pt idx="17">
                  <c:v>568.38</c:v>
                </c:pt>
                <c:pt idx="18">
                  <c:v>568.74833333333333</c:v>
                </c:pt>
                <c:pt idx="19">
                  <c:v>569.64</c:v>
                </c:pt>
                <c:pt idx="20">
                  <c:v>569.87666666666667</c:v>
                </c:pt>
                <c:pt idx="21">
                  <c:v>570.41999999999996</c:v>
                </c:pt>
                <c:pt idx="22">
                  <c:v>570.67166666666674</c:v>
                </c:pt>
                <c:pt idx="23">
                  <c:v>570.75333333333333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3-47B6-ABC0-9F8E0D123AD5}"/>
            </c:ext>
          </c:extLst>
        </c:ser>
        <c:ser>
          <c:idx val="1"/>
          <c:order val="1"/>
          <c:tx>
            <c:strRef>
              <c:f>'25-05-28'!$N$11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'25-05-28'!$N$12:$N$35</c:f>
              <c:numCache>
                <c:formatCode>0</c:formatCode>
                <c:ptCount val="24"/>
                <c:pt idx="0">
                  <c:v>570.48333333333335</c:v>
                </c:pt>
                <c:pt idx="1">
                  <c:v>569.93333333333339</c:v>
                </c:pt>
                <c:pt idx="2">
                  <c:v>569.4</c:v>
                </c:pt>
                <c:pt idx="3">
                  <c:v>569.2166666666667</c:v>
                </c:pt>
                <c:pt idx="4">
                  <c:v>569.26666666666654</c:v>
                </c:pt>
                <c:pt idx="5">
                  <c:v>569.06666666666661</c:v>
                </c:pt>
                <c:pt idx="6">
                  <c:v>569.55000000000007</c:v>
                </c:pt>
                <c:pt idx="7">
                  <c:v>569.93333333333328</c:v>
                </c:pt>
                <c:pt idx="8">
                  <c:v>570.2833333333333</c:v>
                </c:pt>
                <c:pt idx="9">
                  <c:v>570.4666666666667</c:v>
                </c:pt>
                <c:pt idx="10">
                  <c:v>570.31666666666661</c:v>
                </c:pt>
                <c:pt idx="11">
                  <c:v>570.08333333333337</c:v>
                </c:pt>
                <c:pt idx="12">
                  <c:v>569.54999999999995</c:v>
                </c:pt>
                <c:pt idx="13">
                  <c:v>568.43333333333339</c:v>
                </c:pt>
                <c:pt idx="14">
                  <c:v>567.88333333333333</c:v>
                </c:pt>
                <c:pt idx="15">
                  <c:v>567.38333333333333</c:v>
                </c:pt>
                <c:pt idx="16">
                  <c:v>567.51666666666677</c:v>
                </c:pt>
                <c:pt idx="17">
                  <c:v>567.86666666666667</c:v>
                </c:pt>
                <c:pt idx="18">
                  <c:v>568.43333333333328</c:v>
                </c:pt>
                <c:pt idx="19">
                  <c:v>568.9666666666667</c:v>
                </c:pt>
                <c:pt idx="20">
                  <c:v>569.55000000000007</c:v>
                </c:pt>
                <c:pt idx="21">
                  <c:v>570.08333333333337</c:v>
                </c:pt>
                <c:pt idx="22">
                  <c:v>570.35</c:v>
                </c:pt>
                <c:pt idx="23">
                  <c:v>570.08333333333337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3-47B6-ABC0-9F8E0D123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E-4A52-8653-ACDE36851F2A}"/>
            </c:ext>
          </c:extLst>
        </c:ser>
        <c:ser>
          <c:idx val="1"/>
          <c:order val="1"/>
          <c:tx>
            <c:strRef>
              <c:f>'25-05-28'!$S$11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E-4A52-8653-ACDE3685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70.625</c:v>
                </c:pt>
                <c:pt idx="7">
                  <c:v>151.60666666666665</c:v>
                </c:pt>
                <c:pt idx="8">
                  <c:v>288.01499999999999</c:v>
                </c:pt>
                <c:pt idx="9">
                  <c:v>368.23500000000007</c:v>
                </c:pt>
                <c:pt idx="10">
                  <c:v>272.21999999999997</c:v>
                </c:pt>
                <c:pt idx="11">
                  <c:v>346.70000000000005</c:v>
                </c:pt>
                <c:pt idx="12">
                  <c:v>437.51333333333332</c:v>
                </c:pt>
                <c:pt idx="13">
                  <c:v>344.20000000000005</c:v>
                </c:pt>
                <c:pt idx="14">
                  <c:v>298.31166666666667</c:v>
                </c:pt>
                <c:pt idx="15">
                  <c:v>294.44</c:v>
                </c:pt>
                <c:pt idx="16">
                  <c:v>250.16333333333333</c:v>
                </c:pt>
                <c:pt idx="17">
                  <c:v>103.35000000000001</c:v>
                </c:pt>
                <c:pt idx="18">
                  <c:v>10.685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0-40F2-A77F-69DDB49627C9}"/>
            </c:ext>
          </c:extLst>
        </c:ser>
        <c:ser>
          <c:idx val="1"/>
          <c:order val="1"/>
          <c:tx>
            <c:strRef>
              <c:f>'25-05-28'!$Q$11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'25-05-28'!$Q$12:$Q$35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29.299999999999997</c:v>
                </c:pt>
                <c:pt idx="7">
                  <c:v>126.45</c:v>
                </c:pt>
                <c:pt idx="8">
                  <c:v>233.66666666666666</c:v>
                </c:pt>
                <c:pt idx="9">
                  <c:v>323.25</c:v>
                </c:pt>
                <c:pt idx="10">
                  <c:v>242.54999999999998</c:v>
                </c:pt>
                <c:pt idx="11">
                  <c:v>303.7</c:v>
                </c:pt>
                <c:pt idx="12">
                  <c:v>417.7</c:v>
                </c:pt>
                <c:pt idx="13">
                  <c:v>291.2</c:v>
                </c:pt>
                <c:pt idx="14">
                  <c:v>252.15</c:v>
                </c:pt>
                <c:pt idx="15">
                  <c:v>236.6</c:v>
                </c:pt>
                <c:pt idx="16">
                  <c:v>198.98333333333332</c:v>
                </c:pt>
                <c:pt idx="17">
                  <c:v>61.833333333333336</c:v>
                </c:pt>
                <c:pt idx="18">
                  <c:v>2.0166666666666666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0-40F2-A77F-69DDB4962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image" Target="../media/image4.png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6" Type="http://schemas.openxmlformats.org/officeDocument/2006/relationships/chart" Target="../charts/chart21.xml"/><Relationship Id="rId11" Type="http://schemas.openxmlformats.org/officeDocument/2006/relationships/image" Target="../media/image3.png"/><Relationship Id="rId5" Type="http://schemas.openxmlformats.org/officeDocument/2006/relationships/chart" Target="../charts/chart20.xml"/><Relationship Id="rId10" Type="http://schemas.openxmlformats.org/officeDocument/2006/relationships/image" Target="../media/image2.jpeg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image" Target="../media/image4.png"/><Relationship Id="rId2" Type="http://schemas.openxmlformats.org/officeDocument/2006/relationships/chart" Target="../charts/chart25.xml"/><Relationship Id="rId1" Type="http://schemas.openxmlformats.org/officeDocument/2006/relationships/image" Target="../media/image1.png"/><Relationship Id="rId6" Type="http://schemas.openxmlformats.org/officeDocument/2006/relationships/chart" Target="../charts/chart29.xml"/><Relationship Id="rId11" Type="http://schemas.openxmlformats.org/officeDocument/2006/relationships/image" Target="../media/image3.png"/><Relationship Id="rId5" Type="http://schemas.openxmlformats.org/officeDocument/2006/relationships/chart" Target="../charts/chart28.xml"/><Relationship Id="rId10" Type="http://schemas.openxmlformats.org/officeDocument/2006/relationships/image" Target="../media/image2.jpeg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image" Target="../media/image4.png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3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image" Target="../media/image2.jpeg"/><Relationship Id="rId5" Type="http://schemas.openxmlformats.org/officeDocument/2006/relationships/chart" Target="../charts/chart37.xml"/><Relationship Id="rId10" Type="http://schemas.openxmlformats.org/officeDocument/2006/relationships/image" Target="../media/image6.svg"/><Relationship Id="rId4" Type="http://schemas.openxmlformats.org/officeDocument/2006/relationships/chart" Target="../charts/chart36.xml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image" Target="../media/image4.png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image" Target="../media/image3.pn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image" Target="../media/image2.jpeg"/><Relationship Id="rId5" Type="http://schemas.openxmlformats.org/officeDocument/2006/relationships/chart" Target="../charts/chart45.xml"/><Relationship Id="rId10" Type="http://schemas.openxmlformats.org/officeDocument/2006/relationships/image" Target="../media/image6.svg"/><Relationship Id="rId4" Type="http://schemas.openxmlformats.org/officeDocument/2006/relationships/chart" Target="../charts/chart4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9C1F4D0-C731-440E-9EE1-FDBC1779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8750C6-5BD3-4DF5-B223-2516BAF82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430E2C-EB16-45F5-ACB1-10431098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5354B5-D90E-4F0E-B853-F6ECC365B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A056A-06F5-47E4-823D-836C28FD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45E8B4-B8AC-4FBC-ADBE-8B0504495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B7FFC3D-56AD-408C-A687-8829DBBD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B70234-38BD-422B-A887-A8783456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9C46B1-C1B2-4170-BAF1-43877B3EA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AF05CCC-D6BC-46F5-80CD-FD19E0CA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8CBA5-F6CF-4A2D-97B9-5974C8A8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2BB3BF-F025-424F-BCEF-04CFF544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4D667A-A52E-48E1-AD3F-1549763F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13D0824-A054-4395-84AC-930A8E7A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3B0ECB-966B-4CF3-A7B7-F3FDB9D5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A9FE7C-6080-4C60-AAF1-A7BD8EF90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DB10B8B-6408-4DA2-8151-6F8713A7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27A9141-7F04-4D65-A494-AD034A9EE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26B4574-6283-469A-93FD-2451E94E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33D038-8938-4738-9827-47CE4B5C5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E8F815-D432-460D-9840-EFB5F3D1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E29669-B493-4E27-AAF1-6B54E3B5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D1049-39BF-4E9E-82EC-D408F831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629A76-32BF-4AF8-A78F-26B15A94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D4F610-3FA9-40A9-87BA-5EC638DC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215C448-54DA-44DF-B912-3E57B3C5A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86FDFFC-6771-451B-8214-0C239C16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E2504B6-A6F6-4DA9-8455-82176ECC3D9B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266058</xdr:colOff>
      <xdr:row>6</xdr:row>
      <xdr:rowOff>51371</xdr:rowOff>
    </xdr:from>
    <xdr:to>
      <xdr:col>10</xdr:col>
      <xdr:colOff>306398</xdr:colOff>
      <xdr:row>6</xdr:row>
      <xdr:rowOff>394271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C1290F1-940F-4AB6-9D2D-1AE51C679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92438" y="1476311"/>
          <a:ext cx="6347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265415</xdr:colOff>
      <xdr:row>7</xdr:row>
      <xdr:rowOff>67612</xdr:rowOff>
    </xdr:from>
    <xdr:to>
      <xdr:col>10</xdr:col>
      <xdr:colOff>519769</xdr:colOff>
      <xdr:row>7</xdr:row>
      <xdr:rowOff>341932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D5B697-AACD-48B8-9C56-EECCFBD64B24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97435" y="1919272"/>
          <a:ext cx="1443074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462C21D5-1E3F-43A1-BCAB-0E65ED4C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39" y="44747"/>
          <a:ext cx="909766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0C053E-CFC0-4409-8F0E-7BE49650F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50DC02-7FB3-4D92-8DCD-206F111C3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04EED-3CBC-463C-A2EE-7F1A13734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3BFAFC-2A6F-4F18-9259-AFA526422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E22D11-5376-47DB-8F97-64E58FB3D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BA70D00-2F33-441C-91C8-6B56685D8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8DDE222-15F0-4687-B894-D7A326808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7BE233A-0BEA-4E71-BDF8-31CBB12BC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3A24AC0-2CA1-4332-9D80-557C57841752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266058</xdr:colOff>
      <xdr:row>6</xdr:row>
      <xdr:rowOff>51371</xdr:rowOff>
    </xdr:from>
    <xdr:to>
      <xdr:col>10</xdr:col>
      <xdr:colOff>306398</xdr:colOff>
      <xdr:row>6</xdr:row>
      <xdr:rowOff>394271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C088FD6-C1DF-4F3C-9D74-CEAC9A44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92438" y="1476311"/>
          <a:ext cx="6347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265415</xdr:colOff>
      <xdr:row>7</xdr:row>
      <xdr:rowOff>67612</xdr:rowOff>
    </xdr:from>
    <xdr:to>
      <xdr:col>10</xdr:col>
      <xdr:colOff>519769</xdr:colOff>
      <xdr:row>7</xdr:row>
      <xdr:rowOff>341932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EAAB428-C367-474A-B88B-E51DE7E75268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97435" y="1919272"/>
          <a:ext cx="1443074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CB150-7840-4EBF-A1B7-63157C692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748A28-FDFC-442E-8745-074F56923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1734CD-8B9C-4106-86A6-D528FADD5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A2A7E2-067A-411D-AC93-8183020CA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16457E-2C9D-461F-9C1E-94AE92A92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1DDCE5-4A2A-4BA8-84D5-39AC31F99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FBBA7C1-BD24-41C7-9082-FC55DD036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1567528-6242-4613-938B-2B2254124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F0E3413E-BF13-4C0C-9909-FEF01B62D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729" y="313419"/>
          <a:ext cx="1333137" cy="395553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21A05F-226C-4B3B-8570-CB4EC749503C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FD0C44-A0D6-46D5-BB73-11F466B31036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266058</xdr:colOff>
      <xdr:row>6</xdr:row>
      <xdr:rowOff>51371</xdr:rowOff>
    </xdr:from>
    <xdr:to>
      <xdr:col>10</xdr:col>
      <xdr:colOff>306398</xdr:colOff>
      <xdr:row>6</xdr:row>
      <xdr:rowOff>394271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D221C55-AAF3-40F3-BC63-9F95F43F1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92438" y="1476311"/>
          <a:ext cx="634700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265415</xdr:colOff>
      <xdr:row>7</xdr:row>
      <xdr:rowOff>67612</xdr:rowOff>
    </xdr:from>
    <xdr:to>
      <xdr:col>10</xdr:col>
      <xdr:colOff>519769</xdr:colOff>
      <xdr:row>7</xdr:row>
      <xdr:rowOff>341932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B6917CF-DDD0-42AB-B4EE-DB1DDC80641D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4997435" y="1919272"/>
          <a:ext cx="1443074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A85A82-F50A-49A6-8DA2-29872DAC2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EB4FE8-25D0-4A58-A782-444E2DD2C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74687E-BF8B-459C-9C64-CBDD933EB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985650-2F7B-48C2-890A-C7162E8F7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B7CE278-821F-49C5-8836-86303DF05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CEE878-DD77-41D9-9BD4-3A6A069A7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D12D11-B388-48AA-8495-2FA8FAB90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2D3DC05-4C7F-4B1D-8F65-92DF7AD88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6878CE96-550B-458D-937D-0EC4423A7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729" y="310244"/>
          <a:ext cx="136488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CD89B5-D76C-4746-9641-5344ADE568AF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266058</xdr:colOff>
      <xdr:row>6</xdr:row>
      <xdr:rowOff>51371</xdr:rowOff>
    </xdr:from>
    <xdr:to>
      <xdr:col>10</xdr:col>
      <xdr:colOff>306398</xdr:colOff>
      <xdr:row>6</xdr:row>
      <xdr:rowOff>394271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02253E3-7D11-4AF2-ADC9-2D602F49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74373" y="1489753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265415</xdr:colOff>
      <xdr:row>7</xdr:row>
      <xdr:rowOff>67612</xdr:rowOff>
    </xdr:from>
    <xdr:to>
      <xdr:col>10</xdr:col>
      <xdr:colOff>519769</xdr:colOff>
      <xdr:row>7</xdr:row>
      <xdr:rowOff>341932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6B6BF3A-64F4-4F4D-A750-46CF9E79376E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4982966" y="1934084"/>
          <a:ext cx="1435882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plusglobal-my.sharepoint.com/C/UST/Lab_Ref_Transp/ID0120_BIOT/Area%20Bioensayos/Manuales/PTE,%20PTO,%20PTG_NUEVA%20PLANTILLA%202010/Plantilla_DatosGeomorfologicos%20(3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rson.bueno\Downloads\FOA802-13%20Formato%20Comprobaci&#243;n%20de%20estaci&#243;n%20meteorol&#243;gica%20V2.xlsx" TargetMode="External"/><Relationship Id="rId1" Type="http://schemas.openxmlformats.org/officeDocument/2006/relationships/externalLinkPath" Target="https://applusglobal-my.sharepoint.com/Users/jerson.bueno/Downloads/FOA802-13%20Formato%20Comprobaci&#243;n%20de%20estaci&#243;n%20meteorol&#243;gic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A802-13_BA171114005"/>
    </sheetNames>
    <sheetDataSet>
      <sheetData sheetId="0">
        <row r="11">
          <cell r="D11" t="str">
            <v>Temp. Out</v>
          </cell>
          <cell r="E11" t="str">
            <v>H. Out</v>
          </cell>
          <cell r="F11" t="str">
            <v>P. Bar</v>
          </cell>
          <cell r="G11" t="str">
            <v>Dir.
Viento</v>
          </cell>
          <cell r="H11" t="str">
            <v>V. Viento</v>
          </cell>
          <cell r="I11" t="str">
            <v>Rad
Solar</v>
          </cell>
          <cell r="J11" t="str">
            <v>Uv
Index</v>
          </cell>
          <cell r="K11" t="str">
            <v>Precipitación</v>
          </cell>
          <cell r="L11" t="str">
            <v>Temp. Out R</v>
          </cell>
          <cell r="M11" t="str">
            <v>H. Out</v>
          </cell>
          <cell r="N11" t="str">
            <v>P. Bar</v>
          </cell>
          <cell r="O11" t="str">
            <v>Dir.
Viento</v>
          </cell>
          <cell r="P11" t="str">
            <v>V. Viento</v>
          </cell>
          <cell r="Q11" t="str">
            <v>Rad
Solar</v>
          </cell>
          <cell r="R11" t="str">
            <v>Uv.
Index</v>
          </cell>
          <cell r="S11" t="str">
            <v>Precipitación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08A3-3DF8-4BB8-8193-FE7157FB568A}">
  <dimension ref="B2:E8"/>
  <sheetViews>
    <sheetView topLeftCell="A6" workbookViewId="0">
      <selection activeCell="D5" sqref="D5"/>
    </sheetView>
  </sheetViews>
  <sheetFormatPr baseColWidth="10" defaultColWidth="11.42578125" defaultRowHeight="15"/>
  <cols>
    <col min="2" max="2" width="17" bestFit="1" customWidth="1"/>
    <col min="3" max="3" width="16.28515625" bestFit="1" customWidth="1"/>
    <col min="4" max="4" width="14.28515625" bestFit="1" customWidth="1"/>
    <col min="5" max="5" width="16.7109375" bestFit="1" customWidth="1"/>
  </cols>
  <sheetData>
    <row r="2" spans="2:5">
      <c r="B2" s="73" t="s">
        <v>0</v>
      </c>
      <c r="C2" s="73" t="s">
        <v>1</v>
      </c>
      <c r="D2" s="73" t="s">
        <v>2</v>
      </c>
      <c r="E2" s="73" t="s">
        <v>3</v>
      </c>
    </row>
    <row r="3" spans="2:5" hidden="1">
      <c r="B3" s="63">
        <v>44986</v>
      </c>
      <c r="C3" s="64">
        <v>44988</v>
      </c>
      <c r="D3" s="65" t="s">
        <v>4</v>
      </c>
      <c r="E3" s="66" t="s">
        <v>5</v>
      </c>
    </row>
    <row r="4" spans="2:5" hidden="1">
      <c r="B4" s="67">
        <v>45170</v>
      </c>
      <c r="C4" s="68">
        <v>45172</v>
      </c>
      <c r="D4" s="69" t="s">
        <v>4</v>
      </c>
      <c r="E4" s="70" t="s">
        <v>5</v>
      </c>
    </row>
    <row r="5" spans="2:5">
      <c r="B5" s="71">
        <v>45253</v>
      </c>
      <c r="C5" s="71">
        <v>45256</v>
      </c>
      <c r="D5" s="1" t="s">
        <v>66</v>
      </c>
      <c r="E5" s="1" t="s">
        <v>67</v>
      </c>
    </row>
    <row r="6" spans="2:5">
      <c r="B6" s="71">
        <v>45435</v>
      </c>
      <c r="C6" s="71">
        <v>45438</v>
      </c>
      <c r="D6" s="1" t="s">
        <v>66</v>
      </c>
      <c r="E6" s="1" t="s">
        <v>67</v>
      </c>
    </row>
    <row r="7" spans="2:5">
      <c r="B7" s="71">
        <v>45619</v>
      </c>
      <c r="C7" s="71">
        <v>45622</v>
      </c>
      <c r="D7" s="1" t="s">
        <v>66</v>
      </c>
      <c r="E7" s="1" t="s">
        <v>67</v>
      </c>
    </row>
    <row r="8" spans="2:5" ht="15.75" thickBot="1">
      <c r="B8" s="71">
        <v>45805</v>
      </c>
      <c r="C8" s="71">
        <v>45809</v>
      </c>
      <c r="D8" s="72" t="s">
        <v>66</v>
      </c>
      <c r="E8" s="1" t="s">
        <v>67</v>
      </c>
    </row>
  </sheetData>
  <autoFilter ref="B2:E2" xr:uid="{F6A808A3-3DF8-4BB8-8193-FE7157FB568A}">
    <sortState xmlns:xlrd2="http://schemas.microsoft.com/office/spreadsheetml/2017/richdata2" ref="B3:E8">
      <sortCondition ref="C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910F-6E96-41BA-B489-F6E8120C161B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52"/>
      <c r="C1" s="182"/>
      <c r="D1" s="185" t="s">
        <v>6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  <c r="AA1" s="2"/>
      <c r="AB1" s="188" t="s">
        <v>7</v>
      </c>
    </row>
    <row r="2" spans="2:28" ht="18" customHeight="1">
      <c r="B2" s="154"/>
      <c r="C2" s="183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7"/>
      <c r="AA2" s="2"/>
      <c r="AB2" s="189"/>
    </row>
    <row r="3" spans="2:28" ht="18" customHeight="1">
      <c r="B3" s="154"/>
      <c r="C3" s="183"/>
      <c r="D3" s="185" t="s">
        <v>8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7"/>
      <c r="AA3" s="2"/>
      <c r="AB3" s="189"/>
    </row>
    <row r="4" spans="2:28" ht="18" customHeight="1" thickBot="1">
      <c r="B4" s="156"/>
      <c r="C4" s="184"/>
      <c r="D4" s="191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  <c r="AA4" s="3"/>
      <c r="AB4" s="190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4" t="s">
        <v>9</v>
      </c>
      <c r="C6" s="194"/>
      <c r="D6" s="195"/>
      <c r="E6" s="195"/>
      <c r="F6" s="195"/>
      <c r="G6" s="195"/>
      <c r="H6" s="195"/>
      <c r="I6" s="195"/>
      <c r="J6" s="195"/>
      <c r="K6" s="5"/>
      <c r="L6" s="196" t="s">
        <v>10</v>
      </c>
      <c r="M6" s="196"/>
      <c r="N6" s="196"/>
      <c r="O6" s="196"/>
      <c r="P6" s="196"/>
      <c r="Q6" s="196"/>
      <c r="R6" s="196"/>
      <c r="S6" s="6"/>
      <c r="T6" s="196" t="s">
        <v>11</v>
      </c>
      <c r="U6" s="196"/>
      <c r="V6" s="196"/>
      <c r="W6" s="196"/>
      <c r="X6" s="196"/>
      <c r="Y6" s="196" t="s">
        <v>12</v>
      </c>
      <c r="Z6" s="196"/>
      <c r="AA6" s="6"/>
      <c r="AB6" s="7" t="s">
        <v>13</v>
      </c>
    </row>
    <row r="7" spans="2:28" ht="33.75" customHeight="1">
      <c r="B7" s="194" t="s">
        <v>14</v>
      </c>
      <c r="C7" s="194"/>
      <c r="D7" s="195"/>
      <c r="E7" s="195"/>
      <c r="F7" s="195"/>
      <c r="G7" s="195"/>
      <c r="H7" s="195"/>
      <c r="I7" s="195"/>
      <c r="J7" s="195"/>
      <c r="K7" s="5"/>
      <c r="L7" s="199" t="s">
        <v>15</v>
      </c>
      <c r="M7" s="199"/>
      <c r="N7" s="199"/>
      <c r="O7" s="199"/>
      <c r="P7" s="199"/>
      <c r="Q7" s="199"/>
      <c r="R7" s="199"/>
      <c r="S7" s="1"/>
      <c r="T7" s="199"/>
      <c r="U7" s="199"/>
      <c r="V7" s="199"/>
      <c r="W7" s="199"/>
      <c r="X7" s="199"/>
      <c r="Y7" s="200"/>
      <c r="Z7" s="200"/>
      <c r="AA7" s="8"/>
      <c r="AB7" s="9"/>
    </row>
    <row r="8" spans="2:28" ht="33.75" customHeight="1">
      <c r="B8" s="194" t="s">
        <v>16</v>
      </c>
      <c r="C8" s="194"/>
      <c r="D8" s="195"/>
      <c r="E8" s="195"/>
      <c r="F8" s="195"/>
      <c r="G8" s="195"/>
      <c r="H8" s="195"/>
      <c r="I8" s="195"/>
      <c r="J8" s="195"/>
      <c r="K8" s="5"/>
      <c r="L8" s="199" t="s">
        <v>17</v>
      </c>
      <c r="M8" s="199"/>
      <c r="N8" s="199"/>
      <c r="O8" s="199"/>
      <c r="P8" s="199"/>
      <c r="Q8" s="199"/>
      <c r="R8" s="199"/>
      <c r="S8" s="1"/>
      <c r="T8" s="201"/>
      <c r="U8" s="201"/>
      <c r="V8" s="201"/>
      <c r="W8" s="201"/>
      <c r="X8" s="201"/>
      <c r="Y8" s="200"/>
      <c r="Z8" s="200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2" t="s">
        <v>18</v>
      </c>
      <c r="C10" s="204" t="s">
        <v>19</v>
      </c>
      <c r="D10" s="206" t="s">
        <v>20</v>
      </c>
      <c r="E10" s="207"/>
      <c r="F10" s="207"/>
      <c r="G10" s="207"/>
      <c r="H10" s="207"/>
      <c r="I10" s="207"/>
      <c r="J10" s="207"/>
      <c r="K10" s="208"/>
      <c r="L10" s="209" t="s">
        <v>21</v>
      </c>
      <c r="M10" s="210"/>
      <c r="N10" s="210"/>
      <c r="O10" s="210"/>
      <c r="P10" s="210"/>
      <c r="Q10" s="210"/>
      <c r="R10" s="210"/>
      <c r="S10" s="211"/>
      <c r="T10" s="212" t="s">
        <v>22</v>
      </c>
      <c r="U10" s="213"/>
      <c r="V10" s="213"/>
      <c r="W10" s="213"/>
      <c r="X10" s="213"/>
      <c r="Y10" s="213"/>
      <c r="Z10" s="213"/>
      <c r="AA10" s="214"/>
      <c r="AB10" s="197" t="s">
        <v>23</v>
      </c>
    </row>
    <row r="11" spans="2:28" ht="48.75" customHeight="1" thickBot="1">
      <c r="B11" s="203"/>
      <c r="C11" s="205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198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15" t="s">
        <v>42</v>
      </c>
      <c r="C36" s="216"/>
      <c r="D36" s="217"/>
      <c r="E36" s="218"/>
      <c r="F36" s="218"/>
      <c r="G36" s="218"/>
      <c r="H36" s="218"/>
      <c r="I36" s="219"/>
      <c r="J36" s="220" t="s">
        <v>43</v>
      </c>
      <c r="K36" s="220"/>
      <c r="L36" s="220"/>
      <c r="M36" s="220"/>
      <c r="N36" s="220"/>
      <c r="O36" s="220"/>
      <c r="P36" s="220"/>
      <c r="Q36" s="106" t="s">
        <v>44</v>
      </c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7"/>
    </row>
    <row r="37" spans="2:28" ht="33" customHeight="1">
      <c r="B37" s="221" t="s">
        <v>45</v>
      </c>
      <c r="C37" s="222"/>
      <c r="D37" s="111" t="s">
        <v>46</v>
      </c>
      <c r="E37" s="112"/>
      <c r="F37" s="112"/>
      <c r="G37" s="112"/>
      <c r="H37" s="112"/>
      <c r="I37" s="113"/>
      <c r="J37" s="223" t="s">
        <v>47</v>
      </c>
      <c r="K37" s="224"/>
      <c r="L37" s="224"/>
      <c r="M37" s="224"/>
      <c r="N37" s="224"/>
      <c r="O37" s="224"/>
      <c r="P37" s="225"/>
      <c r="Q37" s="229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ht="33" customHeight="1" thickBot="1">
      <c r="B38" s="231" t="s">
        <v>49</v>
      </c>
      <c r="C38" s="232"/>
      <c r="D38" s="233" t="s">
        <v>50</v>
      </c>
      <c r="E38" s="127"/>
      <c r="F38" s="127"/>
      <c r="G38" s="127"/>
      <c r="H38" s="127"/>
      <c r="I38" s="128"/>
      <c r="J38" s="226"/>
      <c r="K38" s="227"/>
      <c r="L38" s="227"/>
      <c r="M38" s="227"/>
      <c r="N38" s="227"/>
      <c r="O38" s="227"/>
      <c r="P38" s="228"/>
      <c r="Q38" s="230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105" priority="15" operator="greaterThan">
      <formula>0.51</formula>
    </cfRule>
    <cfRule type="cellIs" dxfId="104" priority="16" operator="lessThan">
      <formula>0.5</formula>
    </cfRule>
  </conditionalFormatting>
  <conditionalFormatting sqref="U12:U35">
    <cfRule type="cellIs" dxfId="103" priority="13" operator="greaterThan">
      <formula>5.1</formula>
    </cfRule>
    <cfRule type="cellIs" dxfId="102" priority="14" operator="lessThan">
      <formula>5</formula>
    </cfRule>
  </conditionalFormatting>
  <conditionalFormatting sqref="V12:V35">
    <cfRule type="cellIs" dxfId="101" priority="11" operator="greaterThan">
      <formula>1.1</formula>
    </cfRule>
    <cfRule type="cellIs" dxfId="100" priority="12" operator="lessThan">
      <formula>1</formula>
    </cfRule>
  </conditionalFormatting>
  <conditionalFormatting sqref="W12:W35">
    <cfRule type="cellIs" dxfId="99" priority="9" operator="greaterThan">
      <formula>22.6</formula>
    </cfRule>
    <cfRule type="cellIs" dxfId="98" priority="10" operator="lessThan">
      <formula>22.5</formula>
    </cfRule>
  </conditionalFormatting>
  <conditionalFormatting sqref="X12:X35">
    <cfRule type="cellIs" dxfId="97" priority="7" operator="greaterThan">
      <formula>1.1</formula>
    </cfRule>
    <cfRule type="cellIs" dxfId="96" priority="8" operator="lessThan">
      <formula>1</formula>
    </cfRule>
  </conditionalFormatting>
  <conditionalFormatting sqref="Y12:Y35">
    <cfRule type="cellIs" dxfId="95" priority="5" operator="greaterThan">
      <formula>90.1</formula>
    </cfRule>
    <cfRule type="cellIs" dxfId="94" priority="6" operator="lessThan">
      <formula>90</formula>
    </cfRule>
  </conditionalFormatting>
  <conditionalFormatting sqref="Z12:Z35">
    <cfRule type="cellIs" dxfId="93" priority="3" operator="greaterThan">
      <formula>0.9</formula>
    </cfRule>
    <cfRule type="cellIs" dxfId="92" priority="4" operator="lessThan">
      <formula>0.8</formula>
    </cfRule>
  </conditionalFormatting>
  <conditionalFormatting sqref="AA12:AA35">
    <cfRule type="cellIs" dxfId="91" priority="1" operator="lessThan">
      <formula>0.05</formula>
    </cfRule>
    <cfRule type="cellIs" dxfId="90" priority="2" operator="greater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6459-4473-46A8-BA32-9EB486843A83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52"/>
      <c r="C1" s="182"/>
      <c r="D1" s="185" t="s">
        <v>6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  <c r="AA1" s="2"/>
      <c r="AB1" s="188" t="s">
        <v>7</v>
      </c>
    </row>
    <row r="2" spans="2:28" ht="18" customHeight="1">
      <c r="B2" s="154"/>
      <c r="C2" s="183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7"/>
      <c r="AA2" s="2"/>
      <c r="AB2" s="189"/>
    </row>
    <row r="3" spans="2:28" ht="18" customHeight="1">
      <c r="B3" s="154"/>
      <c r="C3" s="183"/>
      <c r="D3" s="185" t="s">
        <v>8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7"/>
      <c r="AA3" s="2"/>
      <c r="AB3" s="189"/>
    </row>
    <row r="4" spans="2:28" ht="18" customHeight="1" thickBot="1">
      <c r="B4" s="156"/>
      <c r="C4" s="184"/>
      <c r="D4" s="191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  <c r="AA4" s="3"/>
      <c r="AB4" s="190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4" t="s">
        <v>9</v>
      </c>
      <c r="C6" s="194"/>
      <c r="D6" s="195"/>
      <c r="E6" s="195"/>
      <c r="F6" s="195"/>
      <c r="G6" s="195"/>
      <c r="H6" s="195"/>
      <c r="I6" s="195"/>
      <c r="J6" s="195"/>
      <c r="K6" s="5"/>
      <c r="L6" s="196" t="s">
        <v>10</v>
      </c>
      <c r="M6" s="196"/>
      <c r="N6" s="196"/>
      <c r="O6" s="196"/>
      <c r="P6" s="196"/>
      <c r="Q6" s="196"/>
      <c r="R6" s="196"/>
      <c r="S6" s="6"/>
      <c r="T6" s="196" t="s">
        <v>11</v>
      </c>
      <c r="U6" s="196"/>
      <c r="V6" s="196"/>
      <c r="W6" s="196"/>
      <c r="X6" s="196"/>
      <c r="Y6" s="196" t="s">
        <v>12</v>
      </c>
      <c r="Z6" s="196"/>
      <c r="AA6" s="6"/>
      <c r="AB6" s="7" t="s">
        <v>13</v>
      </c>
    </row>
    <row r="7" spans="2:28" ht="33.75" customHeight="1">
      <c r="B7" s="194" t="s">
        <v>14</v>
      </c>
      <c r="C7" s="194"/>
      <c r="D7" s="195"/>
      <c r="E7" s="195"/>
      <c r="F7" s="195"/>
      <c r="G7" s="195"/>
      <c r="H7" s="195"/>
      <c r="I7" s="195"/>
      <c r="J7" s="195"/>
      <c r="K7" s="5"/>
      <c r="L7" s="199" t="s">
        <v>15</v>
      </c>
      <c r="M7" s="199"/>
      <c r="N7" s="199"/>
      <c r="O7" s="199"/>
      <c r="P7" s="199"/>
      <c r="Q7" s="199"/>
      <c r="R7" s="199"/>
      <c r="S7" s="1"/>
      <c r="T7" s="199"/>
      <c r="U7" s="199"/>
      <c r="V7" s="199"/>
      <c r="W7" s="199"/>
      <c r="X7" s="199"/>
      <c r="Y7" s="200"/>
      <c r="Z7" s="200"/>
      <c r="AA7" s="8"/>
      <c r="AB7" s="9"/>
    </row>
    <row r="8" spans="2:28" ht="33.75" customHeight="1">
      <c r="B8" s="194" t="s">
        <v>16</v>
      </c>
      <c r="C8" s="194"/>
      <c r="D8" s="195"/>
      <c r="E8" s="195"/>
      <c r="F8" s="195"/>
      <c r="G8" s="195"/>
      <c r="H8" s="195"/>
      <c r="I8" s="195"/>
      <c r="J8" s="195"/>
      <c r="K8" s="5"/>
      <c r="L8" s="199" t="s">
        <v>17</v>
      </c>
      <c r="M8" s="199"/>
      <c r="N8" s="199"/>
      <c r="O8" s="199"/>
      <c r="P8" s="199"/>
      <c r="Q8" s="199"/>
      <c r="R8" s="199"/>
      <c r="S8" s="1"/>
      <c r="T8" s="201"/>
      <c r="U8" s="201"/>
      <c r="V8" s="201"/>
      <c r="W8" s="201"/>
      <c r="X8" s="201"/>
      <c r="Y8" s="200"/>
      <c r="Z8" s="200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2" t="s">
        <v>18</v>
      </c>
      <c r="C10" s="204" t="s">
        <v>19</v>
      </c>
      <c r="D10" s="206" t="s">
        <v>20</v>
      </c>
      <c r="E10" s="207"/>
      <c r="F10" s="207"/>
      <c r="G10" s="207"/>
      <c r="H10" s="207"/>
      <c r="I10" s="207"/>
      <c r="J10" s="207"/>
      <c r="K10" s="208"/>
      <c r="L10" s="209" t="s">
        <v>21</v>
      </c>
      <c r="M10" s="210"/>
      <c r="N10" s="210"/>
      <c r="O10" s="210"/>
      <c r="P10" s="210"/>
      <c r="Q10" s="210"/>
      <c r="R10" s="210"/>
      <c r="S10" s="211"/>
      <c r="T10" s="212" t="s">
        <v>22</v>
      </c>
      <c r="U10" s="213"/>
      <c r="V10" s="213"/>
      <c r="W10" s="213"/>
      <c r="X10" s="213"/>
      <c r="Y10" s="213"/>
      <c r="Z10" s="213"/>
      <c r="AA10" s="214"/>
      <c r="AB10" s="197" t="s">
        <v>23</v>
      </c>
    </row>
    <row r="11" spans="2:28" ht="48.75" customHeight="1" thickBot="1">
      <c r="B11" s="203"/>
      <c r="C11" s="205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198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15" t="s">
        <v>42</v>
      </c>
      <c r="C36" s="216"/>
      <c r="D36" s="217"/>
      <c r="E36" s="218"/>
      <c r="F36" s="218"/>
      <c r="G36" s="218"/>
      <c r="H36" s="218"/>
      <c r="I36" s="219"/>
      <c r="J36" s="220" t="s">
        <v>43</v>
      </c>
      <c r="K36" s="220"/>
      <c r="L36" s="220"/>
      <c r="M36" s="220"/>
      <c r="N36" s="220"/>
      <c r="O36" s="220"/>
      <c r="P36" s="220"/>
      <c r="Q36" s="106" t="s">
        <v>44</v>
      </c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7"/>
    </row>
    <row r="37" spans="2:28" ht="33" customHeight="1">
      <c r="B37" s="221" t="s">
        <v>45</v>
      </c>
      <c r="C37" s="222"/>
      <c r="D37" s="111" t="s">
        <v>46</v>
      </c>
      <c r="E37" s="112"/>
      <c r="F37" s="112"/>
      <c r="G37" s="112"/>
      <c r="H37" s="112"/>
      <c r="I37" s="113"/>
      <c r="J37" s="223" t="s">
        <v>47</v>
      </c>
      <c r="K37" s="224"/>
      <c r="L37" s="224"/>
      <c r="M37" s="224"/>
      <c r="N37" s="224"/>
      <c r="O37" s="224"/>
      <c r="P37" s="225"/>
      <c r="Q37" s="229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ht="33" customHeight="1" thickBot="1">
      <c r="B38" s="231" t="s">
        <v>49</v>
      </c>
      <c r="C38" s="232"/>
      <c r="D38" s="233" t="s">
        <v>50</v>
      </c>
      <c r="E38" s="127"/>
      <c r="F38" s="127"/>
      <c r="G38" s="127"/>
      <c r="H38" s="127"/>
      <c r="I38" s="128"/>
      <c r="J38" s="226"/>
      <c r="K38" s="227"/>
      <c r="L38" s="227"/>
      <c r="M38" s="227"/>
      <c r="N38" s="227"/>
      <c r="O38" s="227"/>
      <c r="P38" s="228"/>
      <c r="Q38" s="230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89" priority="15" operator="greaterThan">
      <formula>0.51</formula>
    </cfRule>
    <cfRule type="cellIs" dxfId="88" priority="16" operator="lessThan">
      <formula>0.5</formula>
    </cfRule>
  </conditionalFormatting>
  <conditionalFormatting sqref="U12:U35">
    <cfRule type="cellIs" dxfId="87" priority="13" operator="greaterThan">
      <formula>5.1</formula>
    </cfRule>
    <cfRule type="cellIs" dxfId="86" priority="14" operator="lessThan">
      <formula>5</formula>
    </cfRule>
  </conditionalFormatting>
  <conditionalFormatting sqref="V12:V35">
    <cfRule type="cellIs" dxfId="85" priority="11" operator="greaterThan">
      <formula>1.1</formula>
    </cfRule>
    <cfRule type="cellIs" dxfId="84" priority="12" operator="lessThan">
      <formula>1</formula>
    </cfRule>
  </conditionalFormatting>
  <conditionalFormatting sqref="W12:W35">
    <cfRule type="cellIs" dxfId="83" priority="9" operator="greaterThan">
      <formula>22.6</formula>
    </cfRule>
    <cfRule type="cellIs" dxfId="82" priority="10" operator="lessThan">
      <formula>22.5</formula>
    </cfRule>
  </conditionalFormatting>
  <conditionalFormatting sqref="X12:X35">
    <cfRule type="cellIs" dxfId="81" priority="7" operator="greaterThan">
      <formula>1.1</formula>
    </cfRule>
    <cfRule type="cellIs" dxfId="80" priority="8" operator="lessThan">
      <formula>1</formula>
    </cfRule>
  </conditionalFormatting>
  <conditionalFormatting sqref="Y12:Y35">
    <cfRule type="cellIs" dxfId="79" priority="5" operator="greaterThan">
      <formula>90.1</formula>
    </cfRule>
    <cfRule type="cellIs" dxfId="78" priority="6" operator="lessThan">
      <formula>90</formula>
    </cfRule>
  </conditionalFormatting>
  <conditionalFormatting sqref="Z12:Z35">
    <cfRule type="cellIs" dxfId="77" priority="3" operator="greaterThan">
      <formula>0.9</formula>
    </cfRule>
    <cfRule type="cellIs" dxfId="76" priority="4" operator="lessThan">
      <formula>0.8</formula>
    </cfRule>
  </conditionalFormatting>
  <conditionalFormatting sqref="AA12:AA35">
    <cfRule type="cellIs" dxfId="75" priority="1" operator="lessThan">
      <formula>0.05</formula>
    </cfRule>
    <cfRule type="cellIs" dxfId="74" priority="2" operator="greaterThan"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3F7-F699-44BF-AD26-5EE355BE585C}">
  <dimension ref="B1:AB68"/>
  <sheetViews>
    <sheetView tabSelected="1" topLeftCell="P1" zoomScale="98" zoomScaleNormal="98" workbookViewId="0">
      <selection activeCell="Y7" sqref="Y7:Z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52"/>
      <c r="C1" s="182"/>
      <c r="D1" s="185" t="s">
        <v>6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  <c r="AA1" s="2"/>
      <c r="AB1" s="188" t="s">
        <v>7</v>
      </c>
    </row>
    <row r="2" spans="2:28" ht="18" customHeight="1">
      <c r="B2" s="154"/>
      <c r="C2" s="183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7"/>
      <c r="AA2" s="2"/>
      <c r="AB2" s="189"/>
    </row>
    <row r="3" spans="2:28" ht="18" customHeight="1">
      <c r="B3" s="154"/>
      <c r="C3" s="183"/>
      <c r="D3" s="185" t="s">
        <v>8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7"/>
      <c r="AA3" s="2"/>
      <c r="AB3" s="189"/>
    </row>
    <row r="4" spans="2:28" ht="18" customHeight="1" thickBot="1">
      <c r="B4" s="156"/>
      <c r="C4" s="184"/>
      <c r="D4" s="191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  <c r="AA4" s="3"/>
      <c r="AB4" s="190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4" t="s">
        <v>9</v>
      </c>
      <c r="C6" s="194"/>
      <c r="D6" s="132" t="s">
        <v>78</v>
      </c>
      <c r="E6" s="133"/>
      <c r="F6" s="133"/>
      <c r="G6" s="133"/>
      <c r="H6" s="133"/>
      <c r="I6" s="133"/>
      <c r="J6" s="133"/>
      <c r="K6" s="134"/>
      <c r="L6" s="196" t="s">
        <v>10</v>
      </c>
      <c r="M6" s="196"/>
      <c r="N6" s="196"/>
      <c r="O6" s="196"/>
      <c r="P6" s="196"/>
      <c r="Q6" s="196"/>
      <c r="R6" s="196"/>
      <c r="S6" s="6"/>
      <c r="T6" s="196" t="s">
        <v>11</v>
      </c>
      <c r="U6" s="196"/>
      <c r="V6" s="196"/>
      <c r="W6" s="196"/>
      <c r="X6" s="196"/>
      <c r="Y6" s="196" t="s">
        <v>12</v>
      </c>
      <c r="Z6" s="196"/>
      <c r="AA6" s="6"/>
      <c r="AB6" s="7" t="s">
        <v>13</v>
      </c>
    </row>
    <row r="7" spans="2:28" ht="33.75" customHeight="1">
      <c r="B7" s="194" t="s">
        <v>14</v>
      </c>
      <c r="C7" s="194"/>
      <c r="D7" s="132" t="s">
        <v>79</v>
      </c>
      <c r="E7" s="133"/>
      <c r="F7" s="133"/>
      <c r="G7" s="133"/>
      <c r="H7" s="133"/>
      <c r="I7" s="133"/>
      <c r="J7" s="133"/>
      <c r="K7" s="134"/>
      <c r="L7" s="135" t="s">
        <v>15</v>
      </c>
      <c r="M7" s="136"/>
      <c r="N7" s="136"/>
      <c r="O7" s="136"/>
      <c r="P7" s="136"/>
      <c r="Q7" s="136"/>
      <c r="R7" s="136"/>
      <c r="S7" s="137"/>
      <c r="T7" s="135" t="s">
        <v>76</v>
      </c>
      <c r="U7" s="136"/>
      <c r="V7" s="136"/>
      <c r="W7" s="136"/>
      <c r="X7" s="137"/>
      <c r="Y7" s="138">
        <v>6327</v>
      </c>
      <c r="Z7" s="139"/>
      <c r="AA7" s="140" t="s">
        <v>82</v>
      </c>
      <c r="AB7" s="141"/>
    </row>
    <row r="8" spans="2:28" ht="33.75" customHeight="1">
      <c r="B8" s="194" t="s">
        <v>16</v>
      </c>
      <c r="C8" s="194"/>
      <c r="D8" s="132" t="s">
        <v>80</v>
      </c>
      <c r="E8" s="133"/>
      <c r="F8" s="133"/>
      <c r="G8" s="133"/>
      <c r="H8" s="133"/>
      <c r="I8" s="133"/>
      <c r="J8" s="133"/>
      <c r="K8" s="134"/>
      <c r="L8" s="135" t="s">
        <v>77</v>
      </c>
      <c r="M8" s="136"/>
      <c r="N8" s="136"/>
      <c r="O8" s="136"/>
      <c r="P8" s="136"/>
      <c r="Q8" s="136"/>
      <c r="R8" s="136"/>
      <c r="S8" s="137"/>
      <c r="T8" s="135" t="s">
        <v>76</v>
      </c>
      <c r="U8" s="136"/>
      <c r="V8" s="136"/>
      <c r="W8" s="136"/>
      <c r="X8" s="137"/>
      <c r="Y8" s="138">
        <v>6327</v>
      </c>
      <c r="Z8" s="139"/>
      <c r="AA8" s="140" t="s">
        <v>67</v>
      </c>
      <c r="AB8" s="141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2" t="s">
        <v>18</v>
      </c>
      <c r="C10" s="204" t="s">
        <v>19</v>
      </c>
      <c r="D10" s="206" t="s">
        <v>20</v>
      </c>
      <c r="E10" s="207"/>
      <c r="F10" s="207"/>
      <c r="G10" s="207"/>
      <c r="H10" s="207"/>
      <c r="I10" s="207"/>
      <c r="J10" s="207"/>
      <c r="K10" s="208"/>
      <c r="L10" s="209" t="s">
        <v>21</v>
      </c>
      <c r="M10" s="210"/>
      <c r="N10" s="210"/>
      <c r="O10" s="210"/>
      <c r="P10" s="210"/>
      <c r="Q10" s="210"/>
      <c r="R10" s="210"/>
      <c r="S10" s="211"/>
      <c r="T10" s="212" t="s">
        <v>22</v>
      </c>
      <c r="U10" s="213"/>
      <c r="V10" s="213"/>
      <c r="W10" s="213"/>
      <c r="X10" s="213"/>
      <c r="Y10" s="213"/>
      <c r="Z10" s="213"/>
      <c r="AA10" s="214"/>
      <c r="AB10" s="197" t="s">
        <v>23</v>
      </c>
    </row>
    <row r="11" spans="2:28" ht="48.75" customHeight="1" thickBot="1">
      <c r="B11" s="203"/>
      <c r="C11" s="205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198"/>
    </row>
    <row r="12" spans="2:28" ht="15" customHeight="1" thickBot="1">
      <c r="B12" s="21">
        <v>45255</v>
      </c>
      <c r="C12" s="75">
        <v>0</v>
      </c>
      <c r="D12" s="82">
        <v>12.65</v>
      </c>
      <c r="E12" s="58">
        <v>79.27</v>
      </c>
      <c r="F12" s="58">
        <v>573.62</v>
      </c>
      <c r="G12" s="58">
        <v>45</v>
      </c>
      <c r="H12" s="58">
        <v>1.89</v>
      </c>
      <c r="I12" s="58">
        <v>0</v>
      </c>
      <c r="J12" s="58"/>
      <c r="K12" s="83">
        <v>0</v>
      </c>
      <c r="L12" s="84">
        <v>12.9</v>
      </c>
      <c r="M12" s="58">
        <v>77</v>
      </c>
      <c r="N12" s="58">
        <v>572.79999999999995</v>
      </c>
      <c r="O12" s="58">
        <v>45</v>
      </c>
      <c r="P12" s="58">
        <v>1.9</v>
      </c>
      <c r="Q12" s="58">
        <v>0</v>
      </c>
      <c r="R12" s="58"/>
      <c r="S12" s="83">
        <v>0</v>
      </c>
      <c r="T12" s="84">
        <f t="shared" ref="T12:Z15" si="0">+ABS(L12-D12)</f>
        <v>0.25</v>
      </c>
      <c r="U12" s="58">
        <f t="shared" si="0"/>
        <v>2.269999999999996</v>
      </c>
      <c r="V12" s="58">
        <f t="shared" si="0"/>
        <v>0.82000000000005002</v>
      </c>
      <c r="W12" s="58">
        <f t="shared" si="0"/>
        <v>0</v>
      </c>
      <c r="X12" s="58">
        <f t="shared" si="0"/>
        <v>1.0000000000000009E-2</v>
      </c>
      <c r="Y12" s="58">
        <f t="shared" si="0"/>
        <v>0</v>
      </c>
      <c r="Z12" s="58">
        <f t="shared" si="0"/>
        <v>0</v>
      </c>
      <c r="AA12" s="85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21">
        <v>45255</v>
      </c>
      <c r="C13" s="75">
        <v>4.1666666666666664E-2</v>
      </c>
      <c r="D13" s="86">
        <v>11.95</v>
      </c>
      <c r="E13" s="61">
        <v>80.319999999999993</v>
      </c>
      <c r="F13" s="61">
        <v>572.6</v>
      </c>
      <c r="G13" s="61">
        <v>270</v>
      </c>
      <c r="H13" s="61">
        <v>1.53</v>
      </c>
      <c r="I13" s="61">
        <v>0</v>
      </c>
      <c r="J13" s="61"/>
      <c r="K13" s="87">
        <v>0</v>
      </c>
      <c r="L13" s="88">
        <v>12.2</v>
      </c>
      <c r="M13" s="61">
        <v>78</v>
      </c>
      <c r="N13" s="61">
        <v>572.6</v>
      </c>
      <c r="O13" s="61">
        <v>270</v>
      </c>
      <c r="P13" s="61">
        <v>1.5</v>
      </c>
      <c r="Q13" s="61">
        <v>0</v>
      </c>
      <c r="R13" s="61"/>
      <c r="S13" s="87">
        <v>0</v>
      </c>
      <c r="T13" s="88">
        <f t="shared" si="0"/>
        <v>0.25</v>
      </c>
      <c r="U13" s="61">
        <f t="shared" si="0"/>
        <v>2.3199999999999932</v>
      </c>
      <c r="V13" s="61">
        <f t="shared" si="0"/>
        <v>0</v>
      </c>
      <c r="W13" s="61">
        <f t="shared" si="0"/>
        <v>0</v>
      </c>
      <c r="X13" s="61">
        <f t="shared" si="0"/>
        <v>3.0000000000000027E-2</v>
      </c>
      <c r="Y13" s="61">
        <f t="shared" si="0"/>
        <v>0</v>
      </c>
      <c r="Z13" s="61">
        <f t="shared" si="0"/>
        <v>0</v>
      </c>
      <c r="AA13" s="85">
        <f t="shared" ref="AA13:AA1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21">
        <v>45255</v>
      </c>
      <c r="C14" s="75">
        <v>45690.083333333336</v>
      </c>
      <c r="D14" s="86">
        <v>11.84</v>
      </c>
      <c r="E14" s="61">
        <v>80.14</v>
      </c>
      <c r="F14" s="61">
        <v>571.97</v>
      </c>
      <c r="G14" s="61">
        <v>315</v>
      </c>
      <c r="H14" s="61">
        <v>1.83</v>
      </c>
      <c r="I14" s="61">
        <v>0</v>
      </c>
      <c r="J14" s="61"/>
      <c r="K14" s="87">
        <v>0</v>
      </c>
      <c r="L14" s="88">
        <v>12.1</v>
      </c>
      <c r="M14" s="61">
        <v>77.8</v>
      </c>
      <c r="N14" s="61">
        <v>572</v>
      </c>
      <c r="O14" s="61">
        <v>315</v>
      </c>
      <c r="P14" s="61">
        <v>1.8</v>
      </c>
      <c r="Q14" s="61">
        <v>0</v>
      </c>
      <c r="R14" s="61"/>
      <c r="S14" s="87">
        <v>0</v>
      </c>
      <c r="T14" s="88">
        <f t="shared" si="0"/>
        <v>0.25999999999999979</v>
      </c>
      <c r="U14" s="61">
        <f t="shared" si="0"/>
        <v>2.3400000000000034</v>
      </c>
      <c r="V14" s="61">
        <f t="shared" si="0"/>
        <v>2.9999999999972715E-2</v>
      </c>
      <c r="W14" s="61">
        <f t="shared" si="0"/>
        <v>0</v>
      </c>
      <c r="X14" s="61">
        <f t="shared" si="0"/>
        <v>3.0000000000000027E-2</v>
      </c>
      <c r="Y14" s="61">
        <f t="shared" si="0"/>
        <v>0</v>
      </c>
      <c r="Z14" s="61">
        <f t="shared" si="0"/>
        <v>0</v>
      </c>
      <c r="AA14" s="85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21">
        <v>45255</v>
      </c>
      <c r="C15" s="75">
        <v>45690.125</v>
      </c>
      <c r="D15" s="86">
        <v>11.34</v>
      </c>
      <c r="E15" s="61">
        <v>82.59</v>
      </c>
      <c r="F15" s="61">
        <v>572.63</v>
      </c>
      <c r="G15" s="61">
        <v>22.5</v>
      </c>
      <c r="H15" s="61">
        <v>2.86</v>
      </c>
      <c r="I15" s="61">
        <v>0</v>
      </c>
      <c r="J15" s="61"/>
      <c r="K15" s="87">
        <v>0</v>
      </c>
      <c r="L15" s="88">
        <v>11.6</v>
      </c>
      <c r="M15" s="61">
        <v>80.2</v>
      </c>
      <c r="N15" s="61">
        <v>571.70000000000005</v>
      </c>
      <c r="O15" s="61">
        <v>22.5</v>
      </c>
      <c r="P15" s="61">
        <v>1.9</v>
      </c>
      <c r="Q15" s="61">
        <v>0</v>
      </c>
      <c r="R15" s="61"/>
      <c r="S15" s="87">
        <v>0</v>
      </c>
      <c r="T15" s="88">
        <f t="shared" si="0"/>
        <v>0.25999999999999979</v>
      </c>
      <c r="U15" s="61">
        <f t="shared" si="0"/>
        <v>2.3900000000000006</v>
      </c>
      <c r="V15" s="61">
        <f t="shared" si="0"/>
        <v>0.92999999999994998</v>
      </c>
      <c r="W15" s="61">
        <f t="shared" si="0"/>
        <v>0</v>
      </c>
      <c r="X15" s="61">
        <f t="shared" si="0"/>
        <v>0.96</v>
      </c>
      <c r="Y15" s="61">
        <f t="shared" si="0"/>
        <v>0</v>
      </c>
      <c r="Z15" s="61">
        <f t="shared" si="0"/>
        <v>0</v>
      </c>
      <c r="AA15" s="85">
        <f t="shared" si="1"/>
        <v>0</v>
      </c>
      <c r="AB15" s="27" t="str">
        <f t="shared" si="2"/>
        <v>Cumple</v>
      </c>
    </row>
    <row r="16" spans="2:28" ht="15" customHeight="1" thickBot="1">
      <c r="B16" s="21">
        <v>45255</v>
      </c>
      <c r="C16" s="75">
        <v>45690.166666666664</v>
      </c>
      <c r="D16" s="86">
        <v>10.94</v>
      </c>
      <c r="E16" s="61">
        <v>83.31</v>
      </c>
      <c r="F16" s="61">
        <v>572.14</v>
      </c>
      <c r="G16" s="61">
        <v>292.5</v>
      </c>
      <c r="H16" s="61">
        <v>2.44</v>
      </c>
      <c r="I16" s="61">
        <v>0</v>
      </c>
      <c r="J16" s="61"/>
      <c r="K16" s="87">
        <v>0</v>
      </c>
      <c r="L16" s="88">
        <v>11.2</v>
      </c>
      <c r="M16" s="61">
        <v>80.900000000000006</v>
      </c>
      <c r="N16" s="61">
        <v>572.1</v>
      </c>
      <c r="O16" s="61">
        <v>270</v>
      </c>
      <c r="P16" s="61">
        <v>1.6</v>
      </c>
      <c r="Q16" s="61">
        <v>0</v>
      </c>
      <c r="R16" s="61"/>
      <c r="S16" s="87">
        <v>0</v>
      </c>
      <c r="T16" s="88">
        <f t="shared" ref="T16:T35" si="3">+ABS(L16-D16)</f>
        <v>0.25999999999999979</v>
      </c>
      <c r="U16" s="61">
        <f t="shared" ref="U16:U35" si="4">+ABS(M16-E16)</f>
        <v>2.4099999999999966</v>
      </c>
      <c r="V16" s="61">
        <f t="shared" ref="V16:V35" si="5">+ABS(N16-F16)</f>
        <v>3.999999999996362E-2</v>
      </c>
      <c r="W16" s="61">
        <f t="shared" ref="W16:W35" si="6">+ABS(O16-G16)</f>
        <v>22.5</v>
      </c>
      <c r="X16" s="61">
        <f t="shared" ref="X16:X35" si="7">+ABS(P16-H16)</f>
        <v>0.83999999999999986</v>
      </c>
      <c r="Y16" s="61">
        <f t="shared" ref="Y16:Y35" si="8">+ABS(Q16-I16)</f>
        <v>0</v>
      </c>
      <c r="Z16" s="61">
        <f t="shared" ref="Z16:Z35" si="9">+ABS(R16-J16)</f>
        <v>0</v>
      </c>
      <c r="AA16" s="85">
        <f t="shared" ref="AA16:AA35" si="10">IF(AND(K16=0, S16=0), 0, IF(K16=0, 1, ABS((S16-K16)/K16)))</f>
        <v>0</v>
      </c>
      <c r="AB16" s="27" t="str">
        <f t="shared" si="2"/>
        <v>Cumple</v>
      </c>
    </row>
    <row r="17" spans="2:28" ht="15" customHeight="1" thickBot="1">
      <c r="B17" s="21">
        <v>45255</v>
      </c>
      <c r="C17" s="75">
        <v>45690.208333333336</v>
      </c>
      <c r="D17" s="86">
        <v>11.24</v>
      </c>
      <c r="E17" s="61">
        <v>81.86</v>
      </c>
      <c r="F17" s="61">
        <v>572.15</v>
      </c>
      <c r="G17" s="61">
        <v>270</v>
      </c>
      <c r="H17" s="61">
        <v>1.34</v>
      </c>
      <c r="I17" s="61">
        <v>0</v>
      </c>
      <c r="J17" s="61"/>
      <c r="K17" s="87">
        <v>0</v>
      </c>
      <c r="L17" s="88">
        <v>11.5</v>
      </c>
      <c r="M17" s="61">
        <v>79.5</v>
      </c>
      <c r="N17" s="61">
        <v>572.20000000000005</v>
      </c>
      <c r="O17" s="61">
        <v>270</v>
      </c>
      <c r="P17" s="61">
        <v>1.3</v>
      </c>
      <c r="Q17" s="61">
        <v>0</v>
      </c>
      <c r="R17" s="61"/>
      <c r="S17" s="87">
        <v>0</v>
      </c>
      <c r="T17" s="88">
        <f t="shared" si="3"/>
        <v>0.25999999999999979</v>
      </c>
      <c r="U17" s="61">
        <f t="shared" si="4"/>
        <v>2.3599999999999994</v>
      </c>
      <c r="V17" s="61">
        <f t="shared" si="5"/>
        <v>5.0000000000068212E-2</v>
      </c>
      <c r="W17" s="61">
        <f t="shared" si="6"/>
        <v>0</v>
      </c>
      <c r="X17" s="61">
        <f t="shared" si="7"/>
        <v>4.0000000000000036E-2</v>
      </c>
      <c r="Y17" s="61">
        <f t="shared" si="8"/>
        <v>0</v>
      </c>
      <c r="Z17" s="61">
        <f t="shared" si="9"/>
        <v>0</v>
      </c>
      <c r="AA17" s="85">
        <f t="shared" si="10"/>
        <v>0</v>
      </c>
      <c r="AB17" s="27" t="str">
        <f t="shared" si="2"/>
        <v>Cumple</v>
      </c>
    </row>
    <row r="18" spans="2:28" ht="15" customHeight="1" thickBot="1">
      <c r="B18" s="21">
        <v>45255</v>
      </c>
      <c r="C18" s="75">
        <v>45690.25</v>
      </c>
      <c r="D18" s="86">
        <v>11.43</v>
      </c>
      <c r="E18" s="61">
        <v>81.78</v>
      </c>
      <c r="F18" s="61">
        <v>573.53</v>
      </c>
      <c r="G18" s="61">
        <v>90</v>
      </c>
      <c r="H18" s="61">
        <v>1.6</v>
      </c>
      <c r="I18" s="61">
        <v>38.07</v>
      </c>
      <c r="J18" s="61"/>
      <c r="K18" s="87">
        <v>0</v>
      </c>
      <c r="L18" s="88">
        <v>11.7</v>
      </c>
      <c r="M18" s="61">
        <v>79.400000000000006</v>
      </c>
      <c r="N18" s="61">
        <v>572.6</v>
      </c>
      <c r="O18" s="61">
        <v>90</v>
      </c>
      <c r="P18" s="61">
        <v>1.6</v>
      </c>
      <c r="Q18" s="61">
        <v>22.1</v>
      </c>
      <c r="R18" s="61"/>
      <c r="S18" s="87">
        <v>0</v>
      </c>
      <c r="T18" s="88">
        <f t="shared" si="3"/>
        <v>0.26999999999999957</v>
      </c>
      <c r="U18" s="61">
        <f t="shared" si="4"/>
        <v>2.3799999999999955</v>
      </c>
      <c r="V18" s="61">
        <f t="shared" si="5"/>
        <v>0.92999999999994998</v>
      </c>
      <c r="W18" s="61">
        <f t="shared" si="6"/>
        <v>0</v>
      </c>
      <c r="X18" s="61">
        <f t="shared" si="7"/>
        <v>0</v>
      </c>
      <c r="Y18" s="61">
        <f t="shared" si="8"/>
        <v>15.969999999999999</v>
      </c>
      <c r="Z18" s="61">
        <f t="shared" si="9"/>
        <v>0</v>
      </c>
      <c r="AA18" s="85">
        <f t="shared" si="10"/>
        <v>0</v>
      </c>
      <c r="AB18" s="27" t="str">
        <f t="shared" si="2"/>
        <v>Cumple</v>
      </c>
    </row>
    <row r="19" spans="2:28" ht="15" customHeight="1" thickBot="1">
      <c r="B19" s="21">
        <v>45255</v>
      </c>
      <c r="C19" s="75">
        <v>45690.291666666664</v>
      </c>
      <c r="D19" s="86">
        <v>11.88</v>
      </c>
      <c r="E19" s="61">
        <v>82.52</v>
      </c>
      <c r="F19" s="61">
        <v>573.24</v>
      </c>
      <c r="G19" s="61">
        <v>292.5</v>
      </c>
      <c r="H19" s="61">
        <v>2.41</v>
      </c>
      <c r="I19" s="61">
        <v>93.38</v>
      </c>
      <c r="J19" s="61"/>
      <c r="K19" s="87">
        <v>0</v>
      </c>
      <c r="L19" s="88">
        <v>12.1</v>
      </c>
      <c r="M19" s="61">
        <v>80.099999999999994</v>
      </c>
      <c r="N19" s="61">
        <v>573.20000000000005</v>
      </c>
      <c r="O19" s="61">
        <v>292.5</v>
      </c>
      <c r="P19" s="61">
        <v>1.6</v>
      </c>
      <c r="Q19" s="61">
        <v>84.4</v>
      </c>
      <c r="R19" s="61"/>
      <c r="S19" s="87">
        <v>0</v>
      </c>
      <c r="T19" s="88">
        <f t="shared" si="3"/>
        <v>0.21999999999999886</v>
      </c>
      <c r="U19" s="61">
        <f t="shared" si="4"/>
        <v>2.4200000000000017</v>
      </c>
      <c r="V19" s="61">
        <f t="shared" si="5"/>
        <v>3.999999999996362E-2</v>
      </c>
      <c r="W19" s="61">
        <f t="shared" si="6"/>
        <v>0</v>
      </c>
      <c r="X19" s="61">
        <f t="shared" si="7"/>
        <v>0.81</v>
      </c>
      <c r="Y19" s="61">
        <f t="shared" si="8"/>
        <v>8.9799999999999898</v>
      </c>
      <c r="Z19" s="61">
        <f t="shared" si="9"/>
        <v>0</v>
      </c>
      <c r="AA19" s="85">
        <f t="shared" si="10"/>
        <v>0</v>
      </c>
      <c r="AB19" s="27" t="str">
        <f t="shared" si="2"/>
        <v>Cumple</v>
      </c>
    </row>
    <row r="20" spans="2:28" ht="15" customHeight="1" thickBot="1">
      <c r="B20" s="21">
        <v>45255</v>
      </c>
      <c r="C20" s="75">
        <v>45690.333333333336</v>
      </c>
      <c r="D20" s="86">
        <v>13.36</v>
      </c>
      <c r="E20" s="61">
        <v>77.88</v>
      </c>
      <c r="F20" s="61">
        <v>574.17999999999995</v>
      </c>
      <c r="G20" s="61">
        <v>337.5</v>
      </c>
      <c r="H20" s="61">
        <v>3.29</v>
      </c>
      <c r="I20" s="61">
        <v>322.85000000000002</v>
      </c>
      <c r="J20" s="61"/>
      <c r="K20" s="87">
        <v>0</v>
      </c>
      <c r="L20" s="88">
        <v>13.6</v>
      </c>
      <c r="M20" s="61">
        <v>75.599999999999994</v>
      </c>
      <c r="N20" s="61">
        <v>573.20000000000005</v>
      </c>
      <c r="O20" s="61">
        <v>337.5</v>
      </c>
      <c r="P20" s="61">
        <v>2.2999999999999998</v>
      </c>
      <c r="Q20" s="61">
        <v>276.89999999999998</v>
      </c>
      <c r="R20" s="61"/>
      <c r="S20" s="87">
        <v>0</v>
      </c>
      <c r="T20" s="88">
        <f t="shared" si="3"/>
        <v>0.24000000000000021</v>
      </c>
      <c r="U20" s="61">
        <f t="shared" si="4"/>
        <v>2.2800000000000011</v>
      </c>
      <c r="V20" s="61">
        <f t="shared" si="5"/>
        <v>0.9799999999999045</v>
      </c>
      <c r="W20" s="61">
        <f t="shared" si="6"/>
        <v>0</v>
      </c>
      <c r="X20" s="61">
        <f t="shared" si="7"/>
        <v>0.99000000000000021</v>
      </c>
      <c r="Y20" s="61">
        <f t="shared" si="8"/>
        <v>45.950000000000045</v>
      </c>
      <c r="Z20" s="61">
        <f t="shared" si="9"/>
        <v>0</v>
      </c>
      <c r="AA20" s="85">
        <f t="shared" si="10"/>
        <v>0</v>
      </c>
      <c r="AB20" s="27" t="str">
        <f t="shared" si="2"/>
        <v>Cumple</v>
      </c>
    </row>
    <row r="21" spans="2:28" ht="15" customHeight="1" thickBot="1">
      <c r="B21" s="21">
        <v>45255</v>
      </c>
      <c r="C21" s="75">
        <v>45690.375</v>
      </c>
      <c r="D21" s="86">
        <v>16.28</v>
      </c>
      <c r="E21" s="61">
        <v>67.45</v>
      </c>
      <c r="F21" s="61">
        <v>572.96</v>
      </c>
      <c r="G21" s="61">
        <v>337.5</v>
      </c>
      <c r="H21" s="61">
        <v>1.94</v>
      </c>
      <c r="I21" s="61">
        <v>675.88</v>
      </c>
      <c r="J21" s="61"/>
      <c r="K21" s="87">
        <v>0</v>
      </c>
      <c r="L21" s="88">
        <v>16.600000000000001</v>
      </c>
      <c r="M21" s="61">
        <v>65.5</v>
      </c>
      <c r="N21" s="61">
        <v>573</v>
      </c>
      <c r="O21" s="61">
        <v>337.5</v>
      </c>
      <c r="P21" s="61">
        <v>1.9</v>
      </c>
      <c r="Q21" s="61">
        <v>589.9</v>
      </c>
      <c r="R21" s="61"/>
      <c r="S21" s="87">
        <v>0</v>
      </c>
      <c r="T21" s="88">
        <f t="shared" si="3"/>
        <v>0.32000000000000028</v>
      </c>
      <c r="U21" s="61">
        <f t="shared" si="4"/>
        <v>1.9500000000000028</v>
      </c>
      <c r="V21" s="61">
        <f t="shared" si="5"/>
        <v>3.999999999996362E-2</v>
      </c>
      <c r="W21" s="61">
        <f t="shared" si="6"/>
        <v>0</v>
      </c>
      <c r="X21" s="61">
        <f t="shared" si="7"/>
        <v>4.0000000000000036E-2</v>
      </c>
      <c r="Y21" s="61">
        <f t="shared" si="8"/>
        <v>85.980000000000018</v>
      </c>
      <c r="Z21" s="61">
        <f t="shared" si="9"/>
        <v>0</v>
      </c>
      <c r="AA21" s="85">
        <f t="shared" si="10"/>
        <v>0</v>
      </c>
      <c r="AB21" s="27" t="str">
        <f t="shared" si="2"/>
        <v>Cumple</v>
      </c>
    </row>
    <row r="22" spans="2:28" ht="15" customHeight="1" thickBot="1">
      <c r="B22" s="21">
        <v>45255</v>
      </c>
      <c r="C22" s="75">
        <v>45690.416666666664</v>
      </c>
      <c r="D22" s="86">
        <v>17.010000000000002</v>
      </c>
      <c r="E22" s="61">
        <v>62.65</v>
      </c>
      <c r="F22" s="61">
        <v>572.59</v>
      </c>
      <c r="G22" s="61">
        <v>67.5</v>
      </c>
      <c r="H22" s="61">
        <v>3.01</v>
      </c>
      <c r="I22" s="61">
        <v>346.66</v>
      </c>
      <c r="J22" s="61"/>
      <c r="K22" s="87">
        <v>0</v>
      </c>
      <c r="L22" s="88">
        <v>17.399999999999999</v>
      </c>
      <c r="M22" s="61">
        <v>60.8</v>
      </c>
      <c r="N22" s="61">
        <v>572.6</v>
      </c>
      <c r="O22" s="61">
        <v>45</v>
      </c>
      <c r="P22" s="61">
        <v>2.2000000000000002</v>
      </c>
      <c r="Q22" s="61">
        <v>334.7</v>
      </c>
      <c r="R22" s="61"/>
      <c r="S22" s="87">
        <v>0</v>
      </c>
      <c r="T22" s="88">
        <f t="shared" si="3"/>
        <v>0.38999999999999702</v>
      </c>
      <c r="U22" s="61">
        <f t="shared" si="4"/>
        <v>1.8500000000000014</v>
      </c>
      <c r="V22" s="61">
        <f t="shared" si="5"/>
        <v>9.9999999999909051E-3</v>
      </c>
      <c r="W22" s="61">
        <f t="shared" si="6"/>
        <v>22.5</v>
      </c>
      <c r="X22" s="61">
        <f t="shared" si="7"/>
        <v>0.80999999999999961</v>
      </c>
      <c r="Y22" s="61">
        <f t="shared" si="8"/>
        <v>11.960000000000036</v>
      </c>
      <c r="Z22" s="61">
        <f t="shared" si="9"/>
        <v>0</v>
      </c>
      <c r="AA22" s="85">
        <f t="shared" si="10"/>
        <v>0</v>
      </c>
      <c r="AB22" s="27" t="str">
        <f t="shared" si="2"/>
        <v>Cumple</v>
      </c>
    </row>
    <row r="23" spans="2:28" ht="15" customHeight="1" thickBot="1">
      <c r="B23" s="21">
        <v>45255</v>
      </c>
      <c r="C23" s="75">
        <v>45690.458333333336</v>
      </c>
      <c r="D23" s="86">
        <v>17.850000000000001</v>
      </c>
      <c r="E23" s="61">
        <v>59.64</v>
      </c>
      <c r="F23" s="61">
        <v>572.88</v>
      </c>
      <c r="G23" s="61">
        <v>337.5</v>
      </c>
      <c r="H23" s="61">
        <v>1.48</v>
      </c>
      <c r="I23" s="61">
        <v>501.16</v>
      </c>
      <c r="J23" s="61"/>
      <c r="K23" s="87">
        <v>0</v>
      </c>
      <c r="L23" s="88">
        <v>18.2</v>
      </c>
      <c r="M23" s="61">
        <v>57.9</v>
      </c>
      <c r="N23" s="61">
        <v>571.9</v>
      </c>
      <c r="O23" s="61">
        <v>337.5</v>
      </c>
      <c r="P23" s="61">
        <v>1.5</v>
      </c>
      <c r="Q23" s="61">
        <v>411.2</v>
      </c>
      <c r="R23" s="61"/>
      <c r="S23" s="87">
        <v>0</v>
      </c>
      <c r="T23" s="88">
        <f t="shared" si="3"/>
        <v>0.34999999999999787</v>
      </c>
      <c r="U23" s="61">
        <f t="shared" si="4"/>
        <v>1.740000000000002</v>
      </c>
      <c r="V23" s="61">
        <f t="shared" si="5"/>
        <v>0.98000000000001819</v>
      </c>
      <c r="W23" s="61">
        <f t="shared" si="6"/>
        <v>0</v>
      </c>
      <c r="X23" s="61">
        <f t="shared" si="7"/>
        <v>2.0000000000000018E-2</v>
      </c>
      <c r="Y23" s="61">
        <f t="shared" si="8"/>
        <v>89.960000000000036</v>
      </c>
      <c r="Z23" s="61">
        <f t="shared" si="9"/>
        <v>0</v>
      </c>
      <c r="AA23" s="85">
        <f t="shared" si="10"/>
        <v>0</v>
      </c>
      <c r="AB23" s="27" t="str">
        <f t="shared" si="2"/>
        <v>Cumple</v>
      </c>
    </row>
    <row r="24" spans="2:28" ht="15" customHeight="1" thickBot="1">
      <c r="B24" s="21">
        <v>45255</v>
      </c>
      <c r="C24" s="75">
        <v>45690.5</v>
      </c>
      <c r="D24" s="86">
        <v>18.87</v>
      </c>
      <c r="E24" s="61">
        <v>55.81</v>
      </c>
      <c r="F24" s="61">
        <v>570.97</v>
      </c>
      <c r="G24" s="61">
        <v>45</v>
      </c>
      <c r="H24" s="61">
        <v>3.07</v>
      </c>
      <c r="I24" s="61">
        <v>682</v>
      </c>
      <c r="J24" s="61"/>
      <c r="K24" s="87">
        <v>0</v>
      </c>
      <c r="L24" s="88">
        <v>19.3</v>
      </c>
      <c r="M24" s="61">
        <v>54.2</v>
      </c>
      <c r="N24" s="61">
        <v>571</v>
      </c>
      <c r="O24" s="61">
        <v>45</v>
      </c>
      <c r="P24" s="61">
        <v>2.1</v>
      </c>
      <c r="Q24" s="61">
        <v>646</v>
      </c>
      <c r="R24" s="61"/>
      <c r="S24" s="87">
        <v>0</v>
      </c>
      <c r="T24" s="88">
        <f t="shared" si="3"/>
        <v>0.42999999999999972</v>
      </c>
      <c r="U24" s="61">
        <f t="shared" si="4"/>
        <v>1.6099999999999994</v>
      </c>
      <c r="V24" s="61">
        <f t="shared" si="5"/>
        <v>2.9999999999972715E-2</v>
      </c>
      <c r="W24" s="61">
        <f t="shared" si="6"/>
        <v>0</v>
      </c>
      <c r="X24" s="61">
        <f t="shared" si="7"/>
        <v>0.96999999999999975</v>
      </c>
      <c r="Y24" s="61">
        <f t="shared" si="8"/>
        <v>36</v>
      </c>
      <c r="Z24" s="61">
        <f t="shared" si="9"/>
        <v>0</v>
      </c>
      <c r="AA24" s="85">
        <f t="shared" si="10"/>
        <v>0</v>
      </c>
      <c r="AB24" s="27" t="str">
        <f t="shared" si="2"/>
        <v>Cumple</v>
      </c>
    </row>
    <row r="25" spans="2:28" ht="15" customHeight="1" thickBot="1">
      <c r="B25" s="21">
        <v>45255</v>
      </c>
      <c r="C25" s="75">
        <v>45690.541666666664</v>
      </c>
      <c r="D25" s="86">
        <v>18.93</v>
      </c>
      <c r="E25" s="61">
        <v>55.31</v>
      </c>
      <c r="F25" s="61">
        <v>570.17999999999995</v>
      </c>
      <c r="G25" s="61">
        <v>67.5</v>
      </c>
      <c r="H25" s="61">
        <v>2.61</v>
      </c>
      <c r="I25" s="61">
        <v>273.92</v>
      </c>
      <c r="J25" s="61"/>
      <c r="K25" s="87">
        <v>0</v>
      </c>
      <c r="L25" s="88">
        <v>19.3</v>
      </c>
      <c r="M25" s="61">
        <v>53.7</v>
      </c>
      <c r="N25" s="61">
        <v>570.20000000000005</v>
      </c>
      <c r="O25" s="61">
        <v>67.5</v>
      </c>
      <c r="P25" s="61">
        <v>1.8</v>
      </c>
      <c r="Q25" s="61">
        <v>213.9</v>
      </c>
      <c r="R25" s="61"/>
      <c r="S25" s="87">
        <v>0</v>
      </c>
      <c r="T25" s="88">
        <f t="shared" si="3"/>
        <v>0.37000000000000099</v>
      </c>
      <c r="U25" s="61">
        <f t="shared" si="4"/>
        <v>1.6099999999999994</v>
      </c>
      <c r="V25" s="61">
        <f t="shared" si="5"/>
        <v>2.0000000000095497E-2</v>
      </c>
      <c r="W25" s="61">
        <f t="shared" si="6"/>
        <v>0</v>
      </c>
      <c r="X25" s="61">
        <f t="shared" si="7"/>
        <v>0.80999999999999983</v>
      </c>
      <c r="Y25" s="61">
        <f t="shared" si="8"/>
        <v>60.02000000000001</v>
      </c>
      <c r="Z25" s="61">
        <f t="shared" si="9"/>
        <v>0</v>
      </c>
      <c r="AA25" s="85">
        <f t="shared" si="10"/>
        <v>0</v>
      </c>
      <c r="AB25" s="27" t="str">
        <f t="shared" si="2"/>
        <v>Cumple</v>
      </c>
    </row>
    <row r="26" spans="2:28" ht="15" customHeight="1" thickBot="1">
      <c r="B26" s="21">
        <v>45255</v>
      </c>
      <c r="C26" s="75">
        <v>45690.583333333336</v>
      </c>
      <c r="D26" s="86">
        <v>17.54</v>
      </c>
      <c r="E26" s="61">
        <v>70.13</v>
      </c>
      <c r="F26" s="61">
        <v>569.71</v>
      </c>
      <c r="G26" s="61">
        <v>247.5</v>
      </c>
      <c r="H26" s="61">
        <v>2.16</v>
      </c>
      <c r="I26" s="61">
        <v>136.77000000000001</v>
      </c>
      <c r="J26" s="61"/>
      <c r="K26" s="87">
        <v>0</v>
      </c>
      <c r="L26" s="88">
        <v>17.899999999999999</v>
      </c>
      <c r="M26" s="61">
        <v>68.099999999999994</v>
      </c>
      <c r="N26" s="61">
        <v>569.70000000000005</v>
      </c>
      <c r="O26" s="61">
        <v>225</v>
      </c>
      <c r="P26" s="61">
        <v>2.2000000000000002</v>
      </c>
      <c r="Q26" s="61">
        <v>92.8</v>
      </c>
      <c r="R26" s="61"/>
      <c r="S26" s="87">
        <v>0</v>
      </c>
      <c r="T26" s="88">
        <f t="shared" si="3"/>
        <v>0.35999999999999943</v>
      </c>
      <c r="U26" s="61">
        <f t="shared" si="4"/>
        <v>2.0300000000000011</v>
      </c>
      <c r="V26" s="61">
        <f t="shared" si="5"/>
        <v>9.9999999999909051E-3</v>
      </c>
      <c r="W26" s="61">
        <f t="shared" si="6"/>
        <v>22.5</v>
      </c>
      <c r="X26" s="61">
        <f t="shared" si="7"/>
        <v>4.0000000000000036E-2</v>
      </c>
      <c r="Y26" s="61">
        <f t="shared" si="8"/>
        <v>43.970000000000013</v>
      </c>
      <c r="Z26" s="61">
        <f t="shared" si="9"/>
        <v>0</v>
      </c>
      <c r="AA26" s="85">
        <f t="shared" si="10"/>
        <v>0</v>
      </c>
      <c r="AB26" s="27" t="str">
        <f t="shared" si="2"/>
        <v>Cumple</v>
      </c>
    </row>
    <row r="27" spans="2:28" ht="15" customHeight="1" thickBot="1">
      <c r="B27" s="21">
        <v>45255</v>
      </c>
      <c r="C27" s="75">
        <v>45690.625</v>
      </c>
      <c r="D27" s="86">
        <v>16.3</v>
      </c>
      <c r="E27" s="61">
        <v>78.040000000000006</v>
      </c>
      <c r="F27" s="61">
        <v>570.37</v>
      </c>
      <c r="G27" s="61">
        <v>270</v>
      </c>
      <c r="H27" s="61">
        <v>2.69</v>
      </c>
      <c r="I27" s="61">
        <v>121.18</v>
      </c>
      <c r="J27" s="61"/>
      <c r="K27" s="87">
        <v>0</v>
      </c>
      <c r="L27" s="88">
        <v>16.600000000000001</v>
      </c>
      <c r="M27" s="61">
        <v>75.8</v>
      </c>
      <c r="N27" s="61">
        <v>569.4</v>
      </c>
      <c r="O27" s="61">
        <v>270</v>
      </c>
      <c r="P27" s="61">
        <v>2.7</v>
      </c>
      <c r="Q27" s="61">
        <v>84.2</v>
      </c>
      <c r="R27" s="61"/>
      <c r="S27" s="87">
        <v>0</v>
      </c>
      <c r="T27" s="88">
        <f t="shared" si="3"/>
        <v>0.30000000000000071</v>
      </c>
      <c r="U27" s="61">
        <f t="shared" si="4"/>
        <v>2.2400000000000091</v>
      </c>
      <c r="V27" s="61">
        <f t="shared" si="5"/>
        <v>0.97000000000002728</v>
      </c>
      <c r="W27" s="61">
        <f t="shared" si="6"/>
        <v>0</v>
      </c>
      <c r="X27" s="61">
        <f t="shared" si="7"/>
        <v>1.0000000000000231E-2</v>
      </c>
      <c r="Y27" s="61">
        <f t="shared" si="8"/>
        <v>36.980000000000004</v>
      </c>
      <c r="Z27" s="61">
        <f t="shared" si="9"/>
        <v>0</v>
      </c>
      <c r="AA27" s="85">
        <f t="shared" si="10"/>
        <v>0</v>
      </c>
      <c r="AB27" s="27" t="str">
        <f t="shared" si="2"/>
        <v>Cumple</v>
      </c>
    </row>
    <row r="28" spans="2:28" ht="15" customHeight="1" thickBot="1">
      <c r="B28" s="21">
        <v>45255</v>
      </c>
      <c r="C28" s="75">
        <v>45690.666666666664</v>
      </c>
      <c r="D28" s="86">
        <v>15.51</v>
      </c>
      <c r="E28" s="61">
        <v>80.86</v>
      </c>
      <c r="F28" s="61">
        <v>569.39</v>
      </c>
      <c r="G28" s="61">
        <v>292.5</v>
      </c>
      <c r="H28" s="61">
        <v>2.68</v>
      </c>
      <c r="I28" s="61">
        <v>41.75</v>
      </c>
      <c r="J28" s="61"/>
      <c r="K28" s="87">
        <v>0</v>
      </c>
      <c r="L28" s="88">
        <v>15.8</v>
      </c>
      <c r="M28" s="61">
        <v>78.5</v>
      </c>
      <c r="N28" s="61">
        <v>569.4</v>
      </c>
      <c r="O28" s="61">
        <v>292.5</v>
      </c>
      <c r="P28" s="61">
        <v>2.7</v>
      </c>
      <c r="Q28" s="61">
        <v>41.8</v>
      </c>
      <c r="R28" s="61"/>
      <c r="S28" s="87">
        <v>0</v>
      </c>
      <c r="T28" s="88">
        <f t="shared" si="3"/>
        <v>0.29000000000000092</v>
      </c>
      <c r="U28" s="61">
        <f t="shared" si="4"/>
        <v>2.3599999999999994</v>
      </c>
      <c r="V28" s="61">
        <f t="shared" si="5"/>
        <v>9.9999999999909051E-3</v>
      </c>
      <c r="W28" s="61">
        <f t="shared" si="6"/>
        <v>0</v>
      </c>
      <c r="X28" s="61">
        <f t="shared" si="7"/>
        <v>2.0000000000000018E-2</v>
      </c>
      <c r="Y28" s="61">
        <f t="shared" si="8"/>
        <v>4.9999999999997158E-2</v>
      </c>
      <c r="Z28" s="61">
        <f t="shared" si="9"/>
        <v>0</v>
      </c>
      <c r="AA28" s="85">
        <f t="shared" si="10"/>
        <v>0</v>
      </c>
      <c r="AB28" s="27" t="str">
        <f t="shared" si="2"/>
        <v>Cumple</v>
      </c>
    </row>
    <row r="29" spans="2:28" ht="15" customHeight="1" thickBot="1">
      <c r="B29" s="21">
        <v>45255</v>
      </c>
      <c r="C29" s="75">
        <v>45690.708333333336</v>
      </c>
      <c r="D29" s="86">
        <v>14.64</v>
      </c>
      <c r="E29" s="61">
        <v>83.66</v>
      </c>
      <c r="F29" s="61">
        <v>569.71</v>
      </c>
      <c r="G29" s="61">
        <v>247.5</v>
      </c>
      <c r="H29" s="61">
        <v>2.2200000000000002</v>
      </c>
      <c r="I29" s="61">
        <v>32.590000000000003</v>
      </c>
      <c r="J29" s="61"/>
      <c r="K29" s="87">
        <v>0</v>
      </c>
      <c r="L29" s="88">
        <v>14.9</v>
      </c>
      <c r="M29" s="61">
        <v>81.2</v>
      </c>
      <c r="N29" s="61">
        <v>569.70000000000005</v>
      </c>
      <c r="O29" s="61">
        <v>225</v>
      </c>
      <c r="P29" s="61">
        <v>2.2000000000000002</v>
      </c>
      <c r="Q29" s="61">
        <v>14.6</v>
      </c>
      <c r="R29" s="61"/>
      <c r="S29" s="87">
        <v>0</v>
      </c>
      <c r="T29" s="88">
        <f t="shared" si="3"/>
        <v>0.25999999999999979</v>
      </c>
      <c r="U29" s="61">
        <f t="shared" si="4"/>
        <v>2.4599999999999937</v>
      </c>
      <c r="V29" s="61">
        <f t="shared" si="5"/>
        <v>9.9999999999909051E-3</v>
      </c>
      <c r="W29" s="61">
        <f t="shared" si="6"/>
        <v>22.5</v>
      </c>
      <c r="X29" s="61">
        <f t="shared" si="7"/>
        <v>2.0000000000000018E-2</v>
      </c>
      <c r="Y29" s="61">
        <f t="shared" si="8"/>
        <v>17.990000000000002</v>
      </c>
      <c r="Z29" s="61">
        <f t="shared" si="9"/>
        <v>0</v>
      </c>
      <c r="AA29" s="85">
        <f t="shared" si="10"/>
        <v>0</v>
      </c>
      <c r="AB29" s="27" t="str">
        <f t="shared" si="2"/>
        <v>Cumple</v>
      </c>
    </row>
    <row r="30" spans="2:28" ht="15" customHeight="1" thickBot="1">
      <c r="B30" s="21">
        <v>45255</v>
      </c>
      <c r="C30" s="75">
        <v>45690.75</v>
      </c>
      <c r="D30" s="86">
        <v>13.61</v>
      </c>
      <c r="E30" s="61">
        <v>88.59</v>
      </c>
      <c r="F30" s="61">
        <v>570.44000000000005</v>
      </c>
      <c r="G30" s="61">
        <v>292.5</v>
      </c>
      <c r="H30" s="61">
        <v>3.9</v>
      </c>
      <c r="I30" s="61">
        <v>0</v>
      </c>
      <c r="J30" s="61"/>
      <c r="K30" s="87">
        <v>0</v>
      </c>
      <c r="L30" s="88">
        <v>13.9</v>
      </c>
      <c r="M30" s="61">
        <v>86</v>
      </c>
      <c r="N30" s="61">
        <v>570.4</v>
      </c>
      <c r="O30" s="61">
        <v>270</v>
      </c>
      <c r="P30" s="61">
        <v>2.9</v>
      </c>
      <c r="Q30" s="61">
        <v>0</v>
      </c>
      <c r="R30" s="61"/>
      <c r="S30" s="87">
        <v>0</v>
      </c>
      <c r="T30" s="88">
        <f t="shared" si="3"/>
        <v>0.29000000000000092</v>
      </c>
      <c r="U30" s="61">
        <f t="shared" si="4"/>
        <v>2.5900000000000034</v>
      </c>
      <c r="V30" s="61">
        <f t="shared" si="5"/>
        <v>4.0000000000077307E-2</v>
      </c>
      <c r="W30" s="61">
        <f t="shared" si="6"/>
        <v>22.5</v>
      </c>
      <c r="X30" s="61">
        <f t="shared" si="7"/>
        <v>1</v>
      </c>
      <c r="Y30" s="61">
        <f t="shared" si="8"/>
        <v>0</v>
      </c>
      <c r="Z30" s="61">
        <f t="shared" si="9"/>
        <v>0</v>
      </c>
      <c r="AA30" s="85">
        <f t="shared" si="10"/>
        <v>0</v>
      </c>
      <c r="AB30" s="27" t="str">
        <f t="shared" si="2"/>
        <v>Cumple</v>
      </c>
    </row>
    <row r="31" spans="2:28" ht="15" customHeight="1" thickBot="1">
      <c r="B31" s="21">
        <v>45255</v>
      </c>
      <c r="C31" s="75">
        <v>45690.791666666664</v>
      </c>
      <c r="D31" s="86">
        <v>13.5</v>
      </c>
      <c r="E31" s="61">
        <v>88.74</v>
      </c>
      <c r="F31" s="61">
        <v>572.05999999999995</v>
      </c>
      <c r="G31" s="61">
        <v>292.5</v>
      </c>
      <c r="H31" s="61">
        <v>2.02</v>
      </c>
      <c r="I31" s="61">
        <v>0</v>
      </c>
      <c r="J31" s="61"/>
      <c r="K31" s="87">
        <v>0</v>
      </c>
      <c r="L31" s="88">
        <v>13.8</v>
      </c>
      <c r="M31" s="61">
        <v>86.2</v>
      </c>
      <c r="N31" s="61">
        <v>571.1</v>
      </c>
      <c r="O31" s="61">
        <v>292.5</v>
      </c>
      <c r="P31" s="61">
        <v>2</v>
      </c>
      <c r="Q31" s="61">
        <v>0</v>
      </c>
      <c r="R31" s="61"/>
      <c r="S31" s="87">
        <v>0</v>
      </c>
      <c r="T31" s="88">
        <f t="shared" si="3"/>
        <v>0.30000000000000071</v>
      </c>
      <c r="U31" s="61">
        <f t="shared" si="4"/>
        <v>2.539999999999992</v>
      </c>
      <c r="V31" s="61">
        <f t="shared" si="5"/>
        <v>0.95999999999992269</v>
      </c>
      <c r="W31" s="61">
        <f t="shared" si="6"/>
        <v>0</v>
      </c>
      <c r="X31" s="61">
        <f t="shared" si="7"/>
        <v>2.0000000000000018E-2</v>
      </c>
      <c r="Y31" s="61">
        <f t="shared" si="8"/>
        <v>0</v>
      </c>
      <c r="Z31" s="61">
        <f t="shared" si="9"/>
        <v>0</v>
      </c>
      <c r="AA31" s="85">
        <f t="shared" si="10"/>
        <v>0</v>
      </c>
      <c r="AB31" s="27" t="str">
        <f t="shared" si="2"/>
        <v>Cumple</v>
      </c>
    </row>
    <row r="32" spans="2:28" ht="15" customHeight="1" thickBot="1">
      <c r="B32" s="21">
        <v>45255</v>
      </c>
      <c r="C32" s="75">
        <v>45690.833333333336</v>
      </c>
      <c r="D32" s="86">
        <v>13.45</v>
      </c>
      <c r="E32" s="61">
        <v>87.69</v>
      </c>
      <c r="F32" s="61">
        <v>571.9</v>
      </c>
      <c r="G32" s="61">
        <v>315</v>
      </c>
      <c r="H32" s="61">
        <v>1.1399999999999999</v>
      </c>
      <c r="I32" s="61">
        <v>0</v>
      </c>
      <c r="J32" s="61"/>
      <c r="K32" s="87">
        <v>0</v>
      </c>
      <c r="L32" s="88">
        <v>13.7</v>
      </c>
      <c r="M32" s="61">
        <v>85.1</v>
      </c>
      <c r="N32" s="61">
        <v>571.9</v>
      </c>
      <c r="O32" s="61">
        <v>292.5</v>
      </c>
      <c r="P32" s="61">
        <v>1.1000000000000001</v>
      </c>
      <c r="Q32" s="61">
        <v>0</v>
      </c>
      <c r="R32" s="61"/>
      <c r="S32" s="87">
        <v>0</v>
      </c>
      <c r="T32" s="88">
        <f t="shared" si="3"/>
        <v>0.25</v>
      </c>
      <c r="U32" s="61">
        <f t="shared" si="4"/>
        <v>2.5900000000000034</v>
      </c>
      <c r="V32" s="61">
        <f t="shared" si="5"/>
        <v>0</v>
      </c>
      <c r="W32" s="61">
        <f t="shared" si="6"/>
        <v>22.5</v>
      </c>
      <c r="X32" s="61">
        <f t="shared" si="7"/>
        <v>3.9999999999999813E-2</v>
      </c>
      <c r="Y32" s="61">
        <f t="shared" si="8"/>
        <v>0</v>
      </c>
      <c r="Z32" s="61">
        <f t="shared" si="9"/>
        <v>0</v>
      </c>
      <c r="AA32" s="85">
        <f t="shared" si="10"/>
        <v>0</v>
      </c>
      <c r="AB32" s="27" t="str">
        <f t="shared" si="2"/>
        <v>Cumple</v>
      </c>
    </row>
    <row r="33" spans="2:28" ht="15" customHeight="1" thickBot="1">
      <c r="B33" s="21">
        <v>45255</v>
      </c>
      <c r="C33" s="75">
        <v>45690.875</v>
      </c>
      <c r="D33" s="86">
        <v>13.25</v>
      </c>
      <c r="E33" s="61">
        <v>87.62</v>
      </c>
      <c r="F33" s="61">
        <v>572.83000000000004</v>
      </c>
      <c r="G33" s="61">
        <v>225</v>
      </c>
      <c r="H33" s="61">
        <v>1.1299999999999999</v>
      </c>
      <c r="I33" s="61">
        <v>0</v>
      </c>
      <c r="J33" s="61"/>
      <c r="K33" s="87">
        <v>0</v>
      </c>
      <c r="L33" s="88">
        <v>13.5</v>
      </c>
      <c r="M33" s="61">
        <v>85.1</v>
      </c>
      <c r="N33" s="61">
        <v>572.79999999999995</v>
      </c>
      <c r="O33" s="61">
        <v>225</v>
      </c>
      <c r="P33" s="61">
        <v>1.1000000000000001</v>
      </c>
      <c r="Q33" s="61">
        <v>0</v>
      </c>
      <c r="R33" s="61"/>
      <c r="S33" s="87">
        <v>0</v>
      </c>
      <c r="T33" s="88">
        <f t="shared" si="3"/>
        <v>0.25</v>
      </c>
      <c r="U33" s="61">
        <f t="shared" si="4"/>
        <v>2.5200000000000102</v>
      </c>
      <c r="V33" s="61">
        <f t="shared" si="5"/>
        <v>3.0000000000086402E-2</v>
      </c>
      <c r="W33" s="61">
        <f t="shared" si="6"/>
        <v>0</v>
      </c>
      <c r="X33" s="61">
        <f t="shared" si="7"/>
        <v>2.9999999999999805E-2</v>
      </c>
      <c r="Y33" s="61">
        <f t="shared" si="8"/>
        <v>0</v>
      </c>
      <c r="Z33" s="61">
        <f t="shared" si="9"/>
        <v>0</v>
      </c>
      <c r="AA33" s="85">
        <f t="shared" si="10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21">
        <v>45255</v>
      </c>
      <c r="C34" s="75">
        <v>45690.916666666664</v>
      </c>
      <c r="D34" s="86">
        <v>13.73</v>
      </c>
      <c r="E34" s="61">
        <v>82.78</v>
      </c>
      <c r="F34" s="61">
        <v>572.91</v>
      </c>
      <c r="G34" s="61">
        <v>67.5</v>
      </c>
      <c r="H34" s="61">
        <v>3.23</v>
      </c>
      <c r="I34" s="61">
        <v>0</v>
      </c>
      <c r="J34" s="61"/>
      <c r="K34" s="87">
        <v>0</v>
      </c>
      <c r="L34" s="88">
        <v>14</v>
      </c>
      <c r="M34" s="61">
        <v>80.400000000000006</v>
      </c>
      <c r="N34" s="61">
        <v>572.9</v>
      </c>
      <c r="O34" s="61">
        <v>67.5</v>
      </c>
      <c r="P34" s="61">
        <v>3.2</v>
      </c>
      <c r="Q34" s="61">
        <v>0</v>
      </c>
      <c r="R34" s="61"/>
      <c r="S34" s="87">
        <v>0</v>
      </c>
      <c r="T34" s="88">
        <f t="shared" si="3"/>
        <v>0.26999999999999957</v>
      </c>
      <c r="U34" s="61">
        <f t="shared" si="4"/>
        <v>2.3799999999999955</v>
      </c>
      <c r="V34" s="61">
        <f t="shared" si="5"/>
        <v>9.9999999999909051E-3</v>
      </c>
      <c r="W34" s="61">
        <f t="shared" si="6"/>
        <v>0</v>
      </c>
      <c r="X34" s="61">
        <f t="shared" si="7"/>
        <v>2.9999999999999805E-2</v>
      </c>
      <c r="Y34" s="61">
        <f t="shared" si="8"/>
        <v>0</v>
      </c>
      <c r="Z34" s="61">
        <f t="shared" si="9"/>
        <v>0</v>
      </c>
      <c r="AA34" s="85">
        <f t="shared" si="10"/>
        <v>0</v>
      </c>
      <c r="AB34" s="27" t="str">
        <f t="shared" si="2"/>
        <v>Cumple</v>
      </c>
    </row>
    <row r="35" spans="2:28" ht="15" customHeight="1" thickBot="1">
      <c r="B35" s="21">
        <v>45255</v>
      </c>
      <c r="C35" s="75">
        <v>45690.958333333336</v>
      </c>
      <c r="D35" s="89">
        <v>12.84</v>
      </c>
      <c r="E35" s="90">
        <v>86.01</v>
      </c>
      <c r="F35" s="90">
        <v>573.47</v>
      </c>
      <c r="G35" s="90">
        <v>180</v>
      </c>
      <c r="H35" s="90">
        <v>2.5499999999999998</v>
      </c>
      <c r="I35" s="90">
        <v>0</v>
      </c>
      <c r="J35" s="90"/>
      <c r="K35" s="91">
        <v>0</v>
      </c>
      <c r="L35" s="92">
        <v>13.1</v>
      </c>
      <c r="M35" s="90">
        <v>83.5</v>
      </c>
      <c r="N35" s="90">
        <v>572.5</v>
      </c>
      <c r="O35" s="90">
        <v>180</v>
      </c>
      <c r="P35" s="90">
        <v>1.6</v>
      </c>
      <c r="Q35" s="90">
        <v>0</v>
      </c>
      <c r="R35" s="90"/>
      <c r="S35" s="91">
        <v>0</v>
      </c>
      <c r="T35" s="92">
        <f t="shared" si="3"/>
        <v>0.25999999999999979</v>
      </c>
      <c r="U35" s="90">
        <f t="shared" si="4"/>
        <v>2.5100000000000051</v>
      </c>
      <c r="V35" s="90">
        <f t="shared" si="5"/>
        <v>0.97000000000002728</v>
      </c>
      <c r="W35" s="90">
        <f t="shared" si="6"/>
        <v>0</v>
      </c>
      <c r="X35" s="90">
        <f t="shared" si="7"/>
        <v>0.94999999999999973</v>
      </c>
      <c r="Y35" s="90">
        <f t="shared" si="8"/>
        <v>0</v>
      </c>
      <c r="Z35" s="90">
        <f t="shared" si="9"/>
        <v>0</v>
      </c>
      <c r="AA35" s="85">
        <f t="shared" si="10"/>
        <v>0</v>
      </c>
      <c r="AB35" s="27" t="str">
        <f t="shared" si="2"/>
        <v>Cumple</v>
      </c>
    </row>
    <row r="36" spans="2:28" ht="33" customHeight="1">
      <c r="B36" s="234" t="s">
        <v>42</v>
      </c>
      <c r="C36" s="220"/>
      <c r="D36" s="100">
        <v>45260</v>
      </c>
      <c r="E36" s="101"/>
      <c r="F36" s="101"/>
      <c r="G36" s="101"/>
      <c r="H36" s="101"/>
      <c r="I36" s="102"/>
      <c r="J36" s="220" t="s">
        <v>43</v>
      </c>
      <c r="K36" s="220"/>
      <c r="L36" s="220"/>
      <c r="M36" s="220"/>
      <c r="N36" s="220"/>
      <c r="O36" s="220"/>
      <c r="P36" s="220"/>
      <c r="Q36" s="105" t="s">
        <v>75</v>
      </c>
      <c r="R36" s="106"/>
      <c r="S36" s="106"/>
      <c r="T36" s="107"/>
      <c r="U36" s="107"/>
      <c r="V36" s="107"/>
      <c r="W36" s="107"/>
      <c r="X36" s="107"/>
      <c r="Y36" s="107"/>
      <c r="Z36" s="107"/>
      <c r="AA36" s="107"/>
      <c r="AB36" s="108"/>
    </row>
    <row r="37" spans="2:28" ht="33" customHeight="1">
      <c r="B37" s="221" t="s">
        <v>45</v>
      </c>
      <c r="C37" s="222"/>
      <c r="D37" s="111" t="s">
        <v>46</v>
      </c>
      <c r="E37" s="112"/>
      <c r="F37" s="112"/>
      <c r="G37" s="112"/>
      <c r="H37" s="112"/>
      <c r="I37" s="113"/>
      <c r="J37" s="223" t="s">
        <v>47</v>
      </c>
      <c r="K37" s="224"/>
      <c r="L37" s="224"/>
      <c r="M37" s="224"/>
      <c r="N37" s="224"/>
      <c r="O37" s="224"/>
      <c r="P37" s="225"/>
      <c r="Q37" s="118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20"/>
    </row>
    <row r="38" spans="2:28" ht="33" customHeight="1" thickBot="1">
      <c r="B38" s="231" t="s">
        <v>49</v>
      </c>
      <c r="C38" s="232"/>
      <c r="D38" s="126" t="s">
        <v>50</v>
      </c>
      <c r="E38" s="127"/>
      <c r="F38" s="127"/>
      <c r="G38" s="127"/>
      <c r="H38" s="127"/>
      <c r="I38" s="128"/>
      <c r="J38" s="226"/>
      <c r="K38" s="227"/>
      <c r="L38" s="227"/>
      <c r="M38" s="227"/>
      <c r="N38" s="227"/>
      <c r="O38" s="227"/>
      <c r="P38" s="228"/>
      <c r="Q38" s="121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3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7">
    <mergeCell ref="D7:K7"/>
    <mergeCell ref="D8:K8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T7:X7"/>
    <mergeCell ref="Y7:Z7"/>
    <mergeCell ref="B8:C8"/>
    <mergeCell ref="T8:X8"/>
    <mergeCell ref="Y8:Z8"/>
    <mergeCell ref="B10:B11"/>
    <mergeCell ref="C10:C11"/>
    <mergeCell ref="D10:K10"/>
    <mergeCell ref="L10:S10"/>
    <mergeCell ref="T10:AA10"/>
    <mergeCell ref="L7:S7"/>
    <mergeCell ref="AA7:AB7"/>
    <mergeCell ref="L8:S8"/>
    <mergeCell ref="AA8:AB8"/>
    <mergeCell ref="B1:C4"/>
    <mergeCell ref="D1:Z2"/>
    <mergeCell ref="AB1:AB4"/>
    <mergeCell ref="D3:Z4"/>
    <mergeCell ref="B6:C6"/>
    <mergeCell ref="L6:R6"/>
    <mergeCell ref="T6:X6"/>
    <mergeCell ref="Y6:Z6"/>
    <mergeCell ref="D6:K6"/>
  </mergeCells>
  <conditionalFormatting sqref="T12:T35">
    <cfRule type="cellIs" dxfId="73" priority="17" operator="greaterThan">
      <formula>0.51</formula>
    </cfRule>
    <cfRule type="cellIs" dxfId="72" priority="18" operator="lessThan">
      <formula>0.5</formula>
    </cfRule>
  </conditionalFormatting>
  <conditionalFormatting sqref="U12:U35">
    <cfRule type="cellIs" dxfId="71" priority="15" operator="greaterThan">
      <formula>5.1</formula>
    </cfRule>
    <cfRule type="cellIs" dxfId="70" priority="16" operator="lessThan">
      <formula>5</formula>
    </cfRule>
  </conditionalFormatting>
  <conditionalFormatting sqref="V12:V35">
    <cfRule type="cellIs" dxfId="69" priority="13" operator="greaterThan">
      <formula>1</formula>
    </cfRule>
    <cfRule type="cellIs" dxfId="68" priority="14" operator="lessThanOrEqual">
      <formula>1</formula>
    </cfRule>
  </conditionalFormatting>
  <conditionalFormatting sqref="W12:W35">
    <cfRule type="cellIs" dxfId="67" priority="11" operator="greaterThan">
      <formula>22.6</formula>
    </cfRule>
    <cfRule type="cellIs" dxfId="66" priority="12" operator="lessThanOrEqual">
      <formula>22.5</formula>
    </cfRule>
  </conditionalFormatting>
  <conditionalFormatting sqref="X12:X35">
    <cfRule type="cellIs" dxfId="65" priority="9" operator="greaterThan">
      <formula>1</formula>
    </cfRule>
    <cfRule type="cellIs" dxfId="64" priority="10" operator="lessThanOrEqual">
      <formula>1</formula>
    </cfRule>
  </conditionalFormatting>
  <conditionalFormatting sqref="Y12:Y35">
    <cfRule type="cellIs" dxfId="63" priority="7" operator="greaterThan">
      <formula>90.1</formula>
    </cfRule>
    <cfRule type="cellIs" dxfId="62" priority="8" operator="lessThan">
      <formula>90</formula>
    </cfRule>
  </conditionalFormatting>
  <conditionalFormatting sqref="Z12:Z35">
    <cfRule type="cellIs" dxfId="61" priority="5" operator="greaterThan">
      <formula>0.9</formula>
    </cfRule>
    <cfRule type="cellIs" dxfId="60" priority="6" operator="lessThan">
      <formula>0.8</formula>
    </cfRule>
  </conditionalFormatting>
  <conditionalFormatting sqref="AA12:AA35">
    <cfRule type="cellIs" dxfId="59" priority="2" operator="equal">
      <formula>0</formula>
    </cfRule>
    <cfRule type="expression" dxfId="58" priority="3">
      <formula>OR(AND(K12=0, S12=0), AND(K12&lt;&gt;0, ABS(S12-K12)/K12 &lt;= 0.05))</formula>
    </cfRule>
    <cfRule type="expression" dxfId="57" priority="4">
      <formula>AND(K12&lt;&gt;0, ABS(S12-K12)/K12 &gt; 0.05)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65BD-6AB7-4D2D-9182-24B101275D8B}">
  <dimension ref="B1:AB68"/>
  <sheetViews>
    <sheetView topLeftCell="M1" zoomScale="98" zoomScaleNormal="98" workbookViewId="0">
      <selection activeCell="Y8" sqref="Y8:Z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52"/>
      <c r="C1" s="182"/>
      <c r="D1" s="185" t="s">
        <v>6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  <c r="AA1" s="2"/>
      <c r="AB1" s="188" t="s">
        <v>7</v>
      </c>
    </row>
    <row r="2" spans="2:28" ht="18" customHeight="1">
      <c r="B2" s="154"/>
      <c r="C2" s="183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7"/>
      <c r="AA2" s="2"/>
      <c r="AB2" s="189"/>
    </row>
    <row r="3" spans="2:28" ht="18" customHeight="1">
      <c r="B3" s="154"/>
      <c r="C3" s="183"/>
      <c r="D3" s="185" t="s">
        <v>8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7"/>
      <c r="AA3" s="2"/>
      <c r="AB3" s="189"/>
    </row>
    <row r="4" spans="2:28" ht="18" customHeight="1" thickBot="1">
      <c r="B4" s="156"/>
      <c r="C4" s="184"/>
      <c r="D4" s="191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  <c r="AA4" s="3"/>
      <c r="AB4" s="190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4" t="s">
        <v>9</v>
      </c>
      <c r="C6" s="194"/>
      <c r="D6" s="132" t="s">
        <v>78</v>
      </c>
      <c r="E6" s="133"/>
      <c r="F6" s="133"/>
      <c r="G6" s="133"/>
      <c r="H6" s="133"/>
      <c r="I6" s="133"/>
      <c r="J6" s="133"/>
      <c r="K6" s="134"/>
      <c r="L6" s="196" t="s">
        <v>10</v>
      </c>
      <c r="M6" s="196"/>
      <c r="N6" s="196"/>
      <c r="O6" s="196"/>
      <c r="P6" s="196"/>
      <c r="Q6" s="196"/>
      <c r="R6" s="196"/>
      <c r="S6" s="6"/>
      <c r="T6" s="196" t="s">
        <v>11</v>
      </c>
      <c r="U6" s="196"/>
      <c r="V6" s="196"/>
      <c r="W6" s="196"/>
      <c r="X6" s="196"/>
      <c r="Y6" s="196" t="s">
        <v>12</v>
      </c>
      <c r="Z6" s="196"/>
      <c r="AA6" s="6"/>
      <c r="AB6" s="7" t="s">
        <v>13</v>
      </c>
    </row>
    <row r="7" spans="2:28" ht="33.75" customHeight="1">
      <c r="B7" s="194" t="s">
        <v>14</v>
      </c>
      <c r="C7" s="194"/>
      <c r="D7" s="132" t="s">
        <v>79</v>
      </c>
      <c r="E7" s="133"/>
      <c r="F7" s="133"/>
      <c r="G7" s="133"/>
      <c r="H7" s="133"/>
      <c r="I7" s="133"/>
      <c r="J7" s="133"/>
      <c r="K7" s="134"/>
      <c r="L7" s="135" t="s">
        <v>15</v>
      </c>
      <c r="M7" s="136"/>
      <c r="N7" s="136"/>
      <c r="O7" s="136"/>
      <c r="P7" s="136"/>
      <c r="Q7" s="136"/>
      <c r="R7" s="136"/>
      <c r="S7" s="137"/>
      <c r="T7" s="135" t="s">
        <v>76</v>
      </c>
      <c r="U7" s="136"/>
      <c r="V7" s="136"/>
      <c r="W7" s="136"/>
      <c r="X7" s="137"/>
      <c r="Y7" s="138">
        <v>6262</v>
      </c>
      <c r="Z7" s="139"/>
      <c r="AA7" s="140" t="s">
        <v>82</v>
      </c>
      <c r="AB7" s="141"/>
    </row>
    <row r="8" spans="2:28" ht="33.75" customHeight="1">
      <c r="B8" s="194" t="s">
        <v>16</v>
      </c>
      <c r="C8" s="194"/>
      <c r="D8" s="132" t="s">
        <v>80</v>
      </c>
      <c r="E8" s="133"/>
      <c r="F8" s="133"/>
      <c r="G8" s="133"/>
      <c r="H8" s="133"/>
      <c r="I8" s="133"/>
      <c r="J8" s="133"/>
      <c r="K8" s="134"/>
      <c r="L8" s="135" t="s">
        <v>77</v>
      </c>
      <c r="M8" s="136"/>
      <c r="N8" s="136"/>
      <c r="O8" s="136"/>
      <c r="P8" s="136"/>
      <c r="Q8" s="136"/>
      <c r="R8" s="136"/>
      <c r="S8" s="137"/>
      <c r="T8" s="135" t="s">
        <v>76</v>
      </c>
      <c r="U8" s="136"/>
      <c r="V8" s="136"/>
      <c r="W8" s="136"/>
      <c r="X8" s="137"/>
      <c r="Y8" s="138">
        <v>6327</v>
      </c>
      <c r="Z8" s="139"/>
      <c r="AA8" s="140" t="s">
        <v>67</v>
      </c>
      <c r="AB8" s="141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2" t="s">
        <v>18</v>
      </c>
      <c r="C10" s="204" t="s">
        <v>19</v>
      </c>
      <c r="D10" s="206" t="s">
        <v>20</v>
      </c>
      <c r="E10" s="207"/>
      <c r="F10" s="207"/>
      <c r="G10" s="207"/>
      <c r="H10" s="207"/>
      <c r="I10" s="207"/>
      <c r="J10" s="207"/>
      <c r="K10" s="208"/>
      <c r="L10" s="209" t="s">
        <v>21</v>
      </c>
      <c r="M10" s="210"/>
      <c r="N10" s="210"/>
      <c r="O10" s="210"/>
      <c r="P10" s="210"/>
      <c r="Q10" s="210"/>
      <c r="R10" s="210"/>
      <c r="S10" s="211"/>
      <c r="T10" s="212" t="s">
        <v>22</v>
      </c>
      <c r="U10" s="213"/>
      <c r="V10" s="213"/>
      <c r="W10" s="213"/>
      <c r="X10" s="213"/>
      <c r="Y10" s="213"/>
      <c r="Z10" s="213"/>
      <c r="AA10" s="214"/>
      <c r="AB10" s="197" t="s">
        <v>23</v>
      </c>
    </row>
    <row r="11" spans="2:28" ht="48.75" customHeight="1" thickBot="1">
      <c r="B11" s="203"/>
      <c r="C11" s="205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198"/>
    </row>
    <row r="12" spans="2:28" ht="15" customHeight="1" thickBot="1">
      <c r="B12" s="21">
        <v>45437</v>
      </c>
      <c r="C12" s="75">
        <v>0</v>
      </c>
      <c r="D12" s="82">
        <v>13.136666666666665</v>
      </c>
      <c r="E12" s="58">
        <v>91.858333333333334</v>
      </c>
      <c r="F12" s="58">
        <v>569.22333333333336</v>
      </c>
      <c r="G12" s="58">
        <v>337.5</v>
      </c>
      <c r="H12" s="58">
        <v>1.9183333333333332</v>
      </c>
      <c r="I12" s="58">
        <v>0</v>
      </c>
      <c r="J12" s="58"/>
      <c r="K12" s="83">
        <v>0</v>
      </c>
      <c r="L12" s="84">
        <v>13.399999999999999</v>
      </c>
      <c r="M12" s="58">
        <v>89.2</v>
      </c>
      <c r="N12" s="58">
        <v>568.73333333333323</v>
      </c>
      <c r="O12" s="58">
        <v>337.5</v>
      </c>
      <c r="P12" s="58">
        <v>1.4333333333333333</v>
      </c>
      <c r="Q12" s="58">
        <v>0</v>
      </c>
      <c r="R12" s="58"/>
      <c r="S12" s="83">
        <v>0</v>
      </c>
      <c r="T12" s="84">
        <f t="shared" ref="T12:Z27" si="0">+ABS(L12-D12)</f>
        <v>0.26333333333333364</v>
      </c>
      <c r="U12" s="58">
        <f t="shared" si="0"/>
        <v>2.6583333333333314</v>
      </c>
      <c r="V12" s="58">
        <f t="shared" si="0"/>
        <v>0.49000000000012278</v>
      </c>
      <c r="W12" s="58">
        <f t="shared" si="0"/>
        <v>0</v>
      </c>
      <c r="X12" s="58">
        <f t="shared" si="0"/>
        <v>0.48499999999999988</v>
      </c>
      <c r="Y12" s="58">
        <f t="shared" si="0"/>
        <v>0</v>
      </c>
      <c r="Z12" s="58">
        <f t="shared" si="0"/>
        <v>0</v>
      </c>
      <c r="AA12" s="85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21">
        <v>45437</v>
      </c>
      <c r="C13" s="75">
        <v>4.1666666666666664E-2</v>
      </c>
      <c r="D13" s="86">
        <v>12.868333333333334</v>
      </c>
      <c r="E13" s="61">
        <v>91.591666666666654</v>
      </c>
      <c r="F13" s="61">
        <v>568.60666666666668</v>
      </c>
      <c r="G13" s="61">
        <v>337.5</v>
      </c>
      <c r="H13" s="61">
        <v>1.5733333333333333</v>
      </c>
      <c r="I13" s="61">
        <v>0</v>
      </c>
      <c r="J13" s="61"/>
      <c r="K13" s="87">
        <v>0</v>
      </c>
      <c r="L13" s="88">
        <v>13.149999999999999</v>
      </c>
      <c r="M13" s="61">
        <v>88.933333333333337</v>
      </c>
      <c r="N13" s="61">
        <v>568.28333333333342</v>
      </c>
      <c r="O13" s="61">
        <v>315</v>
      </c>
      <c r="P13" s="61">
        <v>1.0833333333333333</v>
      </c>
      <c r="Q13" s="61">
        <v>0</v>
      </c>
      <c r="R13" s="61"/>
      <c r="S13" s="87">
        <v>0</v>
      </c>
      <c r="T13" s="88">
        <f t="shared" si="0"/>
        <v>0.28166666666666451</v>
      </c>
      <c r="U13" s="61">
        <f t="shared" si="0"/>
        <v>2.6583333333333172</v>
      </c>
      <c r="V13" s="61">
        <f t="shared" si="0"/>
        <v>0.32333333333326664</v>
      </c>
      <c r="W13" s="61">
        <f t="shared" si="0"/>
        <v>22.5</v>
      </c>
      <c r="X13" s="61">
        <f t="shared" si="0"/>
        <v>0.49</v>
      </c>
      <c r="Y13" s="61">
        <f t="shared" si="0"/>
        <v>0</v>
      </c>
      <c r="Z13" s="61">
        <f t="shared" si="0"/>
        <v>0</v>
      </c>
      <c r="AA13" s="85">
        <f t="shared" ref="AA13:AA3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21">
        <v>45437</v>
      </c>
      <c r="C14" s="75">
        <v>45690.083333333336</v>
      </c>
      <c r="D14" s="86">
        <v>12.591666666666669</v>
      </c>
      <c r="E14" s="61">
        <v>91.821666666666673</v>
      </c>
      <c r="F14" s="61">
        <v>568.81666666666672</v>
      </c>
      <c r="G14" s="61">
        <v>270</v>
      </c>
      <c r="H14" s="61">
        <v>0.8883333333333332</v>
      </c>
      <c r="I14" s="61">
        <v>0</v>
      </c>
      <c r="J14" s="61"/>
      <c r="K14" s="87">
        <v>0</v>
      </c>
      <c r="L14" s="88">
        <v>12.866666666666667</v>
      </c>
      <c r="M14" s="61">
        <v>89.149999999999991</v>
      </c>
      <c r="N14" s="61">
        <v>568.33333333333326</v>
      </c>
      <c r="O14" s="61">
        <v>247.5</v>
      </c>
      <c r="P14" s="61">
        <v>0.8833333333333333</v>
      </c>
      <c r="Q14" s="61">
        <v>0</v>
      </c>
      <c r="R14" s="61"/>
      <c r="S14" s="87">
        <v>0</v>
      </c>
      <c r="T14" s="88">
        <f t="shared" si="0"/>
        <v>0.27499999999999858</v>
      </c>
      <c r="U14" s="61">
        <f t="shared" si="0"/>
        <v>2.6716666666666811</v>
      </c>
      <c r="V14" s="61">
        <f t="shared" si="0"/>
        <v>0.48333333333346218</v>
      </c>
      <c r="W14" s="61">
        <f t="shared" si="0"/>
        <v>22.5</v>
      </c>
      <c r="X14" s="61">
        <f t="shared" si="0"/>
        <v>4.9999999999998934E-3</v>
      </c>
      <c r="Y14" s="61">
        <f t="shared" si="0"/>
        <v>0</v>
      </c>
      <c r="Z14" s="61">
        <f t="shared" si="0"/>
        <v>0</v>
      </c>
      <c r="AA14" s="85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21">
        <v>45437</v>
      </c>
      <c r="C15" s="75">
        <v>45690.125</v>
      </c>
      <c r="D15" s="86">
        <v>12.408333333333333</v>
      </c>
      <c r="E15" s="61">
        <v>90.885000000000005</v>
      </c>
      <c r="F15" s="61">
        <v>568.72</v>
      </c>
      <c r="G15" s="61">
        <v>337.5</v>
      </c>
      <c r="H15" s="61">
        <v>2.6700000000000004</v>
      </c>
      <c r="I15" s="61">
        <v>0</v>
      </c>
      <c r="J15" s="61"/>
      <c r="K15" s="87">
        <v>0</v>
      </c>
      <c r="L15" s="88">
        <v>12.666666666666666</v>
      </c>
      <c r="M15" s="61">
        <v>88.233333333333334</v>
      </c>
      <c r="N15" s="61">
        <v>568.04999999999995</v>
      </c>
      <c r="O15" s="61">
        <v>337.5</v>
      </c>
      <c r="P15" s="61">
        <v>1.6833333333333333</v>
      </c>
      <c r="Q15" s="61">
        <v>0</v>
      </c>
      <c r="R15" s="61"/>
      <c r="S15" s="87">
        <v>0</v>
      </c>
      <c r="T15" s="88">
        <f t="shared" si="0"/>
        <v>0.25833333333333286</v>
      </c>
      <c r="U15" s="61">
        <f t="shared" si="0"/>
        <v>2.6516666666666708</v>
      </c>
      <c r="V15" s="61">
        <f t="shared" si="0"/>
        <v>0.67000000000007276</v>
      </c>
      <c r="W15" s="61">
        <f t="shared" si="0"/>
        <v>0</v>
      </c>
      <c r="X15" s="61">
        <f t="shared" si="0"/>
        <v>0.98666666666666702</v>
      </c>
      <c r="Y15" s="61">
        <f t="shared" si="0"/>
        <v>0</v>
      </c>
      <c r="Z15" s="61">
        <f t="shared" si="0"/>
        <v>0</v>
      </c>
      <c r="AA15" s="85">
        <f t="shared" si="1"/>
        <v>0</v>
      </c>
      <c r="AB15" s="27" t="str">
        <f t="shared" si="2"/>
        <v>Cumple</v>
      </c>
    </row>
    <row r="16" spans="2:28" ht="15" customHeight="1" thickBot="1">
      <c r="B16" s="21">
        <v>45437</v>
      </c>
      <c r="C16" s="75">
        <v>45690.166666666664</v>
      </c>
      <c r="D16" s="86">
        <v>12.58</v>
      </c>
      <c r="E16" s="61">
        <v>90.023333333333326</v>
      </c>
      <c r="F16" s="61">
        <v>568.59666666666669</v>
      </c>
      <c r="G16" s="61">
        <v>22.5</v>
      </c>
      <c r="H16" s="61">
        <v>2.2050000000000001</v>
      </c>
      <c r="I16" s="61">
        <v>0</v>
      </c>
      <c r="J16" s="61"/>
      <c r="K16" s="87">
        <v>0</v>
      </c>
      <c r="L16" s="88">
        <v>12.85</v>
      </c>
      <c r="M16" s="61">
        <v>87.399999999999991</v>
      </c>
      <c r="N16" s="61">
        <v>568.08333333333337</v>
      </c>
      <c r="O16" s="61">
        <v>22.5</v>
      </c>
      <c r="P16" s="61">
        <v>1.5666666666666667</v>
      </c>
      <c r="Q16" s="61">
        <v>0</v>
      </c>
      <c r="R16" s="61"/>
      <c r="S16" s="87">
        <v>0</v>
      </c>
      <c r="T16" s="88">
        <f t="shared" si="0"/>
        <v>0.26999999999999957</v>
      </c>
      <c r="U16" s="61">
        <f t="shared" si="0"/>
        <v>2.6233333333333348</v>
      </c>
      <c r="V16" s="61">
        <f t="shared" si="0"/>
        <v>0.51333333333332121</v>
      </c>
      <c r="W16" s="61">
        <f t="shared" si="0"/>
        <v>0</v>
      </c>
      <c r="X16" s="61">
        <f t="shared" si="0"/>
        <v>0.63833333333333342</v>
      </c>
      <c r="Y16" s="61">
        <f t="shared" si="0"/>
        <v>0</v>
      </c>
      <c r="Z16" s="61">
        <f t="shared" si="0"/>
        <v>0</v>
      </c>
      <c r="AA16" s="85">
        <f t="shared" si="1"/>
        <v>0</v>
      </c>
      <c r="AB16" s="27" t="str">
        <f t="shared" si="2"/>
        <v>Cumple</v>
      </c>
    </row>
    <row r="17" spans="2:28" ht="15" customHeight="1" thickBot="1">
      <c r="B17" s="21">
        <v>45437</v>
      </c>
      <c r="C17" s="75">
        <v>45690.208333333336</v>
      </c>
      <c r="D17" s="86">
        <v>12.339999999999998</v>
      </c>
      <c r="E17" s="61">
        <v>90.064999999999998</v>
      </c>
      <c r="F17" s="61">
        <v>568.65</v>
      </c>
      <c r="G17" s="61">
        <v>337.5</v>
      </c>
      <c r="H17" s="61">
        <v>1.51</v>
      </c>
      <c r="I17" s="61">
        <v>0</v>
      </c>
      <c r="J17" s="61"/>
      <c r="K17" s="87">
        <v>0</v>
      </c>
      <c r="L17" s="88">
        <v>12.600000000000001</v>
      </c>
      <c r="M17" s="61">
        <v>87.45</v>
      </c>
      <c r="N17" s="61">
        <v>567.98333333333335</v>
      </c>
      <c r="O17" s="61">
        <v>337.5</v>
      </c>
      <c r="P17" s="61">
        <v>0.68333333333333346</v>
      </c>
      <c r="Q17" s="61">
        <v>0</v>
      </c>
      <c r="R17" s="61"/>
      <c r="S17" s="87">
        <v>0</v>
      </c>
      <c r="T17" s="88">
        <f t="shared" si="0"/>
        <v>0.26000000000000334</v>
      </c>
      <c r="U17" s="61">
        <f t="shared" si="0"/>
        <v>2.6149999999999949</v>
      </c>
      <c r="V17" s="61">
        <f t="shared" si="0"/>
        <v>0.66666666666662877</v>
      </c>
      <c r="W17" s="61">
        <f t="shared" si="0"/>
        <v>0</v>
      </c>
      <c r="X17" s="61">
        <f t="shared" si="0"/>
        <v>0.82666666666666655</v>
      </c>
      <c r="Y17" s="61">
        <f t="shared" si="0"/>
        <v>0</v>
      </c>
      <c r="Z17" s="61">
        <f t="shared" si="0"/>
        <v>0</v>
      </c>
      <c r="AA17" s="85">
        <f t="shared" si="1"/>
        <v>0</v>
      </c>
      <c r="AB17" s="27" t="str">
        <f t="shared" si="2"/>
        <v>Cumple</v>
      </c>
    </row>
    <row r="18" spans="2:28" ht="15" customHeight="1" thickBot="1">
      <c r="B18" s="21">
        <v>45437</v>
      </c>
      <c r="C18" s="75">
        <v>45690.25</v>
      </c>
      <c r="D18" s="86">
        <v>12.506666666666666</v>
      </c>
      <c r="E18" s="61">
        <v>91.99</v>
      </c>
      <c r="F18" s="61">
        <v>568.55833333333328</v>
      </c>
      <c r="G18" s="61">
        <v>337.5</v>
      </c>
      <c r="H18" s="61">
        <v>1.79</v>
      </c>
      <c r="I18" s="61">
        <v>47.143333333333338</v>
      </c>
      <c r="J18" s="61"/>
      <c r="K18" s="87">
        <v>0</v>
      </c>
      <c r="L18" s="88">
        <v>12.766666666666667</v>
      </c>
      <c r="M18" s="61">
        <v>89.316666666666677</v>
      </c>
      <c r="N18" s="61">
        <v>568.38333333333333</v>
      </c>
      <c r="O18" s="61">
        <v>337.5</v>
      </c>
      <c r="P18" s="61">
        <v>1.2833333333333334</v>
      </c>
      <c r="Q18" s="61">
        <v>22.3</v>
      </c>
      <c r="R18" s="61"/>
      <c r="S18" s="87">
        <v>0</v>
      </c>
      <c r="T18" s="88">
        <f t="shared" si="0"/>
        <v>0.26000000000000156</v>
      </c>
      <c r="U18" s="61">
        <f t="shared" si="0"/>
        <v>2.6733333333333178</v>
      </c>
      <c r="V18" s="61">
        <f t="shared" si="0"/>
        <v>0.17499999999995453</v>
      </c>
      <c r="W18" s="61">
        <f t="shared" si="0"/>
        <v>0</v>
      </c>
      <c r="X18" s="61">
        <f t="shared" si="0"/>
        <v>0.5066666666666666</v>
      </c>
      <c r="Y18" s="61">
        <f t="shared" si="0"/>
        <v>24.843333333333337</v>
      </c>
      <c r="Z18" s="61">
        <f t="shared" si="0"/>
        <v>0</v>
      </c>
      <c r="AA18" s="85">
        <f t="shared" si="1"/>
        <v>0</v>
      </c>
      <c r="AB18" s="27" t="str">
        <f t="shared" si="2"/>
        <v>Cumple</v>
      </c>
    </row>
    <row r="19" spans="2:28" ht="15" customHeight="1" thickBot="1">
      <c r="B19" s="21">
        <v>45437</v>
      </c>
      <c r="C19" s="75">
        <v>45690.291666666664</v>
      </c>
      <c r="D19" s="86">
        <v>12.723333333333331</v>
      </c>
      <c r="E19" s="61">
        <v>91.726666666666674</v>
      </c>
      <c r="F19" s="61">
        <v>569.74166666666667</v>
      </c>
      <c r="G19" s="61">
        <v>247.5</v>
      </c>
      <c r="H19" s="61">
        <v>1.0633333333333332</v>
      </c>
      <c r="I19" s="61">
        <v>93.681666666666658</v>
      </c>
      <c r="J19" s="61"/>
      <c r="K19" s="87">
        <v>0</v>
      </c>
      <c r="L19" s="88">
        <v>12.983333333333334</v>
      </c>
      <c r="M19" s="61">
        <v>89.05</v>
      </c>
      <c r="N19" s="61">
        <v>569.25000000000011</v>
      </c>
      <c r="O19" s="61">
        <v>247.5</v>
      </c>
      <c r="P19" s="61">
        <v>0.9</v>
      </c>
      <c r="Q19" s="61">
        <v>39.166666666666664</v>
      </c>
      <c r="R19" s="61"/>
      <c r="S19" s="87">
        <v>0</v>
      </c>
      <c r="T19" s="88">
        <f t="shared" si="0"/>
        <v>0.26000000000000334</v>
      </c>
      <c r="U19" s="61">
        <f t="shared" si="0"/>
        <v>2.6766666666666765</v>
      </c>
      <c r="V19" s="61">
        <f t="shared" si="0"/>
        <v>0.49166666666656056</v>
      </c>
      <c r="W19" s="61">
        <f t="shared" si="0"/>
        <v>0</v>
      </c>
      <c r="X19" s="61">
        <f t="shared" si="0"/>
        <v>0.16333333333333322</v>
      </c>
      <c r="Y19" s="61">
        <f t="shared" si="0"/>
        <v>54.514999999999993</v>
      </c>
      <c r="Z19" s="61">
        <f t="shared" si="0"/>
        <v>0</v>
      </c>
      <c r="AA19" s="85">
        <f t="shared" si="1"/>
        <v>0</v>
      </c>
      <c r="AB19" s="27" t="str">
        <f t="shared" si="2"/>
        <v>Cumple</v>
      </c>
    </row>
    <row r="20" spans="2:28" ht="15" customHeight="1" thickBot="1">
      <c r="B20" s="21">
        <v>45437</v>
      </c>
      <c r="C20" s="75">
        <v>45690.333333333336</v>
      </c>
      <c r="D20" s="86">
        <v>13.143333333333333</v>
      </c>
      <c r="E20" s="61">
        <v>89.32</v>
      </c>
      <c r="F20" s="61">
        <v>570.5333333333333</v>
      </c>
      <c r="G20" s="61">
        <v>0</v>
      </c>
      <c r="H20" s="61">
        <v>0.97833333333333339</v>
      </c>
      <c r="I20" s="61">
        <v>95.273333333333326</v>
      </c>
      <c r="J20" s="61"/>
      <c r="K20" s="87">
        <v>0</v>
      </c>
      <c r="L20" s="88">
        <v>13.450000000000001</v>
      </c>
      <c r="M20" s="61">
        <v>86.716666666666683</v>
      </c>
      <c r="N20" s="61">
        <v>569.7166666666667</v>
      </c>
      <c r="O20" s="61">
        <v>0</v>
      </c>
      <c r="P20" s="61">
        <v>0.48333333333333334</v>
      </c>
      <c r="Q20" s="61">
        <v>42.283333333333331</v>
      </c>
      <c r="R20" s="61"/>
      <c r="S20" s="87">
        <v>0</v>
      </c>
      <c r="T20" s="88">
        <f t="shared" si="0"/>
        <v>0.30666666666666842</v>
      </c>
      <c r="U20" s="61">
        <f t="shared" si="0"/>
        <v>2.6033333333333104</v>
      </c>
      <c r="V20" s="61">
        <f t="shared" si="0"/>
        <v>0.81666666666660603</v>
      </c>
      <c r="W20" s="61">
        <f t="shared" si="0"/>
        <v>0</v>
      </c>
      <c r="X20" s="61">
        <f t="shared" si="0"/>
        <v>0.49500000000000005</v>
      </c>
      <c r="Y20" s="61">
        <f t="shared" si="0"/>
        <v>52.989999999999995</v>
      </c>
      <c r="Z20" s="61">
        <f t="shared" si="0"/>
        <v>0</v>
      </c>
      <c r="AA20" s="85">
        <f t="shared" si="1"/>
        <v>0</v>
      </c>
      <c r="AB20" s="27" t="str">
        <f t="shared" si="2"/>
        <v>Cumple</v>
      </c>
    </row>
    <row r="21" spans="2:28" ht="15" customHeight="1" thickBot="1">
      <c r="B21" s="21">
        <v>45437</v>
      </c>
      <c r="C21" s="75">
        <v>45690.375</v>
      </c>
      <c r="D21" s="86">
        <v>13.626666666666667</v>
      </c>
      <c r="E21" s="61">
        <v>87.68</v>
      </c>
      <c r="F21" s="61">
        <v>570.20999999999992</v>
      </c>
      <c r="G21" s="61">
        <v>315</v>
      </c>
      <c r="H21" s="61">
        <v>1.4483333333333333</v>
      </c>
      <c r="I21" s="61">
        <v>108.82833333333333</v>
      </c>
      <c r="J21" s="61"/>
      <c r="K21" s="87">
        <v>0</v>
      </c>
      <c r="L21" s="88">
        <v>13.916666666666666</v>
      </c>
      <c r="M21" s="61">
        <v>85.13333333333334</v>
      </c>
      <c r="N21" s="61">
        <v>569.88333333333333</v>
      </c>
      <c r="O21" s="61">
        <v>315</v>
      </c>
      <c r="P21" s="61">
        <v>0.95000000000000007</v>
      </c>
      <c r="Q21" s="61">
        <v>66.5</v>
      </c>
      <c r="R21" s="61"/>
      <c r="S21" s="87">
        <v>0</v>
      </c>
      <c r="T21" s="88">
        <f t="shared" si="0"/>
        <v>0.28999999999999915</v>
      </c>
      <c r="U21" s="61">
        <f t="shared" si="0"/>
        <v>2.5466666666666669</v>
      </c>
      <c r="V21" s="61">
        <f t="shared" si="0"/>
        <v>0.32666666666659694</v>
      </c>
      <c r="W21" s="61">
        <f t="shared" si="0"/>
        <v>0</v>
      </c>
      <c r="X21" s="61">
        <f t="shared" si="0"/>
        <v>0.49833333333333318</v>
      </c>
      <c r="Y21" s="61">
        <f t="shared" si="0"/>
        <v>42.328333333333333</v>
      </c>
      <c r="Z21" s="61">
        <f t="shared" si="0"/>
        <v>0</v>
      </c>
      <c r="AA21" s="85">
        <f t="shared" si="1"/>
        <v>0</v>
      </c>
      <c r="AB21" s="27" t="str">
        <f t="shared" si="2"/>
        <v>Cumple</v>
      </c>
    </row>
    <row r="22" spans="2:28" ht="15" customHeight="1" thickBot="1">
      <c r="B22" s="21">
        <v>45437</v>
      </c>
      <c r="C22" s="75">
        <v>45690.416666666664</v>
      </c>
      <c r="D22" s="86">
        <v>14.165000000000001</v>
      </c>
      <c r="E22" s="61">
        <v>86.153333333333322</v>
      </c>
      <c r="F22" s="61">
        <v>570.64499999999998</v>
      </c>
      <c r="G22" s="61">
        <v>22.5</v>
      </c>
      <c r="H22" s="61">
        <v>2.226666666666667</v>
      </c>
      <c r="I22" s="61">
        <v>154.84833333333333</v>
      </c>
      <c r="J22" s="61"/>
      <c r="K22" s="87">
        <v>0</v>
      </c>
      <c r="L22" s="88">
        <v>14.483333333333333</v>
      </c>
      <c r="M22" s="61">
        <v>83.633333333333326</v>
      </c>
      <c r="N22" s="61">
        <v>569.80000000000007</v>
      </c>
      <c r="O22" s="61">
        <v>0</v>
      </c>
      <c r="P22" s="61">
        <v>1.7166666666666666</v>
      </c>
      <c r="Q22" s="61">
        <v>105.5</v>
      </c>
      <c r="R22" s="61"/>
      <c r="S22" s="87">
        <v>0</v>
      </c>
      <c r="T22" s="88">
        <f t="shared" si="0"/>
        <v>0.31833333333333158</v>
      </c>
      <c r="U22" s="61">
        <f t="shared" si="0"/>
        <v>2.519999999999996</v>
      </c>
      <c r="V22" s="61">
        <f t="shared" si="0"/>
        <v>0.8449999999999136</v>
      </c>
      <c r="W22" s="61">
        <f t="shared" si="0"/>
        <v>22.5</v>
      </c>
      <c r="X22" s="61">
        <f t="shared" si="0"/>
        <v>0.51000000000000045</v>
      </c>
      <c r="Y22" s="61">
        <f t="shared" si="0"/>
        <v>49.348333333333329</v>
      </c>
      <c r="Z22" s="61">
        <f t="shared" si="0"/>
        <v>0</v>
      </c>
      <c r="AA22" s="85">
        <f t="shared" si="1"/>
        <v>0</v>
      </c>
      <c r="AB22" s="27" t="str">
        <f t="shared" si="2"/>
        <v>Cumple</v>
      </c>
    </row>
    <row r="23" spans="2:28" ht="15" customHeight="1" thickBot="1">
      <c r="B23" s="21">
        <v>45437</v>
      </c>
      <c r="C23" s="75">
        <v>45690.458333333336</v>
      </c>
      <c r="D23" s="86">
        <v>14.671666666666667</v>
      </c>
      <c r="E23" s="61">
        <v>82.740000000000009</v>
      </c>
      <c r="F23" s="61">
        <v>570.4849999999999</v>
      </c>
      <c r="G23" s="61">
        <v>45</v>
      </c>
      <c r="H23" s="61">
        <v>1.5466666666666666</v>
      </c>
      <c r="I23" s="61">
        <v>167.79333333333335</v>
      </c>
      <c r="J23" s="61"/>
      <c r="K23" s="87">
        <v>0</v>
      </c>
      <c r="L23" s="88">
        <v>15</v>
      </c>
      <c r="M23" s="61">
        <v>80.333333333333329</v>
      </c>
      <c r="N23" s="61">
        <v>569.65</v>
      </c>
      <c r="O23" s="61">
        <v>45</v>
      </c>
      <c r="P23" s="61">
        <v>1.2</v>
      </c>
      <c r="Q23" s="61">
        <v>116.78333333333332</v>
      </c>
      <c r="R23" s="61"/>
      <c r="S23" s="87">
        <v>0</v>
      </c>
      <c r="T23" s="88">
        <f t="shared" si="0"/>
        <v>0.32833333333333314</v>
      </c>
      <c r="U23" s="61">
        <f t="shared" si="0"/>
        <v>2.4066666666666805</v>
      </c>
      <c r="V23" s="61">
        <f t="shared" si="0"/>
        <v>0.83499999999992269</v>
      </c>
      <c r="W23" s="61">
        <f t="shared" si="0"/>
        <v>0</v>
      </c>
      <c r="X23" s="61">
        <f t="shared" si="0"/>
        <v>0.34666666666666668</v>
      </c>
      <c r="Y23" s="61">
        <f t="shared" si="0"/>
        <v>51.010000000000034</v>
      </c>
      <c r="Z23" s="61">
        <f t="shared" si="0"/>
        <v>0</v>
      </c>
      <c r="AA23" s="85">
        <f t="shared" si="1"/>
        <v>0</v>
      </c>
      <c r="AB23" s="27" t="str">
        <f t="shared" si="2"/>
        <v>Cumple</v>
      </c>
    </row>
    <row r="24" spans="2:28" ht="15" customHeight="1" thickBot="1">
      <c r="B24" s="21">
        <v>45437</v>
      </c>
      <c r="C24" s="75">
        <v>45690.5</v>
      </c>
      <c r="D24" s="86">
        <v>14.798333333333334</v>
      </c>
      <c r="E24" s="61">
        <v>78.085000000000008</v>
      </c>
      <c r="F24" s="61">
        <v>570.32000000000005</v>
      </c>
      <c r="G24" s="61">
        <v>202.5</v>
      </c>
      <c r="H24" s="61">
        <v>3.1283333333333339</v>
      </c>
      <c r="I24" s="61">
        <v>137.66166666666666</v>
      </c>
      <c r="J24" s="61"/>
      <c r="K24" s="87">
        <v>0</v>
      </c>
      <c r="L24" s="88">
        <v>15.116666666666667</v>
      </c>
      <c r="M24" s="61">
        <v>75.800000000000011</v>
      </c>
      <c r="N24" s="61">
        <v>569.46666666666658</v>
      </c>
      <c r="O24" s="61">
        <v>180</v>
      </c>
      <c r="P24" s="61">
        <v>2.6333333333333333</v>
      </c>
      <c r="Q24" s="61">
        <v>90.333333333333329</v>
      </c>
      <c r="R24" s="61"/>
      <c r="S24" s="87">
        <v>0</v>
      </c>
      <c r="T24" s="88">
        <f t="shared" si="0"/>
        <v>0.31833333333333336</v>
      </c>
      <c r="U24" s="61">
        <f t="shared" si="0"/>
        <v>2.2849999999999966</v>
      </c>
      <c r="V24" s="61">
        <f t="shared" si="0"/>
        <v>0.85333333333346673</v>
      </c>
      <c r="W24" s="61">
        <f t="shared" si="0"/>
        <v>22.5</v>
      </c>
      <c r="X24" s="61">
        <f t="shared" si="0"/>
        <v>0.49500000000000055</v>
      </c>
      <c r="Y24" s="61">
        <f t="shared" si="0"/>
        <v>47.328333333333333</v>
      </c>
      <c r="Z24" s="61">
        <f t="shared" si="0"/>
        <v>0</v>
      </c>
      <c r="AA24" s="85">
        <f t="shared" si="1"/>
        <v>0</v>
      </c>
      <c r="AB24" s="27" t="str">
        <f t="shared" si="2"/>
        <v>Cumple</v>
      </c>
    </row>
    <row r="25" spans="2:28" ht="15" customHeight="1" thickBot="1">
      <c r="B25" s="21">
        <v>45437</v>
      </c>
      <c r="C25" s="75">
        <v>45690.541666666664</v>
      </c>
      <c r="D25" s="86">
        <v>14.641666666666666</v>
      </c>
      <c r="E25" s="61">
        <v>74.38666666666667</v>
      </c>
      <c r="F25" s="61">
        <v>570.16500000000008</v>
      </c>
      <c r="G25" s="61">
        <v>180</v>
      </c>
      <c r="H25" s="61">
        <v>4.29</v>
      </c>
      <c r="I25" s="61">
        <v>173.53</v>
      </c>
      <c r="J25" s="61"/>
      <c r="K25" s="87">
        <v>0</v>
      </c>
      <c r="L25" s="88">
        <v>14.950000000000001</v>
      </c>
      <c r="M25" s="61">
        <v>72.199999999999989</v>
      </c>
      <c r="N25" s="61">
        <v>569.50000000000011</v>
      </c>
      <c r="O25" s="61">
        <v>157.5</v>
      </c>
      <c r="P25" s="61">
        <v>4.1499999999999995</v>
      </c>
      <c r="Q25" s="61">
        <v>122.56666666666668</v>
      </c>
      <c r="R25" s="61"/>
      <c r="S25" s="87">
        <v>0</v>
      </c>
      <c r="T25" s="88">
        <f t="shared" si="0"/>
        <v>0.30833333333333535</v>
      </c>
      <c r="U25" s="61">
        <f t="shared" si="0"/>
        <v>2.1866666666666816</v>
      </c>
      <c r="V25" s="61">
        <f t="shared" si="0"/>
        <v>0.66499999999996362</v>
      </c>
      <c r="W25" s="61">
        <f t="shared" si="0"/>
        <v>22.5</v>
      </c>
      <c r="X25" s="61">
        <f t="shared" si="0"/>
        <v>0.14000000000000057</v>
      </c>
      <c r="Y25" s="61">
        <f t="shared" si="0"/>
        <v>50.963333333333324</v>
      </c>
      <c r="Z25" s="61">
        <f t="shared" si="0"/>
        <v>0</v>
      </c>
      <c r="AA25" s="85">
        <f t="shared" si="1"/>
        <v>0</v>
      </c>
      <c r="AB25" s="27" t="str">
        <f t="shared" si="2"/>
        <v>Cumple</v>
      </c>
    </row>
    <row r="26" spans="2:28" ht="15" customHeight="1" thickBot="1">
      <c r="B26" s="21">
        <v>45437</v>
      </c>
      <c r="C26" s="75">
        <v>45690.583333333336</v>
      </c>
      <c r="D26" s="86">
        <v>14.251666666666667</v>
      </c>
      <c r="E26" s="61">
        <v>77.916666666666671</v>
      </c>
      <c r="F26" s="61">
        <v>569.58833333333337</v>
      </c>
      <c r="G26" s="61">
        <v>180</v>
      </c>
      <c r="H26" s="61">
        <v>5.1833333333333336</v>
      </c>
      <c r="I26" s="61">
        <v>177.97666666666669</v>
      </c>
      <c r="J26" s="61"/>
      <c r="K26" s="87">
        <v>0</v>
      </c>
      <c r="L26" s="88">
        <v>14.549999999999999</v>
      </c>
      <c r="M26" s="61">
        <v>75.649999999999991</v>
      </c>
      <c r="N26" s="61">
        <v>569.28333333333319</v>
      </c>
      <c r="O26" s="61">
        <v>180</v>
      </c>
      <c r="P26" s="61">
        <v>4.3499999999999996</v>
      </c>
      <c r="Q26" s="61">
        <v>134.98333333333335</v>
      </c>
      <c r="R26" s="61"/>
      <c r="S26" s="87">
        <v>0</v>
      </c>
      <c r="T26" s="88">
        <f t="shared" si="0"/>
        <v>0.29833333333333201</v>
      </c>
      <c r="U26" s="61">
        <f t="shared" si="0"/>
        <v>2.2666666666666799</v>
      </c>
      <c r="V26" s="61">
        <f t="shared" si="0"/>
        <v>0.30500000000017735</v>
      </c>
      <c r="W26" s="61">
        <f t="shared" si="0"/>
        <v>0</v>
      </c>
      <c r="X26" s="61">
        <f t="shared" si="0"/>
        <v>0.83333333333333393</v>
      </c>
      <c r="Y26" s="61">
        <f t="shared" si="0"/>
        <v>42.993333333333339</v>
      </c>
      <c r="Z26" s="61">
        <f t="shared" si="0"/>
        <v>0</v>
      </c>
      <c r="AA26" s="85">
        <f t="shared" si="1"/>
        <v>0</v>
      </c>
      <c r="AB26" s="27" t="str">
        <f t="shared" si="2"/>
        <v>Cumple</v>
      </c>
    </row>
    <row r="27" spans="2:28" ht="15" customHeight="1" thickBot="1">
      <c r="B27" s="21">
        <v>45437</v>
      </c>
      <c r="C27" s="75">
        <v>45690.625</v>
      </c>
      <c r="D27" s="86">
        <v>14.771666666666667</v>
      </c>
      <c r="E27" s="61">
        <v>73.48833333333333</v>
      </c>
      <c r="F27" s="61">
        <v>569.43833333333339</v>
      </c>
      <c r="G27" s="61">
        <v>180</v>
      </c>
      <c r="H27" s="61">
        <v>3.5816666666666666</v>
      </c>
      <c r="I27" s="61">
        <v>217.55000000000004</v>
      </c>
      <c r="J27" s="61"/>
      <c r="K27" s="87">
        <v>0</v>
      </c>
      <c r="L27" s="88">
        <v>15.066666666666668</v>
      </c>
      <c r="M27" s="61">
        <v>71.350000000000009</v>
      </c>
      <c r="N27" s="61">
        <v>568.76666666666654</v>
      </c>
      <c r="O27" s="61">
        <v>180</v>
      </c>
      <c r="P27" s="61">
        <v>3.2666666666666671</v>
      </c>
      <c r="Q27" s="61">
        <v>178.88333333333333</v>
      </c>
      <c r="R27" s="61"/>
      <c r="S27" s="87">
        <v>0</v>
      </c>
      <c r="T27" s="88">
        <f t="shared" si="0"/>
        <v>0.29500000000000171</v>
      </c>
      <c r="U27" s="61">
        <f t="shared" si="0"/>
        <v>2.1383333333333212</v>
      </c>
      <c r="V27" s="61">
        <f t="shared" si="0"/>
        <v>0.6716666666668516</v>
      </c>
      <c r="W27" s="61">
        <f t="shared" si="0"/>
        <v>0</v>
      </c>
      <c r="X27" s="61">
        <f t="shared" si="0"/>
        <v>0.3149999999999995</v>
      </c>
      <c r="Y27" s="61">
        <f t="shared" si="0"/>
        <v>38.666666666666714</v>
      </c>
      <c r="Z27" s="61">
        <f t="shared" si="0"/>
        <v>0</v>
      </c>
      <c r="AA27" s="85">
        <f t="shared" si="1"/>
        <v>0</v>
      </c>
      <c r="AB27" s="27" t="str">
        <f t="shared" si="2"/>
        <v>Cumple</v>
      </c>
    </row>
    <row r="28" spans="2:28" ht="15" customHeight="1" thickBot="1">
      <c r="B28" s="21">
        <v>45437</v>
      </c>
      <c r="C28" s="75">
        <v>45690.666666666664</v>
      </c>
      <c r="D28" s="86">
        <v>15.228333333333333</v>
      </c>
      <c r="E28" s="61">
        <v>72.283333333333331</v>
      </c>
      <c r="F28" s="61">
        <v>569.07500000000005</v>
      </c>
      <c r="G28" s="61">
        <v>135</v>
      </c>
      <c r="H28" s="61">
        <v>2.8683333333333336</v>
      </c>
      <c r="I28" s="61">
        <v>192.08833333333334</v>
      </c>
      <c r="J28" s="61"/>
      <c r="K28" s="87">
        <v>0</v>
      </c>
      <c r="L28" s="88">
        <v>15.550000000000002</v>
      </c>
      <c r="M28" s="61">
        <v>70.199999999999989</v>
      </c>
      <c r="N28" s="61">
        <v>568.25</v>
      </c>
      <c r="O28" s="61">
        <v>112.5</v>
      </c>
      <c r="P28" s="61">
        <v>2.3666666666666667</v>
      </c>
      <c r="Q28" s="61">
        <v>149.25</v>
      </c>
      <c r="R28" s="61"/>
      <c r="S28" s="87">
        <v>0</v>
      </c>
      <c r="T28" s="88">
        <f t="shared" ref="T28:Z35" si="3">+ABS(L28-D28)</f>
        <v>0.32166666666666899</v>
      </c>
      <c r="U28" s="61">
        <f t="shared" si="3"/>
        <v>2.0833333333333428</v>
      </c>
      <c r="V28" s="61">
        <f t="shared" si="3"/>
        <v>0.82500000000004547</v>
      </c>
      <c r="W28" s="61">
        <f t="shared" si="3"/>
        <v>22.5</v>
      </c>
      <c r="X28" s="61">
        <f t="shared" si="3"/>
        <v>0.50166666666666693</v>
      </c>
      <c r="Y28" s="61">
        <f t="shared" si="3"/>
        <v>42.838333333333338</v>
      </c>
      <c r="Z28" s="61">
        <f t="shared" si="3"/>
        <v>0</v>
      </c>
      <c r="AA28" s="85">
        <f t="shared" si="1"/>
        <v>0</v>
      </c>
      <c r="AB28" s="27" t="str">
        <f t="shared" si="2"/>
        <v>Cumple</v>
      </c>
    </row>
    <row r="29" spans="2:28" ht="15" customHeight="1" thickBot="1">
      <c r="B29" s="21">
        <v>45437</v>
      </c>
      <c r="C29" s="75">
        <v>45690.708333333336</v>
      </c>
      <c r="D29" s="86">
        <v>14.991666666666667</v>
      </c>
      <c r="E29" s="61">
        <v>74.49666666666667</v>
      </c>
      <c r="F29" s="61">
        <v>568.84166666666658</v>
      </c>
      <c r="G29" s="61">
        <v>180</v>
      </c>
      <c r="H29" s="61">
        <v>2.3649999999999998</v>
      </c>
      <c r="I29" s="61">
        <v>114.99333333333334</v>
      </c>
      <c r="J29" s="61"/>
      <c r="K29" s="87">
        <v>0</v>
      </c>
      <c r="L29" s="88">
        <v>15.299999999999999</v>
      </c>
      <c r="M29" s="61">
        <v>72.316666666666663</v>
      </c>
      <c r="N29" s="61">
        <v>568.18333333333328</v>
      </c>
      <c r="O29" s="61">
        <v>180</v>
      </c>
      <c r="P29" s="61">
        <v>2.3833333333333333</v>
      </c>
      <c r="Q29" s="61">
        <v>61.499999999999993</v>
      </c>
      <c r="R29" s="61"/>
      <c r="S29" s="87">
        <v>0</v>
      </c>
      <c r="T29" s="88">
        <f t="shared" si="3"/>
        <v>0.30833333333333179</v>
      </c>
      <c r="U29" s="61">
        <f t="shared" si="3"/>
        <v>2.1800000000000068</v>
      </c>
      <c r="V29" s="61">
        <f t="shared" si="3"/>
        <v>0.65833333333330302</v>
      </c>
      <c r="W29" s="61">
        <f t="shared" si="3"/>
        <v>0</v>
      </c>
      <c r="X29" s="61">
        <f t="shared" si="3"/>
        <v>1.8333333333333535E-2</v>
      </c>
      <c r="Y29" s="61">
        <f t="shared" si="3"/>
        <v>53.493333333333347</v>
      </c>
      <c r="Z29" s="61">
        <f t="shared" si="3"/>
        <v>0</v>
      </c>
      <c r="AA29" s="85">
        <f t="shared" si="1"/>
        <v>0</v>
      </c>
      <c r="AB29" s="27" t="str">
        <f t="shared" si="2"/>
        <v>Cumple</v>
      </c>
    </row>
    <row r="30" spans="2:28" ht="15" customHeight="1" thickBot="1">
      <c r="B30" s="21">
        <v>45437</v>
      </c>
      <c r="C30" s="75">
        <v>45690.75</v>
      </c>
      <c r="D30" s="86">
        <v>14.96</v>
      </c>
      <c r="E30" s="61">
        <v>72.575000000000003</v>
      </c>
      <c r="F30" s="61">
        <v>569.2399999999999</v>
      </c>
      <c r="G30" s="61">
        <v>135</v>
      </c>
      <c r="H30" s="61">
        <v>2.2383333333333333</v>
      </c>
      <c r="I30" s="61">
        <v>14.016666666666666</v>
      </c>
      <c r="J30" s="61"/>
      <c r="K30" s="87">
        <v>0</v>
      </c>
      <c r="L30" s="88">
        <v>15.266666666666666</v>
      </c>
      <c r="M30" s="61">
        <v>70.466666666666654</v>
      </c>
      <c r="N30" s="61">
        <v>568.73333333333323</v>
      </c>
      <c r="O30" s="61">
        <v>135</v>
      </c>
      <c r="P30" s="61">
        <v>1.5833333333333333</v>
      </c>
      <c r="Q30" s="61">
        <v>2.1833333333333336</v>
      </c>
      <c r="R30" s="61"/>
      <c r="S30" s="87">
        <v>0</v>
      </c>
      <c r="T30" s="88">
        <f t="shared" si="3"/>
        <v>0.30666666666666487</v>
      </c>
      <c r="U30" s="61">
        <f t="shared" si="3"/>
        <v>2.1083333333333485</v>
      </c>
      <c r="V30" s="61">
        <f t="shared" si="3"/>
        <v>0.5066666666666606</v>
      </c>
      <c r="W30" s="61">
        <f t="shared" si="3"/>
        <v>0</v>
      </c>
      <c r="X30" s="61">
        <f t="shared" si="3"/>
        <v>0.65500000000000003</v>
      </c>
      <c r="Y30" s="61">
        <f t="shared" si="3"/>
        <v>11.833333333333332</v>
      </c>
      <c r="Z30" s="61">
        <f t="shared" si="3"/>
        <v>0</v>
      </c>
      <c r="AA30" s="85">
        <f t="shared" si="1"/>
        <v>0</v>
      </c>
      <c r="AB30" s="27" t="str">
        <f t="shared" si="2"/>
        <v>Cumple</v>
      </c>
    </row>
    <row r="31" spans="2:28" ht="15" customHeight="1" thickBot="1">
      <c r="B31" s="21">
        <v>45437</v>
      </c>
      <c r="C31" s="75">
        <v>45690.791666666664</v>
      </c>
      <c r="D31" s="86">
        <v>13.901666666666666</v>
      </c>
      <c r="E31" s="61">
        <v>79.191666666666663</v>
      </c>
      <c r="F31" s="61">
        <v>569.57833333333338</v>
      </c>
      <c r="G31" s="61">
        <v>0</v>
      </c>
      <c r="H31" s="61">
        <v>1.1916666666666667</v>
      </c>
      <c r="I31" s="61">
        <v>0</v>
      </c>
      <c r="J31" s="61"/>
      <c r="K31" s="87">
        <v>0</v>
      </c>
      <c r="L31" s="88">
        <v>14.200000000000001</v>
      </c>
      <c r="M31" s="61">
        <v>76.899999999999991</v>
      </c>
      <c r="N31" s="61">
        <v>569.08333333333337</v>
      </c>
      <c r="O31" s="61">
        <v>0</v>
      </c>
      <c r="P31" s="61">
        <v>0.8666666666666667</v>
      </c>
      <c r="Q31" s="61">
        <v>0</v>
      </c>
      <c r="R31" s="61"/>
      <c r="S31" s="87">
        <v>0</v>
      </c>
      <c r="T31" s="88">
        <f t="shared" si="3"/>
        <v>0.29833333333333556</v>
      </c>
      <c r="U31" s="61">
        <f t="shared" si="3"/>
        <v>2.2916666666666714</v>
      </c>
      <c r="V31" s="61">
        <f t="shared" si="3"/>
        <v>0.49500000000000455</v>
      </c>
      <c r="W31" s="61">
        <f t="shared" si="3"/>
        <v>0</v>
      </c>
      <c r="X31" s="61">
        <f t="shared" si="3"/>
        <v>0.32499999999999996</v>
      </c>
      <c r="Y31" s="61">
        <f t="shared" si="3"/>
        <v>0</v>
      </c>
      <c r="Z31" s="61">
        <f t="shared" si="3"/>
        <v>0</v>
      </c>
      <c r="AA31" s="85">
        <f t="shared" si="1"/>
        <v>0</v>
      </c>
      <c r="AB31" s="27" t="str">
        <f t="shared" si="2"/>
        <v>Cumple</v>
      </c>
    </row>
    <row r="32" spans="2:28" ht="15" customHeight="1" thickBot="1">
      <c r="B32" s="21">
        <v>45437</v>
      </c>
      <c r="C32" s="75">
        <v>45690.833333333336</v>
      </c>
      <c r="D32" s="86">
        <v>13.675000000000002</v>
      </c>
      <c r="E32" s="61">
        <v>78.598333333333343</v>
      </c>
      <c r="F32" s="61">
        <v>570.15833333333342</v>
      </c>
      <c r="G32" s="61">
        <v>0</v>
      </c>
      <c r="H32" s="61">
        <v>2.6333333333333333</v>
      </c>
      <c r="I32" s="61">
        <v>0</v>
      </c>
      <c r="J32" s="61"/>
      <c r="K32" s="87">
        <v>0</v>
      </c>
      <c r="L32" s="88">
        <v>13.966666666666667</v>
      </c>
      <c r="M32" s="61">
        <v>76.3</v>
      </c>
      <c r="N32" s="61">
        <v>569.65</v>
      </c>
      <c r="O32" s="61">
        <v>0</v>
      </c>
      <c r="P32" s="61">
        <v>1.8166666666666664</v>
      </c>
      <c r="Q32" s="61">
        <v>0</v>
      </c>
      <c r="R32" s="61"/>
      <c r="S32" s="87">
        <v>0</v>
      </c>
      <c r="T32" s="88">
        <f t="shared" si="3"/>
        <v>0.2916666666666643</v>
      </c>
      <c r="U32" s="61">
        <f t="shared" si="3"/>
        <v>2.2983333333333462</v>
      </c>
      <c r="V32" s="61">
        <f t="shared" si="3"/>
        <v>0.50833333333343944</v>
      </c>
      <c r="W32" s="61">
        <f t="shared" si="3"/>
        <v>0</v>
      </c>
      <c r="X32" s="61">
        <f t="shared" si="3"/>
        <v>0.81666666666666687</v>
      </c>
      <c r="Y32" s="61">
        <f t="shared" si="3"/>
        <v>0</v>
      </c>
      <c r="Z32" s="61">
        <f t="shared" si="3"/>
        <v>0</v>
      </c>
      <c r="AA32" s="85">
        <f t="shared" si="1"/>
        <v>0</v>
      </c>
      <c r="AB32" s="27" t="str">
        <f t="shared" si="2"/>
        <v>Cumple</v>
      </c>
    </row>
    <row r="33" spans="2:28" ht="15" customHeight="1" thickBot="1">
      <c r="B33" s="21">
        <v>45437</v>
      </c>
      <c r="C33" s="75">
        <v>45690.875</v>
      </c>
      <c r="D33" s="86">
        <v>13.588333333333333</v>
      </c>
      <c r="E33" s="61">
        <v>76.998333333333335</v>
      </c>
      <c r="F33" s="61">
        <v>570.80166666666662</v>
      </c>
      <c r="G33" s="61">
        <v>90</v>
      </c>
      <c r="H33" s="61">
        <v>3.4316666666666662</v>
      </c>
      <c r="I33" s="61">
        <v>0</v>
      </c>
      <c r="J33" s="61"/>
      <c r="K33" s="87">
        <v>0</v>
      </c>
      <c r="L33" s="88">
        <v>13.883333333333333</v>
      </c>
      <c r="M33" s="61">
        <v>74.75</v>
      </c>
      <c r="N33" s="61">
        <v>570.31666666666672</v>
      </c>
      <c r="O33" s="61">
        <v>67.5</v>
      </c>
      <c r="P33" s="61">
        <v>3.1166666666666671</v>
      </c>
      <c r="Q33" s="61">
        <v>0</v>
      </c>
      <c r="R33" s="61"/>
      <c r="S33" s="87">
        <v>0</v>
      </c>
      <c r="T33" s="88">
        <f t="shared" si="3"/>
        <v>0.29499999999999993</v>
      </c>
      <c r="U33" s="61">
        <f t="shared" si="3"/>
        <v>2.2483333333333348</v>
      </c>
      <c r="V33" s="61">
        <f t="shared" si="3"/>
        <v>0.48499999999989996</v>
      </c>
      <c r="W33" s="61">
        <f t="shared" si="3"/>
        <v>22.5</v>
      </c>
      <c r="X33" s="61">
        <f t="shared" si="3"/>
        <v>0.31499999999999906</v>
      </c>
      <c r="Y33" s="61">
        <f t="shared" si="3"/>
        <v>0</v>
      </c>
      <c r="Z33" s="61">
        <f t="shared" si="3"/>
        <v>0</v>
      </c>
      <c r="AA33" s="85">
        <f t="shared" si="1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21">
        <v>45437</v>
      </c>
      <c r="C34" s="75">
        <v>45690.916666666664</v>
      </c>
      <c r="D34" s="86">
        <v>13.511666666666665</v>
      </c>
      <c r="E34" s="61">
        <v>76.311666666666667</v>
      </c>
      <c r="F34" s="61">
        <v>571.93666666666661</v>
      </c>
      <c r="G34" s="61">
        <v>90</v>
      </c>
      <c r="H34" s="61">
        <v>3.3516666666666666</v>
      </c>
      <c r="I34" s="61">
        <v>0</v>
      </c>
      <c r="J34" s="61"/>
      <c r="K34" s="87">
        <v>0</v>
      </c>
      <c r="L34" s="88">
        <v>13.816666666666668</v>
      </c>
      <c r="M34" s="61">
        <v>74.083333333333329</v>
      </c>
      <c r="N34" s="61">
        <v>571.13333333333333</v>
      </c>
      <c r="O34" s="61">
        <v>90</v>
      </c>
      <c r="P34" s="61">
        <v>2.5500000000000003</v>
      </c>
      <c r="Q34" s="61">
        <v>0</v>
      </c>
      <c r="R34" s="61"/>
      <c r="S34" s="87">
        <v>0</v>
      </c>
      <c r="T34" s="88">
        <f t="shared" si="3"/>
        <v>0.30500000000000327</v>
      </c>
      <c r="U34" s="61">
        <f t="shared" si="3"/>
        <v>2.2283333333333388</v>
      </c>
      <c r="V34" s="61">
        <f t="shared" si="3"/>
        <v>0.80333333333328483</v>
      </c>
      <c r="W34" s="61">
        <f t="shared" si="3"/>
        <v>0</v>
      </c>
      <c r="X34" s="61">
        <f t="shared" si="3"/>
        <v>0.80166666666666631</v>
      </c>
      <c r="Y34" s="61">
        <f t="shared" si="3"/>
        <v>0</v>
      </c>
      <c r="Z34" s="61">
        <f t="shared" si="3"/>
        <v>0</v>
      </c>
      <c r="AA34" s="85">
        <f t="shared" si="1"/>
        <v>0</v>
      </c>
      <c r="AB34" s="27" t="str">
        <f t="shared" si="2"/>
        <v>Cumple</v>
      </c>
    </row>
    <row r="35" spans="2:28" ht="15" customHeight="1" thickBot="1">
      <c r="B35" s="21">
        <v>45437</v>
      </c>
      <c r="C35" s="75">
        <v>45690.958333333336</v>
      </c>
      <c r="D35" s="89">
        <v>13.686666666666666</v>
      </c>
      <c r="E35" s="90">
        <v>75.681666666666658</v>
      </c>
      <c r="F35" s="90">
        <v>571.83666666666659</v>
      </c>
      <c r="G35" s="90">
        <v>90</v>
      </c>
      <c r="H35" s="90">
        <v>2.6350000000000002</v>
      </c>
      <c r="I35" s="90">
        <v>0</v>
      </c>
      <c r="J35" s="90"/>
      <c r="K35" s="91">
        <v>0</v>
      </c>
      <c r="L35" s="92">
        <v>13.966666666666667</v>
      </c>
      <c r="M35" s="90">
        <v>73.483333333333334</v>
      </c>
      <c r="N35" s="90">
        <v>571.5</v>
      </c>
      <c r="O35" s="90">
        <v>90</v>
      </c>
      <c r="P35" s="90">
        <v>2.2999999999999998</v>
      </c>
      <c r="Q35" s="90">
        <v>0</v>
      </c>
      <c r="R35" s="90"/>
      <c r="S35" s="91">
        <v>0</v>
      </c>
      <c r="T35" s="92">
        <f t="shared" si="3"/>
        <v>0.28000000000000114</v>
      </c>
      <c r="U35" s="90">
        <f t="shared" si="3"/>
        <v>2.1983333333333235</v>
      </c>
      <c r="V35" s="90">
        <f t="shared" si="3"/>
        <v>0.33666666666658784</v>
      </c>
      <c r="W35" s="90">
        <f t="shared" si="3"/>
        <v>0</v>
      </c>
      <c r="X35" s="90">
        <f t="shared" si="3"/>
        <v>0.33500000000000041</v>
      </c>
      <c r="Y35" s="90">
        <f t="shared" si="3"/>
        <v>0</v>
      </c>
      <c r="Z35" s="90">
        <f t="shared" si="3"/>
        <v>0</v>
      </c>
      <c r="AA35" s="85">
        <f t="shared" si="1"/>
        <v>0</v>
      </c>
      <c r="AB35" s="27" t="str">
        <f t="shared" si="2"/>
        <v>Cumple</v>
      </c>
    </row>
    <row r="36" spans="2:28" ht="33" customHeight="1">
      <c r="B36" s="234" t="s">
        <v>42</v>
      </c>
      <c r="C36" s="220"/>
      <c r="D36" s="100">
        <v>45442</v>
      </c>
      <c r="E36" s="101"/>
      <c r="F36" s="101"/>
      <c r="G36" s="101"/>
      <c r="H36" s="101"/>
      <c r="I36" s="102"/>
      <c r="J36" s="220" t="s">
        <v>43</v>
      </c>
      <c r="K36" s="220"/>
      <c r="L36" s="220"/>
      <c r="M36" s="220"/>
      <c r="N36" s="220"/>
      <c r="O36" s="220"/>
      <c r="P36" s="220"/>
      <c r="Q36" s="105" t="s">
        <v>75</v>
      </c>
      <c r="R36" s="106"/>
      <c r="S36" s="106"/>
      <c r="T36" s="107"/>
      <c r="U36" s="107"/>
      <c r="V36" s="107"/>
      <c r="W36" s="107"/>
      <c r="X36" s="107"/>
      <c r="Y36" s="107"/>
      <c r="Z36" s="107"/>
      <c r="AA36" s="107"/>
      <c r="AB36" s="108"/>
    </row>
    <row r="37" spans="2:28" ht="33" customHeight="1">
      <c r="B37" s="221" t="s">
        <v>45</v>
      </c>
      <c r="C37" s="222"/>
      <c r="D37" s="111" t="s">
        <v>46</v>
      </c>
      <c r="E37" s="112"/>
      <c r="F37" s="112"/>
      <c r="G37" s="112"/>
      <c r="H37" s="112"/>
      <c r="I37" s="113"/>
      <c r="J37" s="223" t="s">
        <v>47</v>
      </c>
      <c r="K37" s="224"/>
      <c r="L37" s="224"/>
      <c r="M37" s="224"/>
      <c r="N37" s="224"/>
      <c r="O37" s="224"/>
      <c r="P37" s="225"/>
      <c r="Q37" s="118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20"/>
    </row>
    <row r="38" spans="2:28" ht="33" customHeight="1" thickBot="1">
      <c r="B38" s="231" t="s">
        <v>49</v>
      </c>
      <c r="C38" s="232"/>
      <c r="D38" s="126" t="s">
        <v>50</v>
      </c>
      <c r="E38" s="127"/>
      <c r="F38" s="127"/>
      <c r="G38" s="127"/>
      <c r="H38" s="127"/>
      <c r="I38" s="128"/>
      <c r="J38" s="226"/>
      <c r="K38" s="227"/>
      <c r="L38" s="227"/>
      <c r="M38" s="227"/>
      <c r="N38" s="227"/>
      <c r="O38" s="227"/>
      <c r="P38" s="228"/>
      <c r="Q38" s="121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3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7">
    <mergeCell ref="D7:K7"/>
    <mergeCell ref="D8:K8"/>
    <mergeCell ref="B1:C4"/>
    <mergeCell ref="D1:Z2"/>
    <mergeCell ref="AB1:AB4"/>
    <mergeCell ref="D3:Z4"/>
    <mergeCell ref="B6:C6"/>
    <mergeCell ref="L6:R6"/>
    <mergeCell ref="T6:X6"/>
    <mergeCell ref="Y6:Z6"/>
    <mergeCell ref="D6:K6"/>
    <mergeCell ref="AB10:AB11"/>
    <mergeCell ref="B7:C7"/>
    <mergeCell ref="T7:X7"/>
    <mergeCell ref="Y7:Z7"/>
    <mergeCell ref="B8:C8"/>
    <mergeCell ref="T8:X8"/>
    <mergeCell ref="Y8:Z8"/>
    <mergeCell ref="B10:B11"/>
    <mergeCell ref="C10:C11"/>
    <mergeCell ref="D10:K10"/>
    <mergeCell ref="L10:S10"/>
    <mergeCell ref="T10:AA10"/>
    <mergeCell ref="L7:S7"/>
    <mergeCell ref="AA7:AB7"/>
    <mergeCell ref="L8:S8"/>
    <mergeCell ref="AA8:AB8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T12:T35">
    <cfRule type="cellIs" dxfId="56" priority="16" operator="greaterThan">
      <formula>0.51</formula>
    </cfRule>
    <cfRule type="cellIs" dxfId="55" priority="17" operator="lessThan">
      <formula>0.5</formula>
    </cfRule>
  </conditionalFormatting>
  <conditionalFormatting sqref="U12:U35">
    <cfRule type="cellIs" dxfId="54" priority="14" operator="greaterThan">
      <formula>5.1</formula>
    </cfRule>
    <cfRule type="cellIs" dxfId="53" priority="15" operator="lessThan">
      <formula>5</formula>
    </cfRule>
  </conditionalFormatting>
  <conditionalFormatting sqref="V12:V35">
    <cfRule type="cellIs" dxfId="52" priority="12" operator="greaterThan">
      <formula>1</formula>
    </cfRule>
    <cfRule type="cellIs" dxfId="51" priority="13" operator="lessThanOrEqual">
      <formula>1</formula>
    </cfRule>
  </conditionalFormatting>
  <conditionalFormatting sqref="W12:W35">
    <cfRule type="cellIs" dxfId="50" priority="10" operator="greaterThan">
      <formula>22.6</formula>
    </cfRule>
    <cfRule type="cellIs" dxfId="49" priority="11" operator="lessThanOrEqual">
      <formula>22.5</formula>
    </cfRule>
  </conditionalFormatting>
  <conditionalFormatting sqref="X12:X35">
    <cfRule type="cellIs" dxfId="48" priority="8" operator="greaterThan">
      <formula>1</formula>
    </cfRule>
    <cfRule type="cellIs" dxfId="47" priority="9" operator="lessThanOrEqual">
      <formula>1</formula>
    </cfRule>
  </conditionalFormatting>
  <conditionalFormatting sqref="Y12:Y35">
    <cfRule type="cellIs" dxfId="46" priority="6" operator="greaterThan">
      <formula>90.1</formula>
    </cfRule>
    <cfRule type="cellIs" dxfId="45" priority="7" operator="lessThan">
      <formula>90</formula>
    </cfRule>
  </conditionalFormatting>
  <conditionalFormatting sqref="Z12:Z35">
    <cfRule type="cellIs" dxfId="44" priority="4" operator="greaterThan">
      <formula>0.9</formula>
    </cfRule>
    <cfRule type="cellIs" dxfId="43" priority="5" operator="lessThan">
      <formula>0.8</formula>
    </cfRule>
  </conditionalFormatting>
  <conditionalFormatting sqref="AA12:AA35">
    <cfRule type="cellIs" dxfId="42" priority="1" operator="equal">
      <formula>0</formula>
    </cfRule>
    <cfRule type="expression" dxfId="41" priority="2">
      <formula>OR(AND(K12=0, S12=0), AND(K12&lt;&gt;0, ABS(S12-K12)/K12 &lt;= 0.05))</formula>
    </cfRule>
    <cfRule type="expression" dxfId="40" priority="3">
      <formula>AND(K12&lt;&gt;0, ABS(S12-K12)/K12 &gt; 0.05)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ED21-3325-48A9-9C83-96F9A079C39D}">
  <dimension ref="B1:AM68"/>
  <sheetViews>
    <sheetView topLeftCell="Q1" zoomScale="81" zoomScaleNormal="81" workbookViewId="0">
      <selection activeCell="AF24" sqref="AF24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52"/>
      <c r="C1" s="153"/>
      <c r="D1" s="158" t="s">
        <v>6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60"/>
      <c r="AA1" s="164" t="s">
        <v>51</v>
      </c>
      <c r="AB1" s="165"/>
    </row>
    <row r="2" spans="2:39" ht="18" customHeight="1">
      <c r="B2" s="154"/>
      <c r="C2" s="155"/>
      <c r="D2" s="161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3"/>
      <c r="AA2" s="166"/>
      <c r="AB2" s="167"/>
    </row>
    <row r="3" spans="2:39" ht="18" customHeight="1">
      <c r="B3" s="154"/>
      <c r="C3" s="155"/>
      <c r="D3" s="170" t="s">
        <v>8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2"/>
      <c r="AA3" s="166"/>
      <c r="AB3" s="167"/>
    </row>
    <row r="4" spans="2:39" ht="18" customHeight="1" thickBot="1">
      <c r="B4" s="156"/>
      <c r="C4" s="157"/>
      <c r="D4" s="173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5"/>
      <c r="AA4" s="168"/>
      <c r="AB4" s="169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31" t="s">
        <v>9</v>
      </c>
      <c r="C6" s="131"/>
      <c r="D6" s="132" t="s">
        <v>78</v>
      </c>
      <c r="E6" s="133"/>
      <c r="F6" s="133"/>
      <c r="G6" s="133"/>
      <c r="H6" s="133"/>
      <c r="I6" s="133"/>
      <c r="J6" s="133"/>
      <c r="K6" s="134"/>
      <c r="L6" s="176" t="s">
        <v>10</v>
      </c>
      <c r="M6" s="177"/>
      <c r="N6" s="177"/>
      <c r="O6" s="177"/>
      <c r="P6" s="177"/>
      <c r="Q6" s="177"/>
      <c r="R6" s="177"/>
      <c r="S6" s="178"/>
      <c r="T6" s="179" t="s">
        <v>11</v>
      </c>
      <c r="U6" s="179"/>
      <c r="V6" s="179"/>
      <c r="W6" s="179"/>
      <c r="X6" s="179"/>
      <c r="Y6" s="179" t="s">
        <v>12</v>
      </c>
      <c r="Z6" s="179"/>
      <c r="AA6" s="180" t="s">
        <v>52</v>
      </c>
      <c r="AB6" s="181"/>
    </row>
    <row r="7" spans="2:39" ht="33.75" customHeight="1">
      <c r="B7" s="131" t="s">
        <v>14</v>
      </c>
      <c r="C7" s="131"/>
      <c r="D7" s="132" t="s">
        <v>79</v>
      </c>
      <c r="E7" s="133"/>
      <c r="F7" s="133"/>
      <c r="G7" s="133"/>
      <c r="H7" s="133"/>
      <c r="I7" s="133"/>
      <c r="J7" s="133"/>
      <c r="K7" s="134"/>
      <c r="L7" s="135" t="s">
        <v>15</v>
      </c>
      <c r="M7" s="136"/>
      <c r="N7" s="136"/>
      <c r="O7" s="136"/>
      <c r="P7" s="136"/>
      <c r="Q7" s="136"/>
      <c r="R7" s="136"/>
      <c r="S7" s="137"/>
      <c r="T7" s="135" t="s">
        <v>76</v>
      </c>
      <c r="U7" s="136"/>
      <c r="V7" s="136"/>
      <c r="W7" s="136"/>
      <c r="X7" s="137"/>
      <c r="Y7" s="138">
        <v>6327</v>
      </c>
      <c r="Z7" s="139"/>
      <c r="AA7" s="140" t="s">
        <v>81</v>
      </c>
      <c r="AB7" s="141"/>
    </row>
    <row r="8" spans="2:39" ht="33.75" customHeight="1">
      <c r="B8" s="131" t="s">
        <v>16</v>
      </c>
      <c r="C8" s="131"/>
      <c r="D8" s="132" t="s">
        <v>80</v>
      </c>
      <c r="E8" s="133"/>
      <c r="F8" s="133"/>
      <c r="G8" s="133"/>
      <c r="H8" s="133"/>
      <c r="I8" s="133"/>
      <c r="J8" s="133"/>
      <c r="K8" s="134"/>
      <c r="L8" s="135" t="s">
        <v>77</v>
      </c>
      <c r="M8" s="136"/>
      <c r="N8" s="136"/>
      <c r="O8" s="136"/>
      <c r="P8" s="136"/>
      <c r="Q8" s="136"/>
      <c r="R8" s="136"/>
      <c r="S8" s="137"/>
      <c r="T8" s="135" t="s">
        <v>76</v>
      </c>
      <c r="U8" s="136"/>
      <c r="V8" s="136"/>
      <c r="W8" s="136"/>
      <c r="X8" s="137"/>
      <c r="Y8" s="138">
        <v>6327</v>
      </c>
      <c r="Z8" s="139"/>
      <c r="AA8" s="140" t="s">
        <v>67</v>
      </c>
      <c r="AB8" s="141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2" t="s">
        <v>18</v>
      </c>
      <c r="C10" s="144" t="s">
        <v>19</v>
      </c>
      <c r="D10" s="146" t="s">
        <v>20</v>
      </c>
      <c r="E10" s="147"/>
      <c r="F10" s="147"/>
      <c r="G10" s="147"/>
      <c r="H10" s="147"/>
      <c r="I10" s="147"/>
      <c r="J10" s="147"/>
      <c r="K10" s="148"/>
      <c r="L10" s="146" t="s">
        <v>21</v>
      </c>
      <c r="M10" s="147"/>
      <c r="N10" s="147"/>
      <c r="O10" s="147"/>
      <c r="P10" s="147"/>
      <c r="Q10" s="147"/>
      <c r="R10" s="147"/>
      <c r="S10" s="149"/>
      <c r="T10" s="150" t="s">
        <v>53</v>
      </c>
      <c r="U10" s="151"/>
      <c r="V10" s="151"/>
      <c r="W10" s="151"/>
      <c r="X10" s="151"/>
      <c r="Y10" s="151"/>
      <c r="Z10" s="151"/>
      <c r="AA10" s="151"/>
      <c r="AB10" s="129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3"/>
      <c r="C11" s="145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30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74">
        <v>45622</v>
      </c>
      <c r="C12" s="57">
        <v>0</v>
      </c>
      <c r="D12" s="84">
        <v>10.604999999999999</v>
      </c>
      <c r="E12" s="58">
        <v>89.853333333333339</v>
      </c>
      <c r="F12" s="58">
        <v>571.14</v>
      </c>
      <c r="G12" s="58">
        <v>337.5</v>
      </c>
      <c r="H12" s="58">
        <v>1.5933333333333335</v>
      </c>
      <c r="I12" s="58">
        <v>0</v>
      </c>
      <c r="J12" s="58"/>
      <c r="K12" s="83">
        <v>0</v>
      </c>
      <c r="L12" s="84">
        <v>10.82</v>
      </c>
      <c r="M12" s="58">
        <v>87.236666666666665</v>
      </c>
      <c r="N12" s="58">
        <v>570.30666666666662</v>
      </c>
      <c r="O12" s="58">
        <v>322.27999999999997</v>
      </c>
      <c r="P12" s="58">
        <v>0.92666666666666664</v>
      </c>
      <c r="Q12" s="58">
        <v>0</v>
      </c>
      <c r="R12" s="58"/>
      <c r="S12" s="85">
        <v>0</v>
      </c>
      <c r="T12" s="84">
        <f>+ABS(L12-D12)</f>
        <v>0.21500000000000163</v>
      </c>
      <c r="U12" s="58">
        <f t="shared" ref="T12:Z35" si="0">+ABS(M12-E12)</f>
        <v>2.6166666666666742</v>
      </c>
      <c r="V12" s="58">
        <f t="shared" si="0"/>
        <v>0.83333333333337123</v>
      </c>
      <c r="W12" s="58">
        <f t="shared" si="0"/>
        <v>15.220000000000027</v>
      </c>
      <c r="X12" s="58">
        <f t="shared" si="0"/>
        <v>0.66666666666666685</v>
      </c>
      <c r="Y12" s="93">
        <f t="shared" si="0"/>
        <v>0</v>
      </c>
      <c r="Z12" s="58">
        <f t="shared" si="0"/>
        <v>0</v>
      </c>
      <c r="AA12" s="87">
        <f>IF(AND(K12=0, S12=0), 0, IF(K12=0, 1, ABS((S12-K12)/K12)))</f>
        <v>0</v>
      </c>
      <c r="AB12" s="59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74">
        <v>45622</v>
      </c>
      <c r="C13" s="60">
        <v>4.1666666666666664E-2</v>
      </c>
      <c r="D13" s="88">
        <v>9.9933333333333323</v>
      </c>
      <c r="E13" s="61">
        <v>91.035000000000011</v>
      </c>
      <c r="F13" s="61">
        <v>570.86166666666668</v>
      </c>
      <c r="G13" s="61">
        <v>292.5</v>
      </c>
      <c r="H13" s="61">
        <v>1.675</v>
      </c>
      <c r="I13" s="61">
        <v>0</v>
      </c>
      <c r="J13" s="61"/>
      <c r="K13" s="87">
        <v>0</v>
      </c>
      <c r="L13" s="88">
        <v>10.196666666666667</v>
      </c>
      <c r="M13" s="61">
        <v>88.384999999999991</v>
      </c>
      <c r="N13" s="61">
        <v>570.02833333333331</v>
      </c>
      <c r="O13" s="61">
        <v>276</v>
      </c>
      <c r="P13" s="61">
        <v>1.175</v>
      </c>
      <c r="Q13" s="61">
        <v>0</v>
      </c>
      <c r="R13" s="61"/>
      <c r="S13" s="94">
        <v>0</v>
      </c>
      <c r="T13" s="88">
        <f t="shared" si="0"/>
        <v>0.20333333333333492</v>
      </c>
      <c r="U13" s="61">
        <f t="shared" si="0"/>
        <v>2.6500000000000199</v>
      </c>
      <c r="V13" s="61">
        <f t="shared" si="0"/>
        <v>0.83333333333337123</v>
      </c>
      <c r="W13" s="61">
        <f t="shared" si="0"/>
        <v>16.5</v>
      </c>
      <c r="X13" s="61">
        <f t="shared" si="0"/>
        <v>0.5</v>
      </c>
      <c r="Y13" s="61">
        <f t="shared" si="0"/>
        <v>0</v>
      </c>
      <c r="Z13" s="61">
        <f t="shared" si="0"/>
        <v>0</v>
      </c>
      <c r="AA13" s="87">
        <f t="shared" ref="AA13:AA35" si="1">IF(AND(K13=0, S13=0), 0, IF(K13=0, 1, ABS((S13-K13)/K13)))</f>
        <v>0</v>
      </c>
      <c r="AB13" s="59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74">
        <v>45622</v>
      </c>
      <c r="C14" s="60">
        <v>8.3333333333333301E-2</v>
      </c>
      <c r="D14" s="88">
        <v>9.625</v>
      </c>
      <c r="E14" s="61">
        <v>92.293333333333337</v>
      </c>
      <c r="F14" s="61">
        <v>569.58500000000004</v>
      </c>
      <c r="G14" s="61">
        <v>225</v>
      </c>
      <c r="H14" s="61">
        <v>1.07</v>
      </c>
      <c r="I14" s="61">
        <v>0</v>
      </c>
      <c r="J14" s="61"/>
      <c r="K14" s="87">
        <v>0</v>
      </c>
      <c r="L14" s="88">
        <v>9.8216666666666672</v>
      </c>
      <c r="M14" s="61">
        <v>89.606666666666669</v>
      </c>
      <c r="N14" s="61">
        <v>569.41833333333341</v>
      </c>
      <c r="O14" s="61">
        <v>208.48</v>
      </c>
      <c r="P14" s="61">
        <v>0.56999999999999995</v>
      </c>
      <c r="Q14" s="61">
        <v>0</v>
      </c>
      <c r="R14" s="61"/>
      <c r="S14" s="94">
        <v>0</v>
      </c>
      <c r="T14" s="88">
        <f t="shared" si="0"/>
        <v>0.19666666666666721</v>
      </c>
      <c r="U14" s="61">
        <f t="shared" si="0"/>
        <v>2.6866666666666674</v>
      </c>
      <c r="V14" s="61">
        <f>+ABS(N14-F14)</f>
        <v>0.16666666666662877</v>
      </c>
      <c r="W14" s="61">
        <f t="shared" si="0"/>
        <v>16.52000000000001</v>
      </c>
      <c r="X14" s="61">
        <f t="shared" si="0"/>
        <v>0.50000000000000011</v>
      </c>
      <c r="Y14" s="61">
        <f t="shared" si="0"/>
        <v>0</v>
      </c>
      <c r="Z14" s="61">
        <f t="shared" si="0"/>
        <v>0</v>
      </c>
      <c r="AA14" s="87">
        <f t="shared" si="1"/>
        <v>0</v>
      </c>
      <c r="AB14" s="59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74">
        <v>45622</v>
      </c>
      <c r="C15" s="60">
        <v>0.125</v>
      </c>
      <c r="D15" s="88">
        <v>8.7216666666666676</v>
      </c>
      <c r="E15" s="61">
        <v>92.773333333333326</v>
      </c>
      <c r="F15" s="61">
        <v>569.82833333333338</v>
      </c>
      <c r="G15" s="61">
        <v>315</v>
      </c>
      <c r="H15" s="61">
        <v>2.3450000000000002</v>
      </c>
      <c r="I15" s="61">
        <v>0</v>
      </c>
      <c r="J15" s="61"/>
      <c r="K15" s="87">
        <v>0</v>
      </c>
      <c r="L15" s="88">
        <v>8.9016666666666673</v>
      </c>
      <c r="M15" s="61">
        <v>90.071666666666673</v>
      </c>
      <c r="N15" s="61">
        <v>569.495</v>
      </c>
      <c r="O15" s="61">
        <v>322.42</v>
      </c>
      <c r="P15" s="61">
        <v>1.5116666666666667</v>
      </c>
      <c r="Q15" s="61">
        <v>0</v>
      </c>
      <c r="R15" s="61"/>
      <c r="S15" s="94">
        <v>0</v>
      </c>
      <c r="T15" s="88">
        <f t="shared" si="0"/>
        <v>0.17999999999999972</v>
      </c>
      <c r="U15" s="61">
        <f t="shared" si="0"/>
        <v>2.7016666666666538</v>
      </c>
      <c r="V15" s="61">
        <f t="shared" si="0"/>
        <v>0.33333333333337123</v>
      </c>
      <c r="W15" s="61">
        <f t="shared" si="0"/>
        <v>7.4200000000000159</v>
      </c>
      <c r="X15" s="61">
        <f t="shared" si="0"/>
        <v>0.83333333333333348</v>
      </c>
      <c r="Y15" s="61">
        <f t="shared" si="0"/>
        <v>0</v>
      </c>
      <c r="Z15" s="61">
        <f t="shared" si="0"/>
        <v>0</v>
      </c>
      <c r="AA15" s="87">
        <f t="shared" si="1"/>
        <v>0</v>
      </c>
      <c r="AB15" s="59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74">
        <v>45622</v>
      </c>
      <c r="C16" s="60">
        <v>0.16666666666666699</v>
      </c>
      <c r="D16" s="88">
        <v>8.8733333333333331</v>
      </c>
      <c r="E16" s="61">
        <v>93.481666666666669</v>
      </c>
      <c r="F16" s="61">
        <v>570.45666666666659</v>
      </c>
      <c r="G16" s="61">
        <v>0</v>
      </c>
      <c r="H16" s="61">
        <v>0.71</v>
      </c>
      <c r="I16" s="61">
        <v>0</v>
      </c>
      <c r="J16" s="61"/>
      <c r="K16" s="87">
        <v>0</v>
      </c>
      <c r="L16" s="88">
        <v>9.0533333333333328</v>
      </c>
      <c r="M16" s="61">
        <v>90.758333333333326</v>
      </c>
      <c r="N16" s="61">
        <v>569.95666666666659</v>
      </c>
      <c r="O16" s="61">
        <v>5.16</v>
      </c>
      <c r="P16" s="61">
        <v>0.54333333333333333</v>
      </c>
      <c r="Q16" s="61">
        <v>0</v>
      </c>
      <c r="R16" s="61"/>
      <c r="S16" s="94">
        <v>0</v>
      </c>
      <c r="T16" s="88">
        <f t="shared" si="0"/>
        <v>0.17999999999999972</v>
      </c>
      <c r="U16" s="61">
        <f t="shared" si="0"/>
        <v>2.7233333333333434</v>
      </c>
      <c r="V16" s="61">
        <f t="shared" si="0"/>
        <v>0.5</v>
      </c>
      <c r="W16" s="61">
        <f t="shared" si="0"/>
        <v>5.16</v>
      </c>
      <c r="X16" s="61">
        <f t="shared" si="0"/>
        <v>0.16666666666666663</v>
      </c>
      <c r="Y16" s="61">
        <f t="shared" si="0"/>
        <v>0</v>
      </c>
      <c r="Z16" s="61">
        <f t="shared" si="0"/>
        <v>0</v>
      </c>
      <c r="AA16" s="87">
        <f t="shared" si="1"/>
        <v>0</v>
      </c>
      <c r="AB16" s="59" t="str">
        <f t="shared" si="2"/>
        <v>Cumple</v>
      </c>
      <c r="AL16" t="s">
        <v>56</v>
      </c>
      <c r="AM16" t="s">
        <v>57</v>
      </c>
    </row>
    <row r="17" spans="2:39" ht="15" customHeight="1">
      <c r="B17" s="74">
        <v>45622</v>
      </c>
      <c r="C17" s="60">
        <v>0.20833333333333301</v>
      </c>
      <c r="D17" s="88">
        <v>9.1483333333333334</v>
      </c>
      <c r="E17" s="61">
        <v>93.73</v>
      </c>
      <c r="F17" s="61">
        <v>570.76166666666666</v>
      </c>
      <c r="G17" s="61">
        <v>90</v>
      </c>
      <c r="H17" s="61">
        <v>1.5183333333333333</v>
      </c>
      <c r="I17" s="61">
        <v>14.888333333333334</v>
      </c>
      <c r="J17" s="61"/>
      <c r="K17" s="87">
        <v>0</v>
      </c>
      <c r="L17" s="88">
        <v>9.3349999999999991</v>
      </c>
      <c r="M17" s="61">
        <v>91</v>
      </c>
      <c r="N17" s="61">
        <v>570.09499999999991</v>
      </c>
      <c r="O17" s="61">
        <v>76.58</v>
      </c>
      <c r="P17" s="61">
        <v>0.85166666666666668</v>
      </c>
      <c r="Q17" s="61">
        <v>0.72166666666666668</v>
      </c>
      <c r="R17" s="61"/>
      <c r="S17" s="94">
        <v>0</v>
      </c>
      <c r="T17" s="88">
        <f t="shared" si="0"/>
        <v>0.18666666666666565</v>
      </c>
      <c r="U17" s="61">
        <f t="shared" si="0"/>
        <v>2.730000000000004</v>
      </c>
      <c r="V17" s="61">
        <f t="shared" si="0"/>
        <v>0.66666666666674246</v>
      </c>
      <c r="W17" s="61">
        <f t="shared" si="0"/>
        <v>13.420000000000002</v>
      </c>
      <c r="X17" s="61">
        <f t="shared" si="0"/>
        <v>0.66666666666666663</v>
      </c>
      <c r="Y17" s="61">
        <f t="shared" si="0"/>
        <v>14.166666666666668</v>
      </c>
      <c r="Z17" s="61">
        <f t="shared" si="0"/>
        <v>0</v>
      </c>
      <c r="AA17" s="87">
        <f t="shared" si="1"/>
        <v>0</v>
      </c>
      <c r="AB17" s="59" t="str">
        <f t="shared" si="2"/>
        <v>Cumple</v>
      </c>
      <c r="AL17" t="s">
        <v>58</v>
      </c>
      <c r="AM17" t="s">
        <v>58</v>
      </c>
    </row>
    <row r="18" spans="2:39" ht="15" customHeight="1">
      <c r="B18" s="74">
        <v>45622</v>
      </c>
      <c r="C18" s="60">
        <v>0.25</v>
      </c>
      <c r="D18" s="88">
        <v>8.8766666666666652</v>
      </c>
      <c r="E18" s="61">
        <v>93.73</v>
      </c>
      <c r="F18" s="61">
        <v>571.07333333333338</v>
      </c>
      <c r="G18" s="61">
        <v>135</v>
      </c>
      <c r="H18" s="61">
        <v>1.7133333333333336</v>
      </c>
      <c r="I18" s="61">
        <v>110.71666666666665</v>
      </c>
      <c r="J18" s="61"/>
      <c r="K18" s="87">
        <v>0</v>
      </c>
      <c r="L18" s="88">
        <v>9.0583333333333318</v>
      </c>
      <c r="M18" s="61">
        <v>91</v>
      </c>
      <c r="N18" s="61">
        <v>570.74</v>
      </c>
      <c r="O18" s="61">
        <v>130.31</v>
      </c>
      <c r="P18" s="61">
        <v>1.2133333333333334</v>
      </c>
      <c r="Q18" s="61">
        <v>56.883333333333326</v>
      </c>
      <c r="R18" s="61"/>
      <c r="S18" s="94">
        <v>0</v>
      </c>
      <c r="T18" s="88">
        <f t="shared" si="0"/>
        <v>0.18166666666666664</v>
      </c>
      <c r="U18" s="61">
        <f t="shared" si="0"/>
        <v>2.730000000000004</v>
      </c>
      <c r="V18" s="61">
        <f t="shared" si="0"/>
        <v>0.33333333333337123</v>
      </c>
      <c r="W18" s="61">
        <f t="shared" si="0"/>
        <v>4.6899999999999977</v>
      </c>
      <c r="X18" s="61">
        <f t="shared" si="0"/>
        <v>0.50000000000000022</v>
      </c>
      <c r="Y18" s="61">
        <f t="shared" si="0"/>
        <v>53.833333333333329</v>
      </c>
      <c r="Z18" s="61">
        <f t="shared" si="0"/>
        <v>0</v>
      </c>
      <c r="AA18" s="87">
        <f t="shared" si="1"/>
        <v>0</v>
      </c>
      <c r="AB18" s="59" t="str">
        <f t="shared" si="2"/>
        <v>Cumple</v>
      </c>
      <c r="AL18" t="s">
        <v>55</v>
      </c>
      <c r="AM18" t="s">
        <v>55</v>
      </c>
    </row>
    <row r="19" spans="2:39" ht="15" customHeight="1">
      <c r="B19" s="74">
        <v>45622</v>
      </c>
      <c r="C19" s="60">
        <v>0.29166666666666702</v>
      </c>
      <c r="D19" s="88">
        <v>10.368333333333334</v>
      </c>
      <c r="E19" s="61">
        <v>93.425000000000011</v>
      </c>
      <c r="F19" s="61">
        <v>572.00166666666667</v>
      </c>
      <c r="G19" s="61">
        <v>315</v>
      </c>
      <c r="H19" s="61">
        <v>2.0266666666666668</v>
      </c>
      <c r="I19" s="61">
        <v>232.95833333333334</v>
      </c>
      <c r="J19" s="61"/>
      <c r="K19" s="87">
        <v>0</v>
      </c>
      <c r="L19" s="88">
        <v>10.58</v>
      </c>
      <c r="M19" s="61">
        <v>90.703333333333333</v>
      </c>
      <c r="N19" s="61">
        <v>571.50166666666667</v>
      </c>
      <c r="O19" s="61">
        <v>303.91000000000003</v>
      </c>
      <c r="P19" s="61">
        <v>1.5266666666666666</v>
      </c>
      <c r="Q19" s="61">
        <v>171.125</v>
      </c>
      <c r="R19" s="61"/>
      <c r="S19" s="94">
        <v>0</v>
      </c>
      <c r="T19" s="88">
        <f t="shared" si="0"/>
        <v>0.211666666666666</v>
      </c>
      <c r="U19" s="61">
        <f t="shared" si="0"/>
        <v>2.7216666666666782</v>
      </c>
      <c r="V19" s="61">
        <f t="shared" si="0"/>
        <v>0.5</v>
      </c>
      <c r="W19" s="61">
        <f t="shared" si="0"/>
        <v>11.089999999999975</v>
      </c>
      <c r="X19" s="61">
        <f t="shared" si="0"/>
        <v>0.50000000000000022</v>
      </c>
      <c r="Y19" s="61">
        <f t="shared" si="0"/>
        <v>61.833333333333343</v>
      </c>
      <c r="Z19" s="61">
        <f t="shared" si="0"/>
        <v>0</v>
      </c>
      <c r="AA19" s="87">
        <f t="shared" si="1"/>
        <v>0</v>
      </c>
      <c r="AB19" s="59" t="str">
        <f t="shared" si="2"/>
        <v>Cumple</v>
      </c>
      <c r="AL19" t="s">
        <v>55</v>
      </c>
      <c r="AM19" t="s">
        <v>55</v>
      </c>
    </row>
    <row r="20" spans="2:39" ht="15" customHeight="1">
      <c r="B20" s="74">
        <v>45622</v>
      </c>
      <c r="C20" s="60">
        <v>0.33333333333333298</v>
      </c>
      <c r="D20" s="88">
        <v>12.078333333333333</v>
      </c>
      <c r="E20" s="61">
        <v>90.161666666666676</v>
      </c>
      <c r="F20" s="61">
        <v>572.37166666666656</v>
      </c>
      <c r="G20" s="61">
        <v>22.5</v>
      </c>
      <c r="H20" s="61">
        <v>2.311666666666667</v>
      </c>
      <c r="I20" s="61">
        <v>319.53166666666669</v>
      </c>
      <c r="J20" s="61"/>
      <c r="K20" s="87">
        <v>0</v>
      </c>
      <c r="L20" s="88">
        <v>12.326666666666666</v>
      </c>
      <c r="M20" s="61">
        <v>87.535000000000011</v>
      </c>
      <c r="N20" s="61">
        <v>571.87166666666656</v>
      </c>
      <c r="O20" s="61">
        <v>20.96</v>
      </c>
      <c r="P20" s="61">
        <v>2.145</v>
      </c>
      <c r="Q20" s="61">
        <v>277.19833333333332</v>
      </c>
      <c r="R20" s="61"/>
      <c r="S20" s="94">
        <v>0</v>
      </c>
      <c r="T20" s="88">
        <f t="shared" si="0"/>
        <v>0.24833333333333307</v>
      </c>
      <c r="U20" s="61">
        <f t="shared" si="0"/>
        <v>2.6266666666666652</v>
      </c>
      <c r="V20" s="61">
        <f t="shared" si="0"/>
        <v>0.5</v>
      </c>
      <c r="W20" s="61">
        <f t="shared" si="0"/>
        <v>1.5399999999999991</v>
      </c>
      <c r="X20" s="61">
        <f t="shared" si="0"/>
        <v>0.16666666666666696</v>
      </c>
      <c r="Y20" s="61">
        <f t="shared" si="0"/>
        <v>42.333333333333371</v>
      </c>
      <c r="Z20" s="61">
        <f t="shared" si="0"/>
        <v>0</v>
      </c>
      <c r="AA20" s="87">
        <f t="shared" si="1"/>
        <v>0</v>
      </c>
      <c r="AB20" s="59" t="str">
        <f t="shared" si="2"/>
        <v>Cumple</v>
      </c>
      <c r="AL20" t="s">
        <v>55</v>
      </c>
      <c r="AM20" t="s">
        <v>55</v>
      </c>
    </row>
    <row r="21" spans="2:39" ht="15" customHeight="1">
      <c r="B21" s="74">
        <v>45622</v>
      </c>
      <c r="C21" s="60">
        <v>0.375</v>
      </c>
      <c r="D21" s="88">
        <v>14.898333333333333</v>
      </c>
      <c r="E21" s="61">
        <v>75.966666666666654</v>
      </c>
      <c r="F21" s="61">
        <v>572.13333333333333</v>
      </c>
      <c r="G21" s="61">
        <v>67.5</v>
      </c>
      <c r="H21" s="61">
        <v>3.5116666666666667</v>
      </c>
      <c r="I21" s="61">
        <v>572.90333333333331</v>
      </c>
      <c r="J21" s="61"/>
      <c r="K21" s="87">
        <v>0</v>
      </c>
      <c r="L21" s="88">
        <v>15.201666666666668</v>
      </c>
      <c r="M21" s="61">
        <v>73.754999999999995</v>
      </c>
      <c r="N21" s="61">
        <v>571.4666666666667</v>
      </c>
      <c r="O21" s="61">
        <v>67.099999999999994</v>
      </c>
      <c r="P21" s="61">
        <v>3.0116666666666667</v>
      </c>
      <c r="Q21" s="61">
        <v>525.23666666666668</v>
      </c>
      <c r="R21" s="61"/>
      <c r="S21" s="94">
        <v>0</v>
      </c>
      <c r="T21" s="88">
        <f t="shared" si="0"/>
        <v>0.30333333333333456</v>
      </c>
      <c r="U21" s="61">
        <f t="shared" si="0"/>
        <v>2.2116666666666589</v>
      </c>
      <c r="V21" s="61">
        <f t="shared" si="0"/>
        <v>0.66666666666662877</v>
      </c>
      <c r="W21" s="61">
        <f t="shared" si="0"/>
        <v>0.40000000000000568</v>
      </c>
      <c r="X21" s="61">
        <f t="shared" si="0"/>
        <v>0.5</v>
      </c>
      <c r="Y21" s="61">
        <f t="shared" si="0"/>
        <v>47.666666666666629</v>
      </c>
      <c r="Z21" s="61">
        <f t="shared" si="0"/>
        <v>0</v>
      </c>
      <c r="AA21" s="87">
        <f t="shared" si="1"/>
        <v>0</v>
      </c>
      <c r="AB21" s="59" t="str">
        <f t="shared" si="2"/>
        <v>Cumple</v>
      </c>
      <c r="AL21" t="s">
        <v>58</v>
      </c>
      <c r="AM21" t="s">
        <v>58</v>
      </c>
    </row>
    <row r="22" spans="2:39" ht="15" customHeight="1">
      <c r="B22" s="74">
        <v>45622</v>
      </c>
      <c r="C22" s="60">
        <v>0.41666666666666702</v>
      </c>
      <c r="D22" s="88">
        <v>16.118333333333332</v>
      </c>
      <c r="E22" s="61">
        <v>68.164999999999992</v>
      </c>
      <c r="F22" s="61">
        <v>571.39333333333332</v>
      </c>
      <c r="G22" s="61">
        <v>67.5</v>
      </c>
      <c r="H22" s="61">
        <v>4.0633333333333335</v>
      </c>
      <c r="I22" s="61">
        <v>696.31000000000006</v>
      </c>
      <c r="J22" s="61"/>
      <c r="K22" s="87">
        <v>0</v>
      </c>
      <c r="L22" s="88">
        <v>16.446666666666669</v>
      </c>
      <c r="M22" s="61">
        <v>66.180000000000007</v>
      </c>
      <c r="N22" s="61">
        <v>570.72666666666669</v>
      </c>
      <c r="O22" s="61">
        <v>64.989999999999995</v>
      </c>
      <c r="P22" s="61">
        <v>3.7300000000000004</v>
      </c>
      <c r="Q22" s="61">
        <v>640.64333333333332</v>
      </c>
      <c r="R22" s="61"/>
      <c r="S22" s="94">
        <v>0</v>
      </c>
      <c r="T22" s="88">
        <f t="shared" si="0"/>
        <v>0.3283333333333367</v>
      </c>
      <c r="U22" s="61">
        <f t="shared" si="0"/>
        <v>1.9849999999999852</v>
      </c>
      <c r="V22" s="61">
        <f t="shared" si="0"/>
        <v>0.66666666666662877</v>
      </c>
      <c r="W22" s="61">
        <f t="shared" si="0"/>
        <v>2.5100000000000051</v>
      </c>
      <c r="X22" s="61">
        <f t="shared" si="0"/>
        <v>0.33333333333333304</v>
      </c>
      <c r="Y22" s="61">
        <f t="shared" si="0"/>
        <v>55.666666666666742</v>
      </c>
      <c r="Z22" s="61">
        <f t="shared" si="0"/>
        <v>0</v>
      </c>
      <c r="AA22" s="87">
        <f t="shared" si="1"/>
        <v>0</v>
      </c>
      <c r="AB22" s="59" t="str">
        <f t="shared" si="2"/>
        <v>Cumple</v>
      </c>
      <c r="AL22" t="s">
        <v>58</v>
      </c>
      <c r="AM22" t="s">
        <v>59</v>
      </c>
    </row>
    <row r="23" spans="2:39" ht="15" customHeight="1">
      <c r="B23" s="74">
        <v>45622</v>
      </c>
      <c r="C23" s="60">
        <v>0.45833333333333298</v>
      </c>
      <c r="D23" s="88">
        <v>16.963333333333335</v>
      </c>
      <c r="E23" s="61">
        <v>64.466666666666654</v>
      </c>
      <c r="F23" s="61">
        <v>570.52666666666664</v>
      </c>
      <c r="G23" s="61">
        <v>67.5</v>
      </c>
      <c r="H23" s="61">
        <v>3.7666666666666662</v>
      </c>
      <c r="I23" s="61">
        <v>501.9016666666667</v>
      </c>
      <c r="J23" s="61"/>
      <c r="K23" s="87">
        <v>0</v>
      </c>
      <c r="L23" s="88">
        <v>17.311666666666667</v>
      </c>
      <c r="M23" s="61">
        <v>62.588333333333338</v>
      </c>
      <c r="N23" s="61">
        <v>569.69333333333327</v>
      </c>
      <c r="O23" s="61">
        <v>67.849999999999994</v>
      </c>
      <c r="P23" s="61">
        <v>3.0999999999999996</v>
      </c>
      <c r="Q23" s="61">
        <v>436.9016666666667</v>
      </c>
      <c r="R23" s="61"/>
      <c r="S23" s="94">
        <v>0</v>
      </c>
      <c r="T23" s="88">
        <f t="shared" si="0"/>
        <v>0.34833333333333272</v>
      </c>
      <c r="U23" s="61">
        <f t="shared" si="0"/>
        <v>1.8783333333333161</v>
      </c>
      <c r="V23" s="61">
        <f t="shared" si="0"/>
        <v>0.83333333333337123</v>
      </c>
      <c r="W23" s="61">
        <f t="shared" si="0"/>
        <v>0.34999999999999432</v>
      </c>
      <c r="X23" s="61">
        <f t="shared" si="0"/>
        <v>0.66666666666666652</v>
      </c>
      <c r="Y23" s="61">
        <f>+ABS(Q23-I23)</f>
        <v>65</v>
      </c>
      <c r="Z23" s="61">
        <f t="shared" si="0"/>
        <v>0</v>
      </c>
      <c r="AA23" s="87">
        <f t="shared" si="1"/>
        <v>0</v>
      </c>
      <c r="AB23" s="59" t="str">
        <f t="shared" si="2"/>
        <v>Cumple</v>
      </c>
      <c r="AL23" t="s">
        <v>58</v>
      </c>
      <c r="AM23" t="s">
        <v>58</v>
      </c>
    </row>
    <row r="24" spans="2:39" ht="15" customHeight="1">
      <c r="B24" s="74">
        <v>45622</v>
      </c>
      <c r="C24" s="60">
        <v>0.5</v>
      </c>
      <c r="D24" s="88">
        <v>17.478333333333335</v>
      </c>
      <c r="E24" s="61">
        <v>63.931666666666665</v>
      </c>
      <c r="F24" s="61">
        <v>569.28833333333341</v>
      </c>
      <c r="G24" s="61">
        <v>22.5</v>
      </c>
      <c r="H24" s="61">
        <v>2.6533333333333338</v>
      </c>
      <c r="I24" s="61">
        <v>318.16333333333336</v>
      </c>
      <c r="J24" s="61"/>
      <c r="K24" s="87">
        <v>0</v>
      </c>
      <c r="L24" s="88">
        <v>17.833333333333332</v>
      </c>
      <c r="M24" s="61">
        <v>62.068333333333349</v>
      </c>
      <c r="N24" s="61">
        <v>568.45500000000004</v>
      </c>
      <c r="O24" s="61">
        <v>12.95</v>
      </c>
      <c r="P24" s="61">
        <v>2.1533333333333338</v>
      </c>
      <c r="Q24" s="61">
        <v>275.83</v>
      </c>
      <c r="R24" s="61"/>
      <c r="S24" s="94">
        <v>0</v>
      </c>
      <c r="T24" s="88">
        <f t="shared" si="0"/>
        <v>0.35499999999999687</v>
      </c>
      <c r="U24" s="61">
        <f t="shared" si="0"/>
        <v>1.8633333333333155</v>
      </c>
      <c r="V24" s="61">
        <f t="shared" si="0"/>
        <v>0.83333333333337123</v>
      </c>
      <c r="W24" s="61">
        <f t="shared" si="0"/>
        <v>9.5500000000000007</v>
      </c>
      <c r="X24" s="61">
        <f t="shared" si="0"/>
        <v>0.5</v>
      </c>
      <c r="Y24" s="61">
        <f t="shared" si="0"/>
        <v>42.333333333333371</v>
      </c>
      <c r="Z24" s="61">
        <f t="shared" si="0"/>
        <v>0</v>
      </c>
      <c r="AA24" s="87">
        <f t="shared" si="1"/>
        <v>0</v>
      </c>
      <c r="AB24" s="59" t="str">
        <f t="shared" si="2"/>
        <v>Cumple</v>
      </c>
      <c r="AL24" t="s">
        <v>58</v>
      </c>
      <c r="AM24" t="s">
        <v>58</v>
      </c>
    </row>
    <row r="25" spans="2:39" ht="15" customHeight="1">
      <c r="B25" s="74">
        <v>45622</v>
      </c>
      <c r="C25" s="60">
        <v>0.54166666666666696</v>
      </c>
      <c r="D25" s="88">
        <v>18.185000000000002</v>
      </c>
      <c r="E25" s="61">
        <v>59.220000000000006</v>
      </c>
      <c r="F25" s="61">
        <v>567.8266666666666</v>
      </c>
      <c r="G25" s="61">
        <v>112.5</v>
      </c>
      <c r="H25" s="61">
        <v>2.8533333333333335</v>
      </c>
      <c r="I25" s="95">
        <v>340.75333333333333</v>
      </c>
      <c r="J25" s="61"/>
      <c r="K25" s="94">
        <v>0</v>
      </c>
      <c r="L25" s="86">
        <v>18.555</v>
      </c>
      <c r="M25" s="61">
        <v>57.495000000000005</v>
      </c>
      <c r="N25" s="61">
        <v>567.49333333333323</v>
      </c>
      <c r="O25" s="61">
        <v>97.54</v>
      </c>
      <c r="P25" s="61">
        <v>2.186666666666667</v>
      </c>
      <c r="Q25" s="95">
        <v>310.92</v>
      </c>
      <c r="R25" s="61"/>
      <c r="S25" s="94">
        <v>0</v>
      </c>
      <c r="T25" s="88">
        <f t="shared" si="0"/>
        <v>0.36999999999999744</v>
      </c>
      <c r="U25" s="61">
        <f t="shared" si="0"/>
        <v>1.7250000000000014</v>
      </c>
      <c r="V25" s="61">
        <f t="shared" si="0"/>
        <v>0.33333333333337123</v>
      </c>
      <c r="W25" s="61">
        <f t="shared" si="0"/>
        <v>14.959999999999994</v>
      </c>
      <c r="X25" s="61">
        <f t="shared" si="0"/>
        <v>0.66666666666666652</v>
      </c>
      <c r="Y25" s="61">
        <f t="shared" si="0"/>
        <v>29.833333333333314</v>
      </c>
      <c r="Z25" s="61">
        <f t="shared" si="0"/>
        <v>0</v>
      </c>
      <c r="AA25" s="87">
        <f t="shared" si="1"/>
        <v>0</v>
      </c>
      <c r="AB25" s="59" t="str">
        <f t="shared" si="2"/>
        <v>Cumple</v>
      </c>
      <c r="AL25" t="s">
        <v>60</v>
      </c>
      <c r="AM25" t="s">
        <v>60</v>
      </c>
    </row>
    <row r="26" spans="2:39" ht="15" customHeight="1">
      <c r="B26" s="74">
        <v>45622</v>
      </c>
      <c r="C26" s="60">
        <v>0.58333333333333304</v>
      </c>
      <c r="D26" s="88">
        <v>17.193333333333335</v>
      </c>
      <c r="E26" s="61">
        <v>67.518333333333331</v>
      </c>
      <c r="F26" s="61">
        <v>567.31166666666661</v>
      </c>
      <c r="G26" s="61">
        <v>112.5</v>
      </c>
      <c r="H26" s="61">
        <v>3.7349999999999994</v>
      </c>
      <c r="I26" s="95">
        <v>169.51500000000001</v>
      </c>
      <c r="J26" s="61"/>
      <c r="K26" s="94">
        <v>0</v>
      </c>
      <c r="L26" s="86">
        <v>17.543333333333333</v>
      </c>
      <c r="M26" s="61">
        <v>65.553333333333327</v>
      </c>
      <c r="N26" s="61">
        <v>566.81166666666661</v>
      </c>
      <c r="O26" s="61">
        <v>98.89</v>
      </c>
      <c r="P26" s="61">
        <v>3.7349999999999994</v>
      </c>
      <c r="Q26" s="95">
        <v>118.015</v>
      </c>
      <c r="R26" s="61"/>
      <c r="S26" s="94">
        <v>0</v>
      </c>
      <c r="T26" s="88">
        <f t="shared" si="0"/>
        <v>0.34999999999999787</v>
      </c>
      <c r="U26" s="61">
        <f t="shared" si="0"/>
        <v>1.9650000000000034</v>
      </c>
      <c r="V26" s="61">
        <f t="shared" si="0"/>
        <v>0.5</v>
      </c>
      <c r="W26" s="61">
        <f t="shared" si="0"/>
        <v>13.61</v>
      </c>
      <c r="X26" s="61">
        <f t="shared" si="0"/>
        <v>0</v>
      </c>
      <c r="Y26" s="61">
        <f t="shared" si="0"/>
        <v>51.500000000000014</v>
      </c>
      <c r="Z26" s="61">
        <f t="shared" si="0"/>
        <v>0</v>
      </c>
      <c r="AA26" s="87">
        <f t="shared" si="1"/>
        <v>0</v>
      </c>
      <c r="AB26" s="59" t="str">
        <f t="shared" si="2"/>
        <v>Cumple</v>
      </c>
      <c r="AL26" t="s">
        <v>61</v>
      </c>
      <c r="AM26" t="s">
        <v>61</v>
      </c>
    </row>
    <row r="27" spans="2:39" ht="15" customHeight="1">
      <c r="B27" s="74">
        <v>45622</v>
      </c>
      <c r="C27" s="60">
        <v>0.625</v>
      </c>
      <c r="D27" s="88">
        <v>16.275000000000002</v>
      </c>
      <c r="E27" s="61">
        <v>76.444999999999993</v>
      </c>
      <c r="F27" s="61">
        <v>566.61</v>
      </c>
      <c r="G27" s="61">
        <v>247.5</v>
      </c>
      <c r="H27" s="61">
        <v>3.2533333333333334</v>
      </c>
      <c r="I27" s="95">
        <v>333.20000000000005</v>
      </c>
      <c r="J27" s="61"/>
      <c r="K27" s="94">
        <v>0</v>
      </c>
      <c r="L27" s="86">
        <v>16.606666666666669</v>
      </c>
      <c r="M27" s="61">
        <v>74.220000000000013</v>
      </c>
      <c r="N27" s="61">
        <v>566.11</v>
      </c>
      <c r="O27" s="61">
        <v>246.68</v>
      </c>
      <c r="P27" s="61">
        <v>2.5866666666666669</v>
      </c>
      <c r="Q27" s="95">
        <v>295.2</v>
      </c>
      <c r="R27" s="61"/>
      <c r="S27" s="94">
        <v>0</v>
      </c>
      <c r="T27" s="88">
        <f t="shared" si="0"/>
        <v>0.331666666666667</v>
      </c>
      <c r="U27" s="61">
        <f t="shared" si="0"/>
        <v>2.2249999999999801</v>
      </c>
      <c r="V27" s="61">
        <f t="shared" si="0"/>
        <v>0.5</v>
      </c>
      <c r="W27" s="61">
        <f t="shared" si="0"/>
        <v>0.81999999999999318</v>
      </c>
      <c r="X27" s="61">
        <f t="shared" si="0"/>
        <v>0.66666666666666652</v>
      </c>
      <c r="Y27" s="61">
        <f t="shared" si="0"/>
        <v>38.000000000000057</v>
      </c>
      <c r="Z27" s="61">
        <f t="shared" si="0"/>
        <v>0</v>
      </c>
      <c r="AA27" s="87">
        <f t="shared" si="1"/>
        <v>0</v>
      </c>
      <c r="AB27" s="59" t="str">
        <f t="shared" si="2"/>
        <v>Cumple</v>
      </c>
      <c r="AL27" t="s">
        <v>60</v>
      </c>
      <c r="AM27" t="s">
        <v>60</v>
      </c>
    </row>
    <row r="28" spans="2:39" ht="15" customHeight="1">
      <c r="B28" s="74">
        <v>45622</v>
      </c>
      <c r="C28" s="60">
        <v>0.66666666666666696</v>
      </c>
      <c r="D28" s="88">
        <v>16.580000000000002</v>
      </c>
      <c r="E28" s="61">
        <v>75.873333333333335</v>
      </c>
      <c r="F28" s="61">
        <v>566.375</v>
      </c>
      <c r="G28" s="61">
        <v>292.5</v>
      </c>
      <c r="H28" s="61">
        <v>3.7633333333333336</v>
      </c>
      <c r="I28" s="95">
        <v>152.95833333333334</v>
      </c>
      <c r="J28" s="61"/>
      <c r="K28" s="94">
        <v>0</v>
      </c>
      <c r="L28" s="86">
        <v>16.918333333333333</v>
      </c>
      <c r="M28" s="61">
        <v>73.663333333333327</v>
      </c>
      <c r="N28" s="61">
        <v>565.875</v>
      </c>
      <c r="O28" s="61">
        <v>282.68</v>
      </c>
      <c r="P28" s="61">
        <v>3.2633333333333336</v>
      </c>
      <c r="Q28" s="95">
        <v>103.29166666666667</v>
      </c>
      <c r="R28" s="61"/>
      <c r="S28" s="94">
        <v>0</v>
      </c>
      <c r="T28" s="88">
        <f t="shared" si="0"/>
        <v>0.33833333333333115</v>
      </c>
      <c r="U28" s="61">
        <f t="shared" si="0"/>
        <v>2.210000000000008</v>
      </c>
      <c r="V28" s="61">
        <f t="shared" si="0"/>
        <v>0.5</v>
      </c>
      <c r="W28" s="61">
        <f t="shared" si="0"/>
        <v>9.8199999999999932</v>
      </c>
      <c r="X28" s="61">
        <f t="shared" si="0"/>
        <v>0.5</v>
      </c>
      <c r="Y28" s="61">
        <f t="shared" si="0"/>
        <v>49.666666666666671</v>
      </c>
      <c r="Z28" s="61">
        <f t="shared" si="0"/>
        <v>0</v>
      </c>
      <c r="AA28" s="87">
        <f t="shared" si="1"/>
        <v>0</v>
      </c>
      <c r="AB28" s="59" t="str">
        <f t="shared" si="2"/>
        <v>Cumple</v>
      </c>
      <c r="AL28" t="s">
        <v>62</v>
      </c>
      <c r="AM28" t="s">
        <v>63</v>
      </c>
    </row>
    <row r="29" spans="2:39" ht="15" customHeight="1">
      <c r="B29" s="74">
        <v>45622</v>
      </c>
      <c r="C29" s="60">
        <v>0.70833333333333304</v>
      </c>
      <c r="D29" s="88">
        <v>15.090000000000002</v>
      </c>
      <c r="E29" s="61">
        <v>81.098333333333343</v>
      </c>
      <c r="F29" s="61">
        <v>567.01</v>
      </c>
      <c r="G29" s="61">
        <v>337.5</v>
      </c>
      <c r="H29" s="61">
        <v>3.7333333333333338</v>
      </c>
      <c r="I29" s="95">
        <v>63.238333333333323</v>
      </c>
      <c r="J29" s="61"/>
      <c r="K29" s="94">
        <v>0</v>
      </c>
      <c r="L29" s="86">
        <v>15.395000000000001</v>
      </c>
      <c r="M29" s="61">
        <v>78.736666666666665</v>
      </c>
      <c r="N29" s="61">
        <v>566.17666666666662</v>
      </c>
      <c r="O29" s="61">
        <v>326.32</v>
      </c>
      <c r="P29" s="61">
        <v>3.5666666666666669</v>
      </c>
      <c r="Q29" s="95">
        <v>26.405000000000001</v>
      </c>
      <c r="R29" s="61"/>
      <c r="S29" s="94">
        <v>0</v>
      </c>
      <c r="T29" s="88">
        <f t="shared" si="0"/>
        <v>0.30499999999999972</v>
      </c>
      <c r="U29" s="61">
        <f t="shared" si="0"/>
        <v>2.3616666666666788</v>
      </c>
      <c r="V29" s="61">
        <f t="shared" si="0"/>
        <v>0.83333333333337123</v>
      </c>
      <c r="W29" s="61">
        <f t="shared" si="0"/>
        <v>11.180000000000007</v>
      </c>
      <c r="X29" s="61">
        <f t="shared" si="0"/>
        <v>0.16666666666666696</v>
      </c>
      <c r="Y29" s="61">
        <f t="shared" si="0"/>
        <v>36.833333333333321</v>
      </c>
      <c r="Z29" s="61">
        <f t="shared" si="0"/>
        <v>0</v>
      </c>
      <c r="AA29" s="87">
        <f t="shared" si="1"/>
        <v>0</v>
      </c>
      <c r="AB29" s="59" t="str">
        <f t="shared" si="2"/>
        <v>Cumple</v>
      </c>
      <c r="AL29" t="s">
        <v>64</v>
      </c>
      <c r="AM29" t="s">
        <v>64</v>
      </c>
    </row>
    <row r="30" spans="2:39" ht="15" customHeight="1">
      <c r="B30" s="74">
        <v>45622</v>
      </c>
      <c r="C30" s="60">
        <v>0.75</v>
      </c>
      <c r="D30" s="88">
        <v>14.575000000000001</v>
      </c>
      <c r="E30" s="61">
        <v>81.691666666666677</v>
      </c>
      <c r="F30" s="61">
        <v>567.33499999999992</v>
      </c>
      <c r="G30" s="61">
        <v>337.5</v>
      </c>
      <c r="H30" s="61">
        <v>4.2833333333333332</v>
      </c>
      <c r="I30" s="95">
        <v>0</v>
      </c>
      <c r="J30" s="61"/>
      <c r="K30" s="94">
        <v>0</v>
      </c>
      <c r="L30" s="86">
        <v>14.871666666666664</v>
      </c>
      <c r="M30" s="61">
        <v>79.313333333333333</v>
      </c>
      <c r="N30" s="61">
        <v>567.00166666666667</v>
      </c>
      <c r="O30" s="61">
        <v>331.89</v>
      </c>
      <c r="P30" s="61">
        <v>3.6166666666666667</v>
      </c>
      <c r="Q30" s="95">
        <v>0</v>
      </c>
      <c r="R30" s="61"/>
      <c r="S30" s="94">
        <v>0</v>
      </c>
      <c r="T30" s="88">
        <f t="shared" si="0"/>
        <v>0.2966666666666633</v>
      </c>
      <c r="U30" s="61">
        <f t="shared" si="0"/>
        <v>2.3783333333333445</v>
      </c>
      <c r="V30" s="61">
        <f t="shared" si="0"/>
        <v>0.33333333333325754</v>
      </c>
      <c r="W30" s="61">
        <f t="shared" si="0"/>
        <v>5.6100000000000136</v>
      </c>
      <c r="X30" s="61">
        <f t="shared" si="0"/>
        <v>0.66666666666666652</v>
      </c>
      <c r="Y30" s="61">
        <f t="shared" si="0"/>
        <v>0</v>
      </c>
      <c r="Z30" s="61">
        <f t="shared" si="0"/>
        <v>0</v>
      </c>
      <c r="AA30" s="87">
        <f t="shared" si="1"/>
        <v>0</v>
      </c>
      <c r="AB30" s="59" t="str">
        <f t="shared" si="2"/>
        <v>Cumple</v>
      </c>
      <c r="AL30" t="s">
        <v>54</v>
      </c>
      <c r="AM30" t="s">
        <v>54</v>
      </c>
    </row>
    <row r="31" spans="2:39" ht="15" customHeight="1">
      <c r="B31" s="74">
        <v>45622</v>
      </c>
      <c r="C31" s="60">
        <v>0.79166666666666696</v>
      </c>
      <c r="D31" s="88">
        <v>13.751666666666667</v>
      </c>
      <c r="E31" s="61">
        <v>87.334999999999994</v>
      </c>
      <c r="F31" s="61">
        <v>568.37</v>
      </c>
      <c r="G31" s="61">
        <v>292.5</v>
      </c>
      <c r="H31" s="61">
        <v>1.8183333333333336</v>
      </c>
      <c r="I31" s="95">
        <v>0</v>
      </c>
      <c r="J31" s="61"/>
      <c r="K31" s="94">
        <v>0</v>
      </c>
      <c r="L31" s="86">
        <v>14.031666666666666</v>
      </c>
      <c r="M31" s="61">
        <v>84.791666666666671</v>
      </c>
      <c r="N31" s="61">
        <v>568.03666666666663</v>
      </c>
      <c r="O31" s="61">
        <v>289.49</v>
      </c>
      <c r="P31" s="61">
        <v>1.3183333333333336</v>
      </c>
      <c r="Q31" s="95">
        <v>0</v>
      </c>
      <c r="R31" s="61"/>
      <c r="S31" s="94">
        <v>0</v>
      </c>
      <c r="T31" s="88">
        <f t="shared" si="0"/>
        <v>0.27999999999999936</v>
      </c>
      <c r="U31" s="61">
        <f t="shared" si="0"/>
        <v>2.5433333333333223</v>
      </c>
      <c r="V31" s="61">
        <f t="shared" si="0"/>
        <v>0.33333333333337123</v>
      </c>
      <c r="W31" s="61">
        <f t="shared" si="0"/>
        <v>3.0099999999999909</v>
      </c>
      <c r="X31" s="61">
        <f t="shared" si="0"/>
        <v>0.5</v>
      </c>
      <c r="Y31" s="61">
        <f t="shared" si="0"/>
        <v>0</v>
      </c>
      <c r="Z31" s="61">
        <f t="shared" si="0"/>
        <v>0</v>
      </c>
      <c r="AA31" s="87">
        <f t="shared" si="1"/>
        <v>0</v>
      </c>
      <c r="AB31" s="59" t="str">
        <f t="shared" si="2"/>
        <v>Cumple</v>
      </c>
      <c r="AL31" t="s">
        <v>65</v>
      </c>
      <c r="AM31" t="s">
        <v>65</v>
      </c>
    </row>
    <row r="32" spans="2:39" ht="15" customHeight="1">
      <c r="B32" s="74">
        <v>45622</v>
      </c>
      <c r="C32" s="60">
        <v>0.83333333333333304</v>
      </c>
      <c r="D32" s="88">
        <v>13.223333333333334</v>
      </c>
      <c r="E32" s="61">
        <v>90.79</v>
      </c>
      <c r="F32" s="61">
        <v>569.27</v>
      </c>
      <c r="G32" s="61">
        <v>225</v>
      </c>
      <c r="H32" s="61">
        <v>2.08</v>
      </c>
      <c r="I32" s="95">
        <v>0</v>
      </c>
      <c r="J32" s="61"/>
      <c r="K32" s="94">
        <v>0</v>
      </c>
      <c r="L32" s="86">
        <v>13.493333333333332</v>
      </c>
      <c r="M32" s="61">
        <v>88.144999999999996</v>
      </c>
      <c r="N32" s="61">
        <v>568.77</v>
      </c>
      <c r="O32" s="61">
        <v>215.29</v>
      </c>
      <c r="P32" s="61">
        <v>1.4133333333333333</v>
      </c>
      <c r="Q32" s="95">
        <v>0</v>
      </c>
      <c r="R32" s="61"/>
      <c r="S32" s="94">
        <v>0</v>
      </c>
      <c r="T32" s="88">
        <f t="shared" si="0"/>
        <v>0.2699999999999978</v>
      </c>
      <c r="U32" s="61">
        <f t="shared" si="0"/>
        <v>2.6450000000000102</v>
      </c>
      <c r="V32" s="61">
        <f t="shared" si="0"/>
        <v>0.5</v>
      </c>
      <c r="W32" s="61">
        <f t="shared" si="0"/>
        <v>9.710000000000008</v>
      </c>
      <c r="X32" s="61">
        <f t="shared" si="0"/>
        <v>0.66666666666666674</v>
      </c>
      <c r="Y32" s="61">
        <f t="shared" si="0"/>
        <v>0</v>
      </c>
      <c r="Z32" s="61">
        <f t="shared" si="0"/>
        <v>0</v>
      </c>
      <c r="AA32" s="87">
        <f t="shared" si="1"/>
        <v>0</v>
      </c>
      <c r="AB32" s="59" t="str">
        <f t="shared" si="2"/>
        <v>Cumple</v>
      </c>
      <c r="AL32" t="s">
        <v>55</v>
      </c>
      <c r="AM32" t="s">
        <v>54</v>
      </c>
    </row>
    <row r="33" spans="2:39" ht="15" customHeight="1">
      <c r="B33" s="74">
        <v>45622</v>
      </c>
      <c r="C33" s="60">
        <v>0.875</v>
      </c>
      <c r="D33" s="88">
        <v>12.738333333333335</v>
      </c>
      <c r="E33" s="61">
        <v>90.578333333333333</v>
      </c>
      <c r="F33" s="61">
        <v>569.62833333333344</v>
      </c>
      <c r="G33" s="61">
        <v>337.5</v>
      </c>
      <c r="H33" s="61">
        <v>2.63</v>
      </c>
      <c r="I33" s="95">
        <v>0</v>
      </c>
      <c r="J33" s="61"/>
      <c r="K33" s="94">
        <v>0</v>
      </c>
      <c r="L33" s="86">
        <v>12.998333333333333</v>
      </c>
      <c r="M33" s="61">
        <v>87.94</v>
      </c>
      <c r="N33" s="61">
        <v>569.29500000000007</v>
      </c>
      <c r="O33" s="61">
        <v>332.71</v>
      </c>
      <c r="P33" s="61">
        <v>1.7966666666666666</v>
      </c>
      <c r="Q33" s="95">
        <v>0</v>
      </c>
      <c r="R33" s="61"/>
      <c r="S33" s="94">
        <v>0</v>
      </c>
      <c r="T33" s="88">
        <f t="shared" si="0"/>
        <v>0.25999999999999801</v>
      </c>
      <c r="U33" s="61">
        <f t="shared" si="0"/>
        <v>2.6383333333333354</v>
      </c>
      <c r="V33" s="61">
        <f t="shared" si="0"/>
        <v>0.33333333333337123</v>
      </c>
      <c r="W33" s="61">
        <f t="shared" si="0"/>
        <v>4.7900000000000205</v>
      </c>
      <c r="X33" s="61">
        <f t="shared" si="0"/>
        <v>0.83333333333333326</v>
      </c>
      <c r="Y33" s="61">
        <f t="shared" si="0"/>
        <v>0</v>
      </c>
      <c r="Z33" s="61">
        <f t="shared" si="0"/>
        <v>0</v>
      </c>
      <c r="AA33" s="87">
        <f t="shared" si="1"/>
        <v>0</v>
      </c>
      <c r="AB33" s="59" t="str">
        <f t="shared" si="2"/>
        <v>Cumple</v>
      </c>
      <c r="AL33" t="s">
        <v>55</v>
      </c>
      <c r="AM33" t="s">
        <v>55</v>
      </c>
    </row>
    <row r="34" spans="2:39" ht="15" customHeight="1">
      <c r="B34" s="74">
        <v>45622</v>
      </c>
      <c r="C34" s="60">
        <v>0.91666666666666696</v>
      </c>
      <c r="D34" s="88">
        <v>12.284999999999998</v>
      </c>
      <c r="E34" s="61">
        <v>90.12166666666667</v>
      </c>
      <c r="F34" s="61">
        <v>570.14166666666665</v>
      </c>
      <c r="G34" s="61">
        <v>337.5</v>
      </c>
      <c r="H34" s="61">
        <v>2.5350000000000001</v>
      </c>
      <c r="I34" s="95">
        <v>0</v>
      </c>
      <c r="J34" s="61"/>
      <c r="K34" s="94">
        <v>0</v>
      </c>
      <c r="L34" s="86">
        <v>12.536666666666667</v>
      </c>
      <c r="M34" s="61">
        <v>87.49666666666667</v>
      </c>
      <c r="N34" s="61">
        <v>569.80833333333328</v>
      </c>
      <c r="O34" s="61">
        <v>333.79</v>
      </c>
      <c r="P34" s="61">
        <v>2.0350000000000001</v>
      </c>
      <c r="Q34" s="95">
        <v>0</v>
      </c>
      <c r="R34" s="61"/>
      <c r="S34" s="94">
        <v>0</v>
      </c>
      <c r="T34" s="88">
        <f t="shared" si="0"/>
        <v>0.2516666666666687</v>
      </c>
      <c r="U34" s="61">
        <f t="shared" si="0"/>
        <v>2.625</v>
      </c>
      <c r="V34" s="61">
        <f t="shared" si="0"/>
        <v>0.33333333333337123</v>
      </c>
      <c r="W34" s="61">
        <f t="shared" si="0"/>
        <v>3.7099999999999795</v>
      </c>
      <c r="X34" s="61">
        <f t="shared" si="0"/>
        <v>0.5</v>
      </c>
      <c r="Y34" s="61">
        <f t="shared" si="0"/>
        <v>0</v>
      </c>
      <c r="Z34" s="61">
        <f t="shared" si="0"/>
        <v>0</v>
      </c>
      <c r="AA34" s="87">
        <f t="shared" si="1"/>
        <v>0</v>
      </c>
      <c r="AB34" s="59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74">
        <v>45622</v>
      </c>
      <c r="C35" s="60">
        <v>0.95833333333333304</v>
      </c>
      <c r="D35" s="92">
        <v>11.63</v>
      </c>
      <c r="E35" s="90">
        <v>90.084999999999994</v>
      </c>
      <c r="F35" s="90">
        <v>570.005</v>
      </c>
      <c r="G35" s="90">
        <v>90</v>
      </c>
      <c r="H35" s="90">
        <v>1.7166666666666668</v>
      </c>
      <c r="I35" s="96">
        <v>0</v>
      </c>
      <c r="J35" s="90"/>
      <c r="K35" s="97">
        <v>0</v>
      </c>
      <c r="L35" s="89">
        <v>11.868333333333334</v>
      </c>
      <c r="M35" s="90">
        <v>87.46</v>
      </c>
      <c r="N35" s="90">
        <v>569.67166666666662</v>
      </c>
      <c r="O35" s="90">
        <v>86.7</v>
      </c>
      <c r="P35" s="90">
        <v>1.05</v>
      </c>
      <c r="Q35" s="96">
        <v>0</v>
      </c>
      <c r="R35" s="90"/>
      <c r="S35" s="97">
        <v>0</v>
      </c>
      <c r="T35" s="92">
        <f t="shared" si="0"/>
        <v>0.23833333333333329</v>
      </c>
      <c r="U35" s="90">
        <f t="shared" si="0"/>
        <v>2.625</v>
      </c>
      <c r="V35" s="90">
        <f t="shared" si="0"/>
        <v>0.33333333333337123</v>
      </c>
      <c r="W35" s="90">
        <f t="shared" si="0"/>
        <v>3.2999999999999972</v>
      </c>
      <c r="X35" s="90">
        <f t="shared" si="0"/>
        <v>0.66666666666666674</v>
      </c>
      <c r="Y35" s="90">
        <f t="shared" si="0"/>
        <v>0</v>
      </c>
      <c r="Z35" s="90">
        <f t="shared" si="0"/>
        <v>0</v>
      </c>
      <c r="AA35" s="87">
        <f t="shared" si="1"/>
        <v>0</v>
      </c>
      <c r="AB35" s="62" t="str">
        <f t="shared" si="2"/>
        <v>Cumple</v>
      </c>
      <c r="AL35" t="s">
        <v>55</v>
      </c>
      <c r="AM35" t="s">
        <v>55</v>
      </c>
    </row>
    <row r="36" spans="2:39" ht="33" customHeight="1">
      <c r="B36" s="98" t="s">
        <v>42</v>
      </c>
      <c r="C36" s="99"/>
      <c r="D36" s="100">
        <v>45628</v>
      </c>
      <c r="E36" s="101"/>
      <c r="F36" s="101"/>
      <c r="G36" s="101"/>
      <c r="H36" s="101"/>
      <c r="I36" s="102"/>
      <c r="J36" s="103" t="s">
        <v>43</v>
      </c>
      <c r="K36" s="103"/>
      <c r="L36" s="103"/>
      <c r="M36" s="103"/>
      <c r="N36" s="103"/>
      <c r="O36" s="103"/>
      <c r="P36" s="104"/>
      <c r="Q36" s="105" t="s">
        <v>75</v>
      </c>
      <c r="R36" s="106"/>
      <c r="S36" s="106"/>
      <c r="T36" s="107"/>
      <c r="U36" s="107"/>
      <c r="V36" s="107"/>
      <c r="W36" s="107"/>
      <c r="X36" s="107"/>
      <c r="Y36" s="107"/>
      <c r="Z36" s="107"/>
      <c r="AA36" s="107"/>
      <c r="AB36" s="108"/>
    </row>
    <row r="37" spans="2:39" ht="33" customHeight="1">
      <c r="B37" s="109" t="s">
        <v>45</v>
      </c>
      <c r="C37" s="110"/>
      <c r="D37" s="111" t="s">
        <v>46</v>
      </c>
      <c r="E37" s="112"/>
      <c r="F37" s="112"/>
      <c r="G37" s="112"/>
      <c r="H37" s="112"/>
      <c r="I37" s="113"/>
      <c r="J37" s="114" t="s">
        <v>47</v>
      </c>
      <c r="K37" s="115"/>
      <c r="L37" s="115"/>
      <c r="M37" s="115"/>
      <c r="N37" s="115"/>
      <c r="O37" s="115"/>
      <c r="P37" s="115"/>
      <c r="Q37" s="118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20"/>
    </row>
    <row r="38" spans="2:39" ht="33" customHeight="1" thickBot="1">
      <c r="B38" s="124" t="s">
        <v>49</v>
      </c>
      <c r="C38" s="125"/>
      <c r="D38" s="126" t="s">
        <v>50</v>
      </c>
      <c r="E38" s="127"/>
      <c r="F38" s="127"/>
      <c r="G38" s="127"/>
      <c r="H38" s="127"/>
      <c r="I38" s="128"/>
      <c r="J38" s="116"/>
      <c r="K38" s="117"/>
      <c r="L38" s="117"/>
      <c r="M38" s="117"/>
      <c r="N38" s="117"/>
      <c r="O38" s="117"/>
      <c r="P38" s="117"/>
      <c r="Q38" s="121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3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39" priority="2" operator="equal">
      <formula>FALSE</formula>
    </cfRule>
  </conditionalFormatting>
  <conditionalFormatting sqref="T12:T35">
    <cfRule type="cellIs" dxfId="38" priority="19" operator="greaterThan">
      <formula>0.5</formula>
    </cfRule>
    <cfRule type="cellIs" dxfId="37" priority="20" operator="lessThanOrEqual">
      <formula>0.5</formula>
    </cfRule>
  </conditionalFormatting>
  <conditionalFormatting sqref="U12:U35">
    <cfRule type="cellIs" dxfId="36" priority="17" operator="greaterThan">
      <formula>5</formula>
    </cfRule>
    <cfRule type="cellIs" dxfId="35" priority="18" operator="lessThanOrEqual">
      <formula>5</formula>
    </cfRule>
  </conditionalFormatting>
  <conditionalFormatting sqref="V12:V35">
    <cfRule type="cellIs" dxfId="34" priority="15" operator="greaterThan">
      <formula>1</formula>
    </cfRule>
    <cfRule type="cellIs" dxfId="33" priority="16" operator="lessThanOrEqual">
      <formula>1</formula>
    </cfRule>
  </conditionalFormatting>
  <conditionalFormatting sqref="W12:W35">
    <cfRule type="cellIs" dxfId="32" priority="13" operator="greaterThan">
      <formula>22.5</formula>
    </cfRule>
    <cfRule type="cellIs" dxfId="31" priority="14" operator="lessThanOrEqual">
      <formula>22.5</formula>
    </cfRule>
  </conditionalFormatting>
  <conditionalFormatting sqref="X12:X35">
    <cfRule type="cellIs" dxfId="30" priority="7" operator="lessThanOrEqual">
      <formula>1</formula>
    </cfRule>
    <cfRule type="cellIs" dxfId="29" priority="8" operator="greaterThan">
      <formula>1</formula>
    </cfRule>
  </conditionalFormatting>
  <conditionalFormatting sqref="Y12:Y35">
    <cfRule type="cellIs" dxfId="28" priority="5" operator="lessThanOrEqual">
      <formula>90</formula>
    </cfRule>
    <cfRule type="cellIs" dxfId="27" priority="6" operator="greaterThan">
      <formula>90</formula>
    </cfRule>
  </conditionalFormatting>
  <conditionalFormatting sqref="Z12:Z35">
    <cfRule type="cellIs" dxfId="26" priority="11" operator="greaterThan">
      <formula>0.8</formula>
    </cfRule>
    <cfRule type="cellIs" dxfId="25" priority="12" operator="lessThanOrEqual">
      <formula>0.8</formula>
    </cfRule>
  </conditionalFormatting>
  <conditionalFormatting sqref="AA12:AA35">
    <cfRule type="expression" dxfId="24" priority="1">
      <formula>OR(AND(K12=0, S12=0), AND(K12&lt;&gt;0, ABS(S12-K12)/K12 &lt;= 0.05))</formula>
    </cfRule>
    <cfRule type="cellIs" dxfId="23" priority="9" operator="equal">
      <formula>0</formula>
    </cfRule>
    <cfRule type="expression" dxfId="22" priority="10">
      <formula>AND(K12&lt;&gt;0, S, ABS(S12-K12)/K12 &gt; 0.05)</formula>
    </cfRule>
  </conditionalFormatting>
  <conditionalFormatting sqref="AK11">
    <cfRule type="cellIs" dxfId="21" priority="3" operator="lessThan">
      <formula>0.05</formula>
    </cfRule>
    <cfRule type="cellIs" dxfId="20" priority="4" operator="greater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715F-6D07-4D59-8B38-E34848BD696C}">
  <dimension ref="B1:AM68"/>
  <sheetViews>
    <sheetView topLeftCell="Q1" zoomScale="89" zoomScaleNormal="89" workbookViewId="0">
      <selection activeCell="AA7" sqref="AA7:AB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52"/>
      <c r="C1" s="153"/>
      <c r="D1" s="158" t="s">
        <v>6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60"/>
      <c r="AA1" s="164" t="s">
        <v>51</v>
      </c>
      <c r="AB1" s="165"/>
    </row>
    <row r="2" spans="2:39" ht="18" customHeight="1">
      <c r="B2" s="154"/>
      <c r="C2" s="155"/>
      <c r="D2" s="161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3"/>
      <c r="AA2" s="166"/>
      <c r="AB2" s="167"/>
    </row>
    <row r="3" spans="2:39" ht="18" customHeight="1">
      <c r="B3" s="154"/>
      <c r="C3" s="155"/>
      <c r="D3" s="170" t="s">
        <v>8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2"/>
      <c r="AA3" s="166"/>
      <c r="AB3" s="167"/>
    </row>
    <row r="4" spans="2:39" ht="18" customHeight="1" thickBot="1">
      <c r="B4" s="156"/>
      <c r="C4" s="157"/>
      <c r="D4" s="173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5"/>
      <c r="AA4" s="168"/>
      <c r="AB4" s="169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31" t="s">
        <v>9</v>
      </c>
      <c r="C6" s="131"/>
      <c r="D6" s="132" t="s">
        <v>78</v>
      </c>
      <c r="E6" s="133"/>
      <c r="F6" s="133"/>
      <c r="G6" s="133"/>
      <c r="H6" s="133"/>
      <c r="I6" s="133"/>
      <c r="J6" s="133"/>
      <c r="K6" s="134"/>
      <c r="L6" s="176" t="s">
        <v>10</v>
      </c>
      <c r="M6" s="177"/>
      <c r="N6" s="177"/>
      <c r="O6" s="177"/>
      <c r="P6" s="177"/>
      <c r="Q6" s="177"/>
      <c r="R6" s="177"/>
      <c r="S6" s="178"/>
      <c r="T6" s="179" t="s">
        <v>11</v>
      </c>
      <c r="U6" s="179"/>
      <c r="V6" s="179"/>
      <c r="W6" s="179"/>
      <c r="X6" s="179"/>
      <c r="Y6" s="179" t="s">
        <v>12</v>
      </c>
      <c r="Z6" s="179"/>
      <c r="AA6" s="180" t="s">
        <v>52</v>
      </c>
      <c r="AB6" s="181"/>
    </row>
    <row r="7" spans="2:39" ht="33.75" customHeight="1">
      <c r="B7" s="131" t="s">
        <v>14</v>
      </c>
      <c r="C7" s="131"/>
      <c r="D7" s="132" t="s">
        <v>79</v>
      </c>
      <c r="E7" s="133"/>
      <c r="F7" s="133"/>
      <c r="G7" s="133"/>
      <c r="H7" s="133"/>
      <c r="I7" s="133"/>
      <c r="J7" s="133"/>
      <c r="K7" s="134"/>
      <c r="L7" s="135" t="s">
        <v>15</v>
      </c>
      <c r="M7" s="136"/>
      <c r="N7" s="136"/>
      <c r="O7" s="136"/>
      <c r="P7" s="136"/>
      <c r="Q7" s="136"/>
      <c r="R7" s="136"/>
      <c r="S7" s="137"/>
      <c r="T7" s="135" t="s">
        <v>76</v>
      </c>
      <c r="U7" s="136"/>
      <c r="V7" s="136"/>
      <c r="W7" s="136"/>
      <c r="X7" s="137"/>
      <c r="Y7" s="138">
        <v>6327</v>
      </c>
      <c r="Z7" s="139"/>
      <c r="AA7" s="140" t="s">
        <v>81</v>
      </c>
      <c r="AB7" s="141"/>
    </row>
    <row r="8" spans="2:39" ht="33.75" customHeight="1">
      <c r="B8" s="131" t="s">
        <v>16</v>
      </c>
      <c r="C8" s="131"/>
      <c r="D8" s="132" t="s">
        <v>80</v>
      </c>
      <c r="E8" s="133"/>
      <c r="F8" s="133"/>
      <c r="G8" s="133"/>
      <c r="H8" s="133"/>
      <c r="I8" s="133"/>
      <c r="J8" s="133"/>
      <c r="K8" s="134"/>
      <c r="L8" s="135" t="s">
        <v>77</v>
      </c>
      <c r="M8" s="136"/>
      <c r="N8" s="136"/>
      <c r="O8" s="136"/>
      <c r="P8" s="136"/>
      <c r="Q8" s="136"/>
      <c r="R8" s="136"/>
      <c r="S8" s="137"/>
      <c r="T8" s="135" t="s">
        <v>76</v>
      </c>
      <c r="U8" s="136"/>
      <c r="V8" s="136"/>
      <c r="W8" s="136"/>
      <c r="X8" s="137"/>
      <c r="Y8" s="138">
        <v>6327</v>
      </c>
      <c r="Z8" s="139"/>
      <c r="AA8" s="140" t="s">
        <v>67</v>
      </c>
      <c r="AB8" s="141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2" t="s">
        <v>18</v>
      </c>
      <c r="C10" s="144" t="s">
        <v>19</v>
      </c>
      <c r="D10" s="146" t="s">
        <v>20</v>
      </c>
      <c r="E10" s="147"/>
      <c r="F10" s="147"/>
      <c r="G10" s="147"/>
      <c r="H10" s="147"/>
      <c r="I10" s="147"/>
      <c r="J10" s="147"/>
      <c r="K10" s="148"/>
      <c r="L10" s="146" t="s">
        <v>21</v>
      </c>
      <c r="M10" s="147"/>
      <c r="N10" s="147"/>
      <c r="O10" s="147"/>
      <c r="P10" s="147"/>
      <c r="Q10" s="147"/>
      <c r="R10" s="147"/>
      <c r="S10" s="149"/>
      <c r="T10" s="150" t="s">
        <v>53</v>
      </c>
      <c r="U10" s="151"/>
      <c r="V10" s="151"/>
      <c r="W10" s="151"/>
      <c r="X10" s="151"/>
      <c r="Y10" s="151"/>
      <c r="Z10" s="151"/>
      <c r="AA10" s="151"/>
      <c r="AB10" s="129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3"/>
      <c r="C11" s="145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30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74">
        <v>45806</v>
      </c>
      <c r="C12" s="57">
        <v>0</v>
      </c>
      <c r="D12" s="84">
        <v>13.983333333333334</v>
      </c>
      <c r="E12" s="58">
        <v>87.796666666666667</v>
      </c>
      <c r="F12" s="58">
        <v>570.80499999999995</v>
      </c>
      <c r="G12" s="58">
        <v>67.5</v>
      </c>
      <c r="H12" s="58">
        <v>2.77</v>
      </c>
      <c r="I12" s="58">
        <v>0</v>
      </c>
      <c r="J12" s="58"/>
      <c r="K12" s="83">
        <v>0</v>
      </c>
      <c r="L12" s="84">
        <v>14.283333333333333</v>
      </c>
      <c r="M12" s="58">
        <v>85.233333333333334</v>
      </c>
      <c r="N12" s="58">
        <v>570.48333333333335</v>
      </c>
      <c r="O12" s="58">
        <v>67.5</v>
      </c>
      <c r="P12" s="58">
        <v>2.2833333333333332</v>
      </c>
      <c r="Q12" s="58">
        <v>0</v>
      </c>
      <c r="R12" s="58"/>
      <c r="S12" s="85">
        <v>0</v>
      </c>
      <c r="T12" s="84">
        <f>+ABS(L12-D12)</f>
        <v>0.29999999999999893</v>
      </c>
      <c r="U12" s="58">
        <f t="shared" ref="T12:Z35" si="0">+ABS(M12-E12)</f>
        <v>2.5633333333333326</v>
      </c>
      <c r="V12" s="58">
        <f t="shared" si="0"/>
        <v>0.32166666666660149</v>
      </c>
      <c r="W12" s="58">
        <f t="shared" si="0"/>
        <v>0</v>
      </c>
      <c r="X12" s="58">
        <f t="shared" si="0"/>
        <v>0.4866666666666668</v>
      </c>
      <c r="Y12" s="93">
        <f t="shared" si="0"/>
        <v>0</v>
      </c>
      <c r="Z12" s="58">
        <f t="shared" si="0"/>
        <v>0</v>
      </c>
      <c r="AA12" s="87">
        <f>IF(AND(K12=0, S12=0), 0, IF(K12=0, 1, ABS((S12-K12)/K12)))</f>
        <v>0</v>
      </c>
      <c r="AB12" s="59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74">
        <v>45806</v>
      </c>
      <c r="C13" s="60">
        <v>4.1666666666666664E-2</v>
      </c>
      <c r="D13" s="88">
        <v>14.081666666666665</v>
      </c>
      <c r="E13" s="61">
        <v>87.834999999999994</v>
      </c>
      <c r="F13" s="61">
        <v>570.5716666666666</v>
      </c>
      <c r="G13" s="61">
        <v>112.5</v>
      </c>
      <c r="H13" s="61">
        <v>1.5</v>
      </c>
      <c r="I13" s="61">
        <v>0</v>
      </c>
      <c r="J13" s="61"/>
      <c r="K13" s="87">
        <v>0</v>
      </c>
      <c r="L13" s="88">
        <v>14.366666666666667</v>
      </c>
      <c r="M13" s="61">
        <v>85.283333333333331</v>
      </c>
      <c r="N13" s="61">
        <v>569.93333333333339</v>
      </c>
      <c r="O13" s="61">
        <v>112.5</v>
      </c>
      <c r="P13" s="61">
        <v>0.98333333333333328</v>
      </c>
      <c r="Q13" s="61">
        <v>0</v>
      </c>
      <c r="R13" s="61"/>
      <c r="S13" s="94">
        <v>0</v>
      </c>
      <c r="T13" s="88">
        <f t="shared" si="0"/>
        <v>0.28500000000000192</v>
      </c>
      <c r="U13" s="61">
        <f t="shared" si="0"/>
        <v>2.5516666666666623</v>
      </c>
      <c r="V13" s="61">
        <f t="shared" si="0"/>
        <v>0.63833333333320752</v>
      </c>
      <c r="W13" s="61">
        <f t="shared" si="0"/>
        <v>0</v>
      </c>
      <c r="X13" s="61">
        <f t="shared" si="0"/>
        <v>0.51666666666666672</v>
      </c>
      <c r="Y13" s="61">
        <f t="shared" si="0"/>
        <v>0</v>
      </c>
      <c r="Z13" s="61">
        <f t="shared" si="0"/>
        <v>0</v>
      </c>
      <c r="AA13" s="87">
        <f t="shared" ref="AA13:AA35" si="1">IF(AND(K13=0, S13=0), 0, IF(K13=0, 1, ABS((S13-K13)/K13)))</f>
        <v>0</v>
      </c>
      <c r="AB13" s="59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74">
        <v>45806</v>
      </c>
      <c r="C14" s="60">
        <v>8.3333333333333301E-2</v>
      </c>
      <c r="D14" s="88">
        <v>14.096666666666669</v>
      </c>
      <c r="E14" s="61">
        <v>87.11</v>
      </c>
      <c r="F14" s="61">
        <v>570.06333333333339</v>
      </c>
      <c r="G14" s="61">
        <v>135</v>
      </c>
      <c r="H14" s="61">
        <v>1.6633333333333331</v>
      </c>
      <c r="I14" s="61">
        <v>0</v>
      </c>
      <c r="J14" s="61"/>
      <c r="K14" s="87">
        <v>0</v>
      </c>
      <c r="L14" s="88">
        <v>14.383333333333335</v>
      </c>
      <c r="M14" s="61">
        <v>84.566666666666663</v>
      </c>
      <c r="N14" s="61">
        <v>569.4</v>
      </c>
      <c r="O14" s="61">
        <v>135</v>
      </c>
      <c r="P14" s="61">
        <v>1.3499999999999999</v>
      </c>
      <c r="Q14" s="61">
        <v>0</v>
      </c>
      <c r="R14" s="61"/>
      <c r="S14" s="94">
        <v>0</v>
      </c>
      <c r="T14" s="88">
        <f t="shared" si="0"/>
        <v>0.28666666666666529</v>
      </c>
      <c r="U14" s="61">
        <f t="shared" si="0"/>
        <v>2.5433333333333366</v>
      </c>
      <c r="V14" s="61">
        <f>+ABS(N14-F14)</f>
        <v>0.66333333333341216</v>
      </c>
      <c r="W14" s="61">
        <f t="shared" si="0"/>
        <v>0</v>
      </c>
      <c r="X14" s="61">
        <f t="shared" si="0"/>
        <v>0.31333333333333324</v>
      </c>
      <c r="Y14" s="61">
        <f t="shared" si="0"/>
        <v>0</v>
      </c>
      <c r="Z14" s="61">
        <f t="shared" si="0"/>
        <v>0</v>
      </c>
      <c r="AA14" s="87">
        <f t="shared" si="1"/>
        <v>0</v>
      </c>
      <c r="AB14" s="59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74">
        <v>45806</v>
      </c>
      <c r="C15" s="60">
        <v>0.125</v>
      </c>
      <c r="D15" s="88">
        <v>13.683333333333332</v>
      </c>
      <c r="E15" s="61">
        <v>88.308333333333337</v>
      </c>
      <c r="F15" s="61">
        <v>570.05166666666662</v>
      </c>
      <c r="G15" s="61">
        <v>112.5</v>
      </c>
      <c r="H15" s="61">
        <v>2.0533333333333332</v>
      </c>
      <c r="I15" s="61">
        <v>0</v>
      </c>
      <c r="J15" s="61"/>
      <c r="K15" s="87">
        <v>0</v>
      </c>
      <c r="L15" s="88">
        <v>13.983333333333334</v>
      </c>
      <c r="M15" s="61">
        <v>85.733333333333334</v>
      </c>
      <c r="N15" s="61">
        <v>569.2166666666667</v>
      </c>
      <c r="O15" s="61">
        <v>112.5</v>
      </c>
      <c r="P15" s="61">
        <v>1.3666666666666669</v>
      </c>
      <c r="Q15" s="61">
        <v>0</v>
      </c>
      <c r="R15" s="61"/>
      <c r="S15" s="94">
        <v>0</v>
      </c>
      <c r="T15" s="88">
        <f t="shared" si="0"/>
        <v>0.30000000000000249</v>
      </c>
      <c r="U15" s="61">
        <f t="shared" si="0"/>
        <v>2.5750000000000028</v>
      </c>
      <c r="V15" s="61">
        <f t="shared" si="0"/>
        <v>0.83499999999992269</v>
      </c>
      <c r="W15" s="61">
        <f t="shared" si="0"/>
        <v>0</v>
      </c>
      <c r="X15" s="61">
        <f t="shared" si="0"/>
        <v>0.68666666666666631</v>
      </c>
      <c r="Y15" s="61">
        <f t="shared" si="0"/>
        <v>0</v>
      </c>
      <c r="Z15" s="61">
        <f t="shared" si="0"/>
        <v>0</v>
      </c>
      <c r="AA15" s="87">
        <f t="shared" si="1"/>
        <v>0</v>
      </c>
      <c r="AB15" s="59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74">
        <v>45806</v>
      </c>
      <c r="C16" s="60">
        <v>0.16666666666666699</v>
      </c>
      <c r="D16" s="88">
        <v>13.266666666666667</v>
      </c>
      <c r="E16" s="61">
        <v>89.149999999999991</v>
      </c>
      <c r="F16" s="61">
        <v>569.75</v>
      </c>
      <c r="G16" s="61">
        <v>112.5</v>
      </c>
      <c r="H16" s="61">
        <v>1.8099999999999998</v>
      </c>
      <c r="I16" s="61">
        <v>0</v>
      </c>
      <c r="J16" s="61"/>
      <c r="K16" s="87">
        <v>0.2</v>
      </c>
      <c r="L16" s="88">
        <v>13.549999999999999</v>
      </c>
      <c r="M16" s="61">
        <v>86.566666666666663</v>
      </c>
      <c r="N16" s="61">
        <v>569.26666666666654</v>
      </c>
      <c r="O16" s="61">
        <v>112.5</v>
      </c>
      <c r="P16" s="61">
        <v>1.3166666666666667</v>
      </c>
      <c r="Q16" s="61">
        <v>0</v>
      </c>
      <c r="R16" s="61"/>
      <c r="S16" s="94">
        <v>0.2</v>
      </c>
      <c r="T16" s="88">
        <f t="shared" si="0"/>
        <v>0.28333333333333144</v>
      </c>
      <c r="U16" s="61">
        <f t="shared" si="0"/>
        <v>2.5833333333333286</v>
      </c>
      <c r="V16" s="61">
        <f t="shared" si="0"/>
        <v>0.48333333333346218</v>
      </c>
      <c r="W16" s="61">
        <f t="shared" si="0"/>
        <v>0</v>
      </c>
      <c r="X16" s="61">
        <f t="shared" si="0"/>
        <v>0.49333333333333318</v>
      </c>
      <c r="Y16" s="61">
        <f t="shared" si="0"/>
        <v>0</v>
      </c>
      <c r="Z16" s="61">
        <f t="shared" si="0"/>
        <v>0</v>
      </c>
      <c r="AA16" s="87">
        <f t="shared" si="1"/>
        <v>0</v>
      </c>
      <c r="AB16" s="59" t="str">
        <f t="shared" si="2"/>
        <v>Cumple</v>
      </c>
      <c r="AL16" t="s">
        <v>56</v>
      </c>
      <c r="AM16" t="s">
        <v>57</v>
      </c>
    </row>
    <row r="17" spans="2:39" ht="15" customHeight="1">
      <c r="B17" s="74">
        <v>45806</v>
      </c>
      <c r="C17" s="60">
        <v>0.20833333333333301</v>
      </c>
      <c r="D17" s="88">
        <v>13.873333333333335</v>
      </c>
      <c r="E17" s="61">
        <v>84.033333333333346</v>
      </c>
      <c r="F17" s="61">
        <v>569.36500000000012</v>
      </c>
      <c r="G17" s="61">
        <v>112.5</v>
      </c>
      <c r="H17" s="61">
        <v>3.4749999999999996</v>
      </c>
      <c r="I17" s="61">
        <v>0</v>
      </c>
      <c r="J17" s="61"/>
      <c r="K17" s="87">
        <v>0</v>
      </c>
      <c r="L17" s="88">
        <v>14.16666666666667</v>
      </c>
      <c r="M17" s="61">
        <v>81.600000000000009</v>
      </c>
      <c r="N17" s="61">
        <v>569.06666666666661</v>
      </c>
      <c r="O17" s="61">
        <v>112.5</v>
      </c>
      <c r="P17" s="61">
        <v>2.9833333333333329</v>
      </c>
      <c r="Q17" s="61">
        <v>0</v>
      </c>
      <c r="R17" s="61"/>
      <c r="S17" s="94">
        <v>0</v>
      </c>
      <c r="T17" s="88">
        <f t="shared" si="0"/>
        <v>0.29333333333333478</v>
      </c>
      <c r="U17" s="61">
        <f t="shared" si="0"/>
        <v>2.4333333333333371</v>
      </c>
      <c r="V17" s="61">
        <f t="shared" si="0"/>
        <v>0.29833333333351675</v>
      </c>
      <c r="W17" s="61">
        <f t="shared" si="0"/>
        <v>0</v>
      </c>
      <c r="X17" s="61">
        <f t="shared" si="0"/>
        <v>0.4916666666666667</v>
      </c>
      <c r="Y17" s="61">
        <f t="shared" si="0"/>
        <v>0</v>
      </c>
      <c r="Z17" s="61">
        <f t="shared" si="0"/>
        <v>0</v>
      </c>
      <c r="AA17" s="87">
        <f t="shared" si="1"/>
        <v>0</v>
      </c>
      <c r="AB17" s="59" t="str">
        <f t="shared" si="2"/>
        <v>Cumple</v>
      </c>
      <c r="AL17" t="s">
        <v>58</v>
      </c>
      <c r="AM17" t="s">
        <v>58</v>
      </c>
    </row>
    <row r="18" spans="2:39" ht="15" customHeight="1">
      <c r="B18" s="74">
        <v>45806</v>
      </c>
      <c r="C18" s="60">
        <v>0.25</v>
      </c>
      <c r="D18" s="88">
        <v>14.448333333333332</v>
      </c>
      <c r="E18" s="61">
        <v>81.14</v>
      </c>
      <c r="F18" s="61">
        <v>570.04666666666674</v>
      </c>
      <c r="G18" s="61">
        <v>135</v>
      </c>
      <c r="H18" s="61">
        <v>5.01</v>
      </c>
      <c r="I18" s="61">
        <v>70.625</v>
      </c>
      <c r="J18" s="61"/>
      <c r="K18" s="87">
        <v>0</v>
      </c>
      <c r="L18" s="88">
        <v>14.766666666666667</v>
      </c>
      <c r="M18" s="61">
        <v>78.783333333333346</v>
      </c>
      <c r="N18" s="61">
        <v>569.55000000000007</v>
      </c>
      <c r="O18" s="61">
        <v>135</v>
      </c>
      <c r="P18" s="61">
        <v>4.7</v>
      </c>
      <c r="Q18" s="61">
        <v>29.299999999999997</v>
      </c>
      <c r="R18" s="61"/>
      <c r="S18" s="94">
        <v>0</v>
      </c>
      <c r="T18" s="88">
        <f t="shared" si="0"/>
        <v>0.31833333333333513</v>
      </c>
      <c r="U18" s="61">
        <f t="shared" si="0"/>
        <v>2.3566666666666549</v>
      </c>
      <c r="V18" s="61">
        <f t="shared" si="0"/>
        <v>0.4966666666666697</v>
      </c>
      <c r="W18" s="61">
        <f t="shared" si="0"/>
        <v>0</v>
      </c>
      <c r="X18" s="61">
        <f t="shared" si="0"/>
        <v>0.30999999999999961</v>
      </c>
      <c r="Y18" s="61">
        <f t="shared" si="0"/>
        <v>41.325000000000003</v>
      </c>
      <c r="Z18" s="61">
        <f t="shared" si="0"/>
        <v>0</v>
      </c>
      <c r="AA18" s="87">
        <f t="shared" si="1"/>
        <v>0</v>
      </c>
      <c r="AB18" s="59" t="str">
        <f t="shared" si="2"/>
        <v>Cumple</v>
      </c>
      <c r="AL18" t="s">
        <v>55</v>
      </c>
      <c r="AM18" t="s">
        <v>55</v>
      </c>
    </row>
    <row r="19" spans="2:39" ht="15" customHeight="1">
      <c r="B19" s="74">
        <v>45806</v>
      </c>
      <c r="C19" s="60">
        <v>0.29166666666666702</v>
      </c>
      <c r="D19" s="88">
        <v>15.203333333333333</v>
      </c>
      <c r="E19" s="61">
        <v>77.418333333333337</v>
      </c>
      <c r="F19" s="61">
        <v>570.25</v>
      </c>
      <c r="G19" s="61">
        <v>135</v>
      </c>
      <c r="H19" s="61">
        <v>4.7450000000000001</v>
      </c>
      <c r="I19" s="61">
        <v>151.60666666666665</v>
      </c>
      <c r="J19" s="61"/>
      <c r="K19" s="87">
        <v>0</v>
      </c>
      <c r="L19" s="88">
        <v>15.516666666666666</v>
      </c>
      <c r="M19" s="61">
        <v>75.150000000000006</v>
      </c>
      <c r="N19" s="61">
        <v>569.93333333333328</v>
      </c>
      <c r="O19" s="61">
        <v>135</v>
      </c>
      <c r="P19" s="61">
        <v>4.416666666666667</v>
      </c>
      <c r="Q19" s="61">
        <v>126.45</v>
      </c>
      <c r="R19" s="61"/>
      <c r="S19" s="94">
        <v>0</v>
      </c>
      <c r="T19" s="88">
        <f t="shared" si="0"/>
        <v>0.31333333333333258</v>
      </c>
      <c r="U19" s="61">
        <f t="shared" si="0"/>
        <v>2.2683333333333309</v>
      </c>
      <c r="V19" s="61">
        <f t="shared" si="0"/>
        <v>0.31666666666671972</v>
      </c>
      <c r="W19" s="61">
        <f t="shared" si="0"/>
        <v>0</v>
      </c>
      <c r="X19" s="61">
        <f t="shared" si="0"/>
        <v>0.32833333333333314</v>
      </c>
      <c r="Y19" s="61">
        <f t="shared" si="0"/>
        <v>25.156666666666652</v>
      </c>
      <c r="Z19" s="61">
        <f t="shared" si="0"/>
        <v>0</v>
      </c>
      <c r="AA19" s="87">
        <f t="shared" si="1"/>
        <v>0</v>
      </c>
      <c r="AB19" s="59" t="str">
        <f t="shared" si="2"/>
        <v>Cumple</v>
      </c>
      <c r="AL19" t="s">
        <v>55</v>
      </c>
      <c r="AM19" t="s">
        <v>55</v>
      </c>
    </row>
    <row r="20" spans="2:39" ht="15" customHeight="1">
      <c r="B20" s="74">
        <v>45806</v>
      </c>
      <c r="C20" s="60">
        <v>0.33333333333333298</v>
      </c>
      <c r="D20" s="88">
        <v>15.631666666666666</v>
      </c>
      <c r="E20" s="61">
        <v>75.625</v>
      </c>
      <c r="F20" s="61">
        <v>570.62</v>
      </c>
      <c r="G20" s="61">
        <v>135</v>
      </c>
      <c r="H20" s="61">
        <v>4.9899999999999993</v>
      </c>
      <c r="I20" s="61">
        <v>288.01499999999999</v>
      </c>
      <c r="J20" s="61"/>
      <c r="K20" s="87">
        <v>0</v>
      </c>
      <c r="L20" s="88">
        <v>15.949999999999998</v>
      </c>
      <c r="M20" s="61">
        <v>73.416666666666671</v>
      </c>
      <c r="N20" s="61">
        <v>570.2833333333333</v>
      </c>
      <c r="O20" s="61">
        <v>135</v>
      </c>
      <c r="P20" s="61">
        <v>4.6499999999999995</v>
      </c>
      <c r="Q20" s="61">
        <v>233.66666666666666</v>
      </c>
      <c r="R20" s="61"/>
      <c r="S20" s="94">
        <v>0</v>
      </c>
      <c r="T20" s="88">
        <f t="shared" si="0"/>
        <v>0.31833333333333158</v>
      </c>
      <c r="U20" s="61">
        <f t="shared" si="0"/>
        <v>2.2083333333333286</v>
      </c>
      <c r="V20" s="61">
        <f t="shared" si="0"/>
        <v>0.33666666666670153</v>
      </c>
      <c r="W20" s="61">
        <f t="shared" si="0"/>
        <v>0</v>
      </c>
      <c r="X20" s="61">
        <f t="shared" si="0"/>
        <v>0.33999999999999986</v>
      </c>
      <c r="Y20" s="61">
        <f t="shared" si="0"/>
        <v>54.348333333333329</v>
      </c>
      <c r="Z20" s="61">
        <f t="shared" si="0"/>
        <v>0</v>
      </c>
      <c r="AA20" s="87">
        <f t="shared" si="1"/>
        <v>0</v>
      </c>
      <c r="AB20" s="59" t="str">
        <f t="shared" si="2"/>
        <v>Cumple</v>
      </c>
      <c r="AL20" t="s">
        <v>55</v>
      </c>
      <c r="AM20" t="s">
        <v>55</v>
      </c>
    </row>
    <row r="21" spans="2:39" ht="15" customHeight="1">
      <c r="B21" s="74">
        <v>45806</v>
      </c>
      <c r="C21" s="60">
        <v>0.375</v>
      </c>
      <c r="D21" s="88">
        <v>16.186666666666664</v>
      </c>
      <c r="E21" s="61">
        <v>73.656666666666666</v>
      </c>
      <c r="F21" s="61">
        <v>571.12333333333333</v>
      </c>
      <c r="G21" s="61">
        <v>135</v>
      </c>
      <c r="H21" s="61">
        <v>4.666666666666667</v>
      </c>
      <c r="I21" s="61">
        <v>368.23500000000007</v>
      </c>
      <c r="J21" s="61"/>
      <c r="K21" s="87">
        <v>0</v>
      </c>
      <c r="L21" s="88">
        <v>16.533333333333331</v>
      </c>
      <c r="M21" s="61">
        <v>71.533333333333346</v>
      </c>
      <c r="N21" s="61">
        <v>570.4666666666667</v>
      </c>
      <c r="O21" s="61">
        <v>135</v>
      </c>
      <c r="P21" s="61">
        <v>4.0166666666666666</v>
      </c>
      <c r="Q21" s="61">
        <v>323.25</v>
      </c>
      <c r="R21" s="61"/>
      <c r="S21" s="94">
        <v>0</v>
      </c>
      <c r="T21" s="88">
        <f t="shared" si="0"/>
        <v>0.34666666666666757</v>
      </c>
      <c r="U21" s="61">
        <f t="shared" si="0"/>
        <v>2.1233333333333206</v>
      </c>
      <c r="V21" s="61">
        <f t="shared" si="0"/>
        <v>0.65666666666663787</v>
      </c>
      <c r="W21" s="61">
        <f t="shared" si="0"/>
        <v>0</v>
      </c>
      <c r="X21" s="61">
        <f t="shared" si="0"/>
        <v>0.65000000000000036</v>
      </c>
      <c r="Y21" s="61">
        <f t="shared" si="0"/>
        <v>44.98500000000007</v>
      </c>
      <c r="Z21" s="61">
        <f t="shared" si="0"/>
        <v>0</v>
      </c>
      <c r="AA21" s="87">
        <f t="shared" si="1"/>
        <v>0</v>
      </c>
      <c r="AB21" s="59" t="str">
        <f t="shared" si="2"/>
        <v>Cumple</v>
      </c>
      <c r="AL21" t="s">
        <v>58</v>
      </c>
      <c r="AM21" t="s">
        <v>58</v>
      </c>
    </row>
    <row r="22" spans="2:39" ht="15" customHeight="1">
      <c r="B22" s="74">
        <v>45806</v>
      </c>
      <c r="C22" s="60">
        <v>0.41666666666666702</v>
      </c>
      <c r="D22" s="88">
        <v>16.411666666666665</v>
      </c>
      <c r="E22" s="61">
        <v>72.708333333333329</v>
      </c>
      <c r="F22" s="61">
        <v>570.64</v>
      </c>
      <c r="G22" s="61">
        <v>135</v>
      </c>
      <c r="H22" s="61">
        <v>4.2316666666666665</v>
      </c>
      <c r="I22" s="61">
        <v>272.21999999999997</v>
      </c>
      <c r="J22" s="61"/>
      <c r="K22" s="87">
        <v>0.2</v>
      </c>
      <c r="L22" s="88">
        <v>16.749999999999996</v>
      </c>
      <c r="M22" s="61">
        <v>70.583333333333329</v>
      </c>
      <c r="N22" s="61">
        <v>570.31666666666661</v>
      </c>
      <c r="O22" s="61">
        <v>135</v>
      </c>
      <c r="P22" s="61">
        <v>3.7333333333333329</v>
      </c>
      <c r="Q22" s="61">
        <v>242.54999999999998</v>
      </c>
      <c r="R22" s="61"/>
      <c r="S22" s="94">
        <v>0.2</v>
      </c>
      <c r="T22" s="88">
        <f t="shared" si="0"/>
        <v>0.33833333333333115</v>
      </c>
      <c r="U22" s="61">
        <f t="shared" si="0"/>
        <v>2.125</v>
      </c>
      <c r="V22" s="61">
        <f t="shared" si="0"/>
        <v>0.32333333333338032</v>
      </c>
      <c r="W22" s="61">
        <f t="shared" si="0"/>
        <v>0</v>
      </c>
      <c r="X22" s="61">
        <f t="shared" si="0"/>
        <v>0.49833333333333352</v>
      </c>
      <c r="Y22" s="61">
        <f t="shared" si="0"/>
        <v>29.669999999999987</v>
      </c>
      <c r="Z22" s="61">
        <f t="shared" si="0"/>
        <v>0</v>
      </c>
      <c r="AA22" s="87">
        <f t="shared" si="1"/>
        <v>0</v>
      </c>
      <c r="AB22" s="59" t="str">
        <f t="shared" si="2"/>
        <v>Cumple</v>
      </c>
      <c r="AL22" t="s">
        <v>58</v>
      </c>
      <c r="AM22" t="s">
        <v>59</v>
      </c>
    </row>
    <row r="23" spans="2:39" ht="15" customHeight="1">
      <c r="B23" s="74">
        <v>45806</v>
      </c>
      <c r="C23" s="60">
        <v>0.45833333333333298</v>
      </c>
      <c r="D23" s="88">
        <v>16.781666666666666</v>
      </c>
      <c r="E23" s="61">
        <v>71.809999999999988</v>
      </c>
      <c r="F23" s="61">
        <v>570.77333333333343</v>
      </c>
      <c r="G23" s="61">
        <v>135</v>
      </c>
      <c r="H23" s="61">
        <v>5.3583333333333343</v>
      </c>
      <c r="I23" s="61">
        <v>346.70000000000005</v>
      </c>
      <c r="J23" s="61"/>
      <c r="K23" s="87">
        <v>0</v>
      </c>
      <c r="L23" s="88">
        <v>17.149999999999999</v>
      </c>
      <c r="M23" s="61">
        <v>69.716666666666654</v>
      </c>
      <c r="N23" s="61">
        <v>570.08333333333337</v>
      </c>
      <c r="O23" s="61">
        <v>135</v>
      </c>
      <c r="P23" s="61">
        <v>4.8499999999999996</v>
      </c>
      <c r="Q23" s="61">
        <v>303.7</v>
      </c>
      <c r="R23" s="61"/>
      <c r="S23" s="94">
        <v>0</v>
      </c>
      <c r="T23" s="88">
        <f t="shared" si="0"/>
        <v>0.36833333333333229</v>
      </c>
      <c r="U23" s="61">
        <f t="shared" si="0"/>
        <v>2.0933333333333337</v>
      </c>
      <c r="V23" s="61">
        <f t="shared" si="0"/>
        <v>0.69000000000005457</v>
      </c>
      <c r="W23" s="61">
        <f t="shared" si="0"/>
        <v>0</v>
      </c>
      <c r="X23" s="61">
        <f t="shared" si="0"/>
        <v>0.50833333333333464</v>
      </c>
      <c r="Y23" s="61">
        <f>+ABS(Q23-I23)</f>
        <v>43.000000000000057</v>
      </c>
      <c r="Z23" s="61">
        <f t="shared" si="0"/>
        <v>0</v>
      </c>
      <c r="AA23" s="87">
        <f t="shared" si="1"/>
        <v>0</v>
      </c>
      <c r="AB23" s="59" t="str">
        <f t="shared" si="2"/>
        <v>Cumple</v>
      </c>
      <c r="AL23" t="s">
        <v>58</v>
      </c>
      <c r="AM23" t="s">
        <v>58</v>
      </c>
    </row>
    <row r="24" spans="2:39" ht="15" customHeight="1">
      <c r="B24" s="74">
        <v>45806</v>
      </c>
      <c r="C24" s="60">
        <v>0.5</v>
      </c>
      <c r="D24" s="88">
        <v>17.38</v>
      </c>
      <c r="E24" s="61">
        <v>69.198333333333338</v>
      </c>
      <c r="F24" s="61">
        <v>569.88666666666666</v>
      </c>
      <c r="G24" s="61">
        <v>135</v>
      </c>
      <c r="H24" s="61">
        <v>5.91</v>
      </c>
      <c r="I24" s="61">
        <v>437.51333333333332</v>
      </c>
      <c r="J24" s="61"/>
      <c r="K24" s="87">
        <v>0</v>
      </c>
      <c r="L24" s="88">
        <v>17.75</v>
      </c>
      <c r="M24" s="61">
        <v>67.2</v>
      </c>
      <c r="N24" s="61">
        <v>569.54999999999995</v>
      </c>
      <c r="O24" s="61">
        <v>135</v>
      </c>
      <c r="P24" s="61">
        <v>4.9333333333333336</v>
      </c>
      <c r="Q24" s="61">
        <v>417.7</v>
      </c>
      <c r="R24" s="61"/>
      <c r="S24" s="94">
        <v>0</v>
      </c>
      <c r="T24" s="88">
        <f t="shared" si="0"/>
        <v>0.37000000000000099</v>
      </c>
      <c r="U24" s="61">
        <f t="shared" si="0"/>
        <v>1.9983333333333348</v>
      </c>
      <c r="V24" s="61">
        <f t="shared" si="0"/>
        <v>0.33666666666670153</v>
      </c>
      <c r="W24" s="61">
        <f t="shared" si="0"/>
        <v>0</v>
      </c>
      <c r="X24" s="61">
        <f t="shared" si="0"/>
        <v>0.97666666666666657</v>
      </c>
      <c r="Y24" s="61">
        <f t="shared" si="0"/>
        <v>19.813333333333333</v>
      </c>
      <c r="Z24" s="61">
        <f t="shared" si="0"/>
        <v>0</v>
      </c>
      <c r="AA24" s="87">
        <f t="shared" si="1"/>
        <v>0</v>
      </c>
      <c r="AB24" s="59" t="str">
        <f t="shared" si="2"/>
        <v>Cumple</v>
      </c>
      <c r="AL24" t="s">
        <v>58</v>
      </c>
      <c r="AM24" t="s">
        <v>58</v>
      </c>
    </row>
    <row r="25" spans="2:39" ht="15" customHeight="1">
      <c r="B25" s="74">
        <v>45806</v>
      </c>
      <c r="C25" s="60">
        <v>0.54166666666666696</v>
      </c>
      <c r="D25" s="88">
        <v>17.831666666666667</v>
      </c>
      <c r="E25" s="61">
        <v>66.165000000000006</v>
      </c>
      <c r="F25" s="61">
        <v>568.95000000000005</v>
      </c>
      <c r="G25" s="61">
        <v>135</v>
      </c>
      <c r="H25" s="61">
        <v>4.335</v>
      </c>
      <c r="I25" s="95">
        <v>344.20000000000005</v>
      </c>
      <c r="J25" s="61"/>
      <c r="K25" s="94">
        <v>0</v>
      </c>
      <c r="L25" s="86">
        <v>18.2</v>
      </c>
      <c r="M25" s="61">
        <v>64.233333333333334</v>
      </c>
      <c r="N25" s="61">
        <v>568.43333333333339</v>
      </c>
      <c r="O25" s="61">
        <v>135</v>
      </c>
      <c r="P25" s="61">
        <v>4.166666666666667</v>
      </c>
      <c r="Q25" s="95">
        <v>291.2</v>
      </c>
      <c r="R25" s="61"/>
      <c r="S25" s="94">
        <v>0</v>
      </c>
      <c r="T25" s="88">
        <f t="shared" si="0"/>
        <v>0.36833333333333229</v>
      </c>
      <c r="U25" s="61">
        <f t="shared" si="0"/>
        <v>1.931666666666672</v>
      </c>
      <c r="V25" s="61">
        <f t="shared" si="0"/>
        <v>0.51666666666665151</v>
      </c>
      <c r="W25" s="61">
        <f t="shared" si="0"/>
        <v>0</v>
      </c>
      <c r="X25" s="61">
        <f t="shared" si="0"/>
        <v>0.168333333333333</v>
      </c>
      <c r="Y25" s="61">
        <f t="shared" si="0"/>
        <v>53.000000000000057</v>
      </c>
      <c r="Z25" s="61">
        <f t="shared" si="0"/>
        <v>0</v>
      </c>
      <c r="AA25" s="87">
        <f t="shared" si="1"/>
        <v>0</v>
      </c>
      <c r="AB25" s="59" t="str">
        <f t="shared" si="2"/>
        <v>Cumple</v>
      </c>
      <c r="AL25" t="s">
        <v>60</v>
      </c>
      <c r="AM25" t="s">
        <v>60</v>
      </c>
    </row>
    <row r="26" spans="2:39" ht="15" customHeight="1">
      <c r="B26" s="74">
        <v>45806</v>
      </c>
      <c r="C26" s="60">
        <v>0.58333333333333304</v>
      </c>
      <c r="D26" s="88">
        <v>17.888333333333332</v>
      </c>
      <c r="E26" s="61">
        <v>65.821666666666673</v>
      </c>
      <c r="F26" s="61">
        <v>567.88</v>
      </c>
      <c r="G26" s="61">
        <v>157.5</v>
      </c>
      <c r="H26" s="61">
        <v>3.625</v>
      </c>
      <c r="I26" s="95">
        <v>298.31166666666667</v>
      </c>
      <c r="J26" s="61"/>
      <c r="K26" s="94">
        <v>0</v>
      </c>
      <c r="L26" s="86">
        <v>18.266666666666669</v>
      </c>
      <c r="M26" s="61">
        <v>63.916666666666657</v>
      </c>
      <c r="N26" s="61">
        <v>567.88333333333333</v>
      </c>
      <c r="O26" s="61">
        <v>135</v>
      </c>
      <c r="P26" s="61">
        <v>3.3000000000000003</v>
      </c>
      <c r="Q26" s="95">
        <v>252.15</v>
      </c>
      <c r="R26" s="61"/>
      <c r="S26" s="94">
        <v>0</v>
      </c>
      <c r="T26" s="88">
        <f t="shared" si="0"/>
        <v>0.37833333333333741</v>
      </c>
      <c r="U26" s="61">
        <f t="shared" si="0"/>
        <v>1.9050000000000153</v>
      </c>
      <c r="V26" s="61">
        <f t="shared" si="0"/>
        <v>3.3333333333303017E-3</v>
      </c>
      <c r="W26" s="61">
        <f t="shared" si="0"/>
        <v>22.5</v>
      </c>
      <c r="X26" s="61">
        <f t="shared" si="0"/>
        <v>0.32499999999999973</v>
      </c>
      <c r="Y26" s="61">
        <f t="shared" si="0"/>
        <v>46.161666666666662</v>
      </c>
      <c r="Z26" s="61">
        <f t="shared" si="0"/>
        <v>0</v>
      </c>
      <c r="AA26" s="87">
        <f t="shared" si="1"/>
        <v>0</v>
      </c>
      <c r="AB26" s="59" t="str">
        <f t="shared" si="2"/>
        <v>Cumple</v>
      </c>
      <c r="AL26" t="s">
        <v>61</v>
      </c>
      <c r="AM26" t="s">
        <v>61</v>
      </c>
    </row>
    <row r="27" spans="2:39" ht="15" customHeight="1">
      <c r="B27" s="74">
        <v>45806</v>
      </c>
      <c r="C27" s="60">
        <v>0.625</v>
      </c>
      <c r="D27" s="88">
        <v>18.141666666666666</v>
      </c>
      <c r="E27" s="61">
        <v>65.765000000000001</v>
      </c>
      <c r="F27" s="61">
        <v>567.70666666666659</v>
      </c>
      <c r="G27" s="61">
        <v>90</v>
      </c>
      <c r="H27" s="61">
        <v>4.26</v>
      </c>
      <c r="I27" s="95">
        <v>294.44</v>
      </c>
      <c r="J27" s="61"/>
      <c r="K27" s="94">
        <v>0</v>
      </c>
      <c r="L27" s="86">
        <v>18.516666666666669</v>
      </c>
      <c r="M27" s="61">
        <v>63.866666666666674</v>
      </c>
      <c r="N27" s="61">
        <v>567.38333333333333</v>
      </c>
      <c r="O27" s="61">
        <v>90</v>
      </c>
      <c r="P27" s="61">
        <v>3.5999999999999996</v>
      </c>
      <c r="Q27" s="95">
        <v>236.6</v>
      </c>
      <c r="R27" s="61"/>
      <c r="S27" s="94">
        <v>0</v>
      </c>
      <c r="T27" s="88">
        <f t="shared" si="0"/>
        <v>0.37500000000000355</v>
      </c>
      <c r="U27" s="61">
        <f t="shared" si="0"/>
        <v>1.8983333333333263</v>
      </c>
      <c r="V27" s="61">
        <f t="shared" si="0"/>
        <v>0.32333333333326664</v>
      </c>
      <c r="W27" s="61">
        <f t="shared" si="0"/>
        <v>0</v>
      </c>
      <c r="X27" s="61">
        <f t="shared" si="0"/>
        <v>0.66000000000000014</v>
      </c>
      <c r="Y27" s="61">
        <f t="shared" si="0"/>
        <v>57.84</v>
      </c>
      <c r="Z27" s="61">
        <f t="shared" si="0"/>
        <v>0</v>
      </c>
      <c r="AA27" s="87">
        <f t="shared" si="1"/>
        <v>0</v>
      </c>
      <c r="AB27" s="59" t="str">
        <f t="shared" si="2"/>
        <v>Cumple</v>
      </c>
      <c r="AL27" t="s">
        <v>60</v>
      </c>
      <c r="AM27" t="s">
        <v>60</v>
      </c>
    </row>
    <row r="28" spans="2:39" ht="15" customHeight="1">
      <c r="B28" s="74">
        <v>45806</v>
      </c>
      <c r="C28" s="60">
        <v>0.66666666666666696</v>
      </c>
      <c r="D28" s="88">
        <v>17.958333333333332</v>
      </c>
      <c r="E28" s="61">
        <v>67.138333333333335</v>
      </c>
      <c r="F28" s="61">
        <v>568.02166666666665</v>
      </c>
      <c r="G28" s="61">
        <v>90</v>
      </c>
      <c r="H28" s="61">
        <v>4.3816666666666668</v>
      </c>
      <c r="I28" s="95">
        <v>250.16333333333333</v>
      </c>
      <c r="J28" s="61"/>
      <c r="K28" s="94">
        <v>0</v>
      </c>
      <c r="L28" s="86">
        <v>18.333333333333332</v>
      </c>
      <c r="M28" s="61">
        <v>65.183333333333337</v>
      </c>
      <c r="N28" s="61">
        <v>567.51666666666677</v>
      </c>
      <c r="O28" s="61">
        <v>67.5</v>
      </c>
      <c r="P28" s="61">
        <v>4.0666666666666673</v>
      </c>
      <c r="Q28" s="95">
        <v>198.98333333333332</v>
      </c>
      <c r="R28" s="61"/>
      <c r="S28" s="94">
        <v>0</v>
      </c>
      <c r="T28" s="88">
        <f t="shared" si="0"/>
        <v>0.375</v>
      </c>
      <c r="U28" s="61">
        <f t="shared" si="0"/>
        <v>1.9549999999999983</v>
      </c>
      <c r="V28" s="61">
        <f t="shared" si="0"/>
        <v>0.50499999999988177</v>
      </c>
      <c r="W28" s="61">
        <f t="shared" si="0"/>
        <v>22.5</v>
      </c>
      <c r="X28" s="61">
        <f t="shared" si="0"/>
        <v>0.3149999999999995</v>
      </c>
      <c r="Y28" s="61">
        <f t="shared" si="0"/>
        <v>51.180000000000007</v>
      </c>
      <c r="Z28" s="61">
        <f t="shared" si="0"/>
        <v>0</v>
      </c>
      <c r="AA28" s="87">
        <f t="shared" si="1"/>
        <v>0</v>
      </c>
      <c r="AB28" s="59" t="str">
        <f t="shared" si="2"/>
        <v>Cumple</v>
      </c>
      <c r="AL28" t="s">
        <v>62</v>
      </c>
      <c r="AM28" t="s">
        <v>63</v>
      </c>
    </row>
    <row r="29" spans="2:39" ht="15" customHeight="1">
      <c r="B29" s="74">
        <v>45806</v>
      </c>
      <c r="C29" s="60">
        <v>0.70833333333333304</v>
      </c>
      <c r="D29" s="88">
        <v>17.794999999999998</v>
      </c>
      <c r="E29" s="61">
        <v>65.63000000000001</v>
      </c>
      <c r="F29" s="61">
        <v>568.38</v>
      </c>
      <c r="G29" s="61">
        <v>135</v>
      </c>
      <c r="H29" s="61">
        <v>4.0166666666666666</v>
      </c>
      <c r="I29" s="95">
        <v>103.35000000000001</v>
      </c>
      <c r="J29" s="61"/>
      <c r="K29" s="94">
        <v>0.2</v>
      </c>
      <c r="L29" s="86">
        <v>18.166666666666668</v>
      </c>
      <c r="M29" s="61">
        <v>63.716666666666661</v>
      </c>
      <c r="N29" s="61">
        <v>567.86666666666667</v>
      </c>
      <c r="O29" s="61">
        <v>135</v>
      </c>
      <c r="P29" s="61">
        <v>3.6833333333333336</v>
      </c>
      <c r="Q29" s="95">
        <v>61.833333333333336</v>
      </c>
      <c r="R29" s="61"/>
      <c r="S29" s="94">
        <v>0.2</v>
      </c>
      <c r="T29" s="88">
        <f t="shared" si="0"/>
        <v>0.3716666666666697</v>
      </c>
      <c r="U29" s="61">
        <f t="shared" si="0"/>
        <v>1.9133333333333482</v>
      </c>
      <c r="V29" s="61">
        <f t="shared" si="0"/>
        <v>0.51333333333332121</v>
      </c>
      <c r="W29" s="61">
        <f t="shared" si="0"/>
        <v>0</v>
      </c>
      <c r="X29" s="61">
        <f t="shared" si="0"/>
        <v>0.33333333333333304</v>
      </c>
      <c r="Y29" s="61">
        <f t="shared" si="0"/>
        <v>41.516666666666673</v>
      </c>
      <c r="Z29" s="61">
        <f t="shared" si="0"/>
        <v>0</v>
      </c>
      <c r="AA29" s="87">
        <f t="shared" si="1"/>
        <v>0</v>
      </c>
      <c r="AB29" s="59" t="str">
        <f t="shared" si="2"/>
        <v>Cumple</v>
      </c>
      <c r="AL29" t="s">
        <v>64</v>
      </c>
      <c r="AM29" t="s">
        <v>64</v>
      </c>
    </row>
    <row r="30" spans="2:39" ht="15" customHeight="1">
      <c r="B30" s="74">
        <v>45806</v>
      </c>
      <c r="C30" s="60">
        <v>0.75</v>
      </c>
      <c r="D30" s="88">
        <v>16.873333333333331</v>
      </c>
      <c r="E30" s="61">
        <v>69.15666666666668</v>
      </c>
      <c r="F30" s="61">
        <v>568.74833333333333</v>
      </c>
      <c r="G30" s="61">
        <v>135</v>
      </c>
      <c r="H30" s="61">
        <v>3.7050000000000005</v>
      </c>
      <c r="I30" s="95">
        <v>10.685</v>
      </c>
      <c r="J30" s="61"/>
      <c r="K30" s="94">
        <v>0</v>
      </c>
      <c r="L30" s="86">
        <v>17.216666666666669</v>
      </c>
      <c r="M30" s="61">
        <v>67.13333333333334</v>
      </c>
      <c r="N30" s="61">
        <v>568.43333333333328</v>
      </c>
      <c r="O30" s="61">
        <v>112.5</v>
      </c>
      <c r="P30" s="61">
        <v>3.0500000000000003</v>
      </c>
      <c r="Q30" s="95">
        <v>2.0166666666666666</v>
      </c>
      <c r="R30" s="61"/>
      <c r="S30" s="94">
        <v>0</v>
      </c>
      <c r="T30" s="88">
        <f t="shared" si="0"/>
        <v>0.34333333333333727</v>
      </c>
      <c r="U30" s="61">
        <f t="shared" si="0"/>
        <v>2.0233333333333405</v>
      </c>
      <c r="V30" s="61">
        <f t="shared" si="0"/>
        <v>0.31500000000005457</v>
      </c>
      <c r="W30" s="61">
        <f t="shared" si="0"/>
        <v>22.5</v>
      </c>
      <c r="X30" s="61">
        <f t="shared" si="0"/>
        <v>0.65500000000000025</v>
      </c>
      <c r="Y30" s="61">
        <f t="shared" si="0"/>
        <v>8.668333333333333</v>
      </c>
      <c r="Z30" s="61">
        <f t="shared" si="0"/>
        <v>0</v>
      </c>
      <c r="AA30" s="87">
        <f t="shared" si="1"/>
        <v>0</v>
      </c>
      <c r="AB30" s="59" t="str">
        <f t="shared" si="2"/>
        <v>Cumple</v>
      </c>
      <c r="AL30" t="s">
        <v>54</v>
      </c>
      <c r="AM30" t="s">
        <v>54</v>
      </c>
    </row>
    <row r="31" spans="2:39" ht="15" customHeight="1">
      <c r="B31" s="74">
        <v>45806</v>
      </c>
      <c r="C31" s="60">
        <v>0.79166666666666696</v>
      </c>
      <c r="D31" s="88">
        <v>16.306666666666665</v>
      </c>
      <c r="E31" s="61">
        <v>72.348333333333329</v>
      </c>
      <c r="F31" s="61">
        <v>569.64</v>
      </c>
      <c r="G31" s="61">
        <v>135</v>
      </c>
      <c r="H31" s="61">
        <v>3.8916666666666671</v>
      </c>
      <c r="I31" s="95">
        <v>0</v>
      </c>
      <c r="J31" s="61"/>
      <c r="K31" s="94">
        <v>0</v>
      </c>
      <c r="L31" s="86">
        <v>16.633333333333333</v>
      </c>
      <c r="M31" s="61">
        <v>70.233333333333334</v>
      </c>
      <c r="N31" s="61">
        <v>568.9666666666667</v>
      </c>
      <c r="O31" s="61">
        <v>135</v>
      </c>
      <c r="P31" s="61">
        <v>3.2333333333333338</v>
      </c>
      <c r="Q31" s="95">
        <v>0</v>
      </c>
      <c r="R31" s="61"/>
      <c r="S31" s="94">
        <v>0</v>
      </c>
      <c r="T31" s="88">
        <f t="shared" si="0"/>
        <v>0.32666666666666799</v>
      </c>
      <c r="U31" s="61">
        <f t="shared" si="0"/>
        <v>2.1149999999999949</v>
      </c>
      <c r="V31" s="61">
        <f t="shared" si="0"/>
        <v>0.67333333333328937</v>
      </c>
      <c r="W31" s="61">
        <f t="shared" si="0"/>
        <v>0</v>
      </c>
      <c r="X31" s="61">
        <f t="shared" si="0"/>
        <v>0.65833333333333321</v>
      </c>
      <c r="Y31" s="61">
        <f t="shared" si="0"/>
        <v>0</v>
      </c>
      <c r="Z31" s="61">
        <f t="shared" si="0"/>
        <v>0</v>
      </c>
      <c r="AA31" s="87">
        <f t="shared" si="1"/>
        <v>0</v>
      </c>
      <c r="AB31" s="59" t="str">
        <f t="shared" si="2"/>
        <v>Cumple</v>
      </c>
      <c r="AL31" t="s">
        <v>65</v>
      </c>
      <c r="AM31" t="s">
        <v>65</v>
      </c>
    </row>
    <row r="32" spans="2:39" ht="15" customHeight="1">
      <c r="B32" s="74">
        <v>45806</v>
      </c>
      <c r="C32" s="60">
        <v>0.83333333333333304</v>
      </c>
      <c r="D32" s="88">
        <v>15.005000000000001</v>
      </c>
      <c r="E32" s="61">
        <v>79.918333333333337</v>
      </c>
      <c r="F32" s="61">
        <v>569.87666666666667</v>
      </c>
      <c r="G32" s="61">
        <v>90</v>
      </c>
      <c r="H32" s="61">
        <v>2.6199999999999997</v>
      </c>
      <c r="I32" s="95">
        <v>0</v>
      </c>
      <c r="J32" s="61"/>
      <c r="K32" s="94">
        <v>0</v>
      </c>
      <c r="L32" s="86">
        <v>15.316666666666668</v>
      </c>
      <c r="M32" s="61">
        <v>77.583333333333329</v>
      </c>
      <c r="N32" s="61">
        <v>569.55000000000007</v>
      </c>
      <c r="O32" s="61">
        <v>90</v>
      </c>
      <c r="P32" s="61">
        <v>2.1500000000000004</v>
      </c>
      <c r="Q32" s="95">
        <v>0</v>
      </c>
      <c r="R32" s="61"/>
      <c r="S32" s="94">
        <v>0</v>
      </c>
      <c r="T32" s="88">
        <f t="shared" si="0"/>
        <v>0.31166666666666742</v>
      </c>
      <c r="U32" s="61">
        <f t="shared" si="0"/>
        <v>2.335000000000008</v>
      </c>
      <c r="V32" s="61">
        <f t="shared" si="0"/>
        <v>0.32666666666659694</v>
      </c>
      <c r="W32" s="61">
        <f t="shared" si="0"/>
        <v>0</v>
      </c>
      <c r="X32" s="61">
        <f t="shared" si="0"/>
        <v>0.46999999999999931</v>
      </c>
      <c r="Y32" s="61">
        <f t="shared" si="0"/>
        <v>0</v>
      </c>
      <c r="Z32" s="61">
        <f t="shared" si="0"/>
        <v>0</v>
      </c>
      <c r="AA32" s="87">
        <f t="shared" si="1"/>
        <v>0</v>
      </c>
      <c r="AB32" s="59" t="str">
        <f t="shared" si="2"/>
        <v>Cumple</v>
      </c>
      <c r="AL32" t="s">
        <v>55</v>
      </c>
      <c r="AM32" t="s">
        <v>54</v>
      </c>
    </row>
    <row r="33" spans="2:39" ht="15" customHeight="1">
      <c r="B33" s="74">
        <v>45806</v>
      </c>
      <c r="C33" s="60">
        <v>0.875</v>
      </c>
      <c r="D33" s="88">
        <v>14.065</v>
      </c>
      <c r="E33" s="61">
        <v>84.323333333333323</v>
      </c>
      <c r="F33" s="61">
        <v>570.41999999999996</v>
      </c>
      <c r="G33" s="61">
        <v>0</v>
      </c>
      <c r="H33" s="61">
        <v>2.6566666666666667</v>
      </c>
      <c r="I33" s="95">
        <v>0</v>
      </c>
      <c r="J33" s="61"/>
      <c r="K33" s="94">
        <v>0</v>
      </c>
      <c r="L33" s="86">
        <v>14.333333333333336</v>
      </c>
      <c r="M33" s="61">
        <v>81.883333333333326</v>
      </c>
      <c r="N33" s="61">
        <v>570.08333333333337</v>
      </c>
      <c r="O33" s="61">
        <v>0</v>
      </c>
      <c r="P33" s="61">
        <v>2.1333333333333333</v>
      </c>
      <c r="Q33" s="95">
        <v>0</v>
      </c>
      <c r="R33" s="61"/>
      <c r="S33" s="94">
        <v>0</v>
      </c>
      <c r="T33" s="88">
        <f t="shared" si="0"/>
        <v>0.2683333333333362</v>
      </c>
      <c r="U33" s="61">
        <f t="shared" si="0"/>
        <v>2.4399999999999977</v>
      </c>
      <c r="V33" s="61">
        <f t="shared" si="0"/>
        <v>0.33666666666658784</v>
      </c>
      <c r="W33" s="61">
        <f t="shared" si="0"/>
        <v>0</v>
      </c>
      <c r="X33" s="61">
        <f t="shared" si="0"/>
        <v>0.52333333333333343</v>
      </c>
      <c r="Y33" s="61">
        <f t="shared" si="0"/>
        <v>0</v>
      </c>
      <c r="Z33" s="61">
        <f t="shared" si="0"/>
        <v>0</v>
      </c>
      <c r="AA33" s="87">
        <f t="shared" si="1"/>
        <v>0</v>
      </c>
      <c r="AB33" s="59" t="str">
        <f t="shared" si="2"/>
        <v>Cumple</v>
      </c>
      <c r="AL33" t="s">
        <v>55</v>
      </c>
      <c r="AM33" t="s">
        <v>55</v>
      </c>
    </row>
    <row r="34" spans="2:39" ht="15" customHeight="1">
      <c r="B34" s="74">
        <v>45806</v>
      </c>
      <c r="C34" s="60">
        <v>0.91666666666666696</v>
      </c>
      <c r="D34" s="88">
        <v>14.510000000000003</v>
      </c>
      <c r="E34" s="61">
        <v>82.723333333333343</v>
      </c>
      <c r="F34" s="61">
        <v>570.67166666666674</v>
      </c>
      <c r="G34" s="61">
        <v>90</v>
      </c>
      <c r="H34" s="61">
        <v>2.2533333333333334</v>
      </c>
      <c r="I34" s="95">
        <v>0</v>
      </c>
      <c r="J34" s="61"/>
      <c r="K34" s="94">
        <v>0</v>
      </c>
      <c r="L34" s="86">
        <v>14.833333333333334</v>
      </c>
      <c r="M34" s="61">
        <v>80.316666666666663</v>
      </c>
      <c r="N34" s="61">
        <v>570.35</v>
      </c>
      <c r="O34" s="61">
        <v>67.5</v>
      </c>
      <c r="P34" s="61">
        <v>2.0833333333333335</v>
      </c>
      <c r="Q34" s="95">
        <v>0</v>
      </c>
      <c r="R34" s="61"/>
      <c r="S34" s="94">
        <v>0</v>
      </c>
      <c r="T34" s="88">
        <f t="shared" si="0"/>
        <v>0.32333333333333059</v>
      </c>
      <c r="U34" s="61">
        <f t="shared" si="0"/>
        <v>2.4066666666666805</v>
      </c>
      <c r="V34" s="61">
        <f t="shared" si="0"/>
        <v>0.32166666666671517</v>
      </c>
      <c r="W34" s="61">
        <f t="shared" si="0"/>
        <v>22.5</v>
      </c>
      <c r="X34" s="61">
        <f t="shared" si="0"/>
        <v>0.16999999999999993</v>
      </c>
      <c r="Y34" s="61">
        <f t="shared" si="0"/>
        <v>0</v>
      </c>
      <c r="Z34" s="61">
        <f t="shared" si="0"/>
        <v>0</v>
      </c>
      <c r="AA34" s="87">
        <f t="shared" si="1"/>
        <v>0</v>
      </c>
      <c r="AB34" s="59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74">
        <v>45806</v>
      </c>
      <c r="C35" s="60">
        <v>0.95833333333333304</v>
      </c>
      <c r="D35" s="92">
        <v>14.596666666666666</v>
      </c>
      <c r="E35" s="90">
        <v>81.594999999999999</v>
      </c>
      <c r="F35" s="90">
        <v>570.75333333333333</v>
      </c>
      <c r="G35" s="90">
        <v>112.5</v>
      </c>
      <c r="H35" s="90">
        <v>2.3650000000000002</v>
      </c>
      <c r="I35" s="96">
        <v>0</v>
      </c>
      <c r="J35" s="90"/>
      <c r="K35" s="97">
        <v>0</v>
      </c>
      <c r="L35" s="89">
        <v>14.9</v>
      </c>
      <c r="M35" s="90">
        <v>79.216666666666654</v>
      </c>
      <c r="N35" s="90">
        <v>570.08333333333337</v>
      </c>
      <c r="O35" s="90">
        <v>90</v>
      </c>
      <c r="P35" s="90">
        <v>2.1999999999999997</v>
      </c>
      <c r="Q35" s="96">
        <v>0</v>
      </c>
      <c r="R35" s="90"/>
      <c r="S35" s="97">
        <v>0</v>
      </c>
      <c r="T35" s="92">
        <f t="shared" si="0"/>
        <v>0.30333333333333456</v>
      </c>
      <c r="U35" s="90">
        <f t="shared" si="0"/>
        <v>2.3783333333333445</v>
      </c>
      <c r="V35" s="90">
        <f t="shared" si="0"/>
        <v>0.66999999999995907</v>
      </c>
      <c r="W35" s="90">
        <f t="shared" si="0"/>
        <v>22.5</v>
      </c>
      <c r="X35" s="90">
        <f t="shared" si="0"/>
        <v>0.16500000000000048</v>
      </c>
      <c r="Y35" s="90">
        <f t="shared" si="0"/>
        <v>0</v>
      </c>
      <c r="Z35" s="90">
        <f t="shared" si="0"/>
        <v>0</v>
      </c>
      <c r="AA35" s="87">
        <f t="shared" si="1"/>
        <v>0</v>
      </c>
      <c r="AB35" s="62" t="str">
        <f t="shared" si="2"/>
        <v>Cumple</v>
      </c>
      <c r="AL35" t="s">
        <v>55</v>
      </c>
      <c r="AM35" t="s">
        <v>55</v>
      </c>
    </row>
    <row r="36" spans="2:39" ht="33" customHeight="1">
      <c r="B36" s="98" t="s">
        <v>42</v>
      </c>
      <c r="C36" s="99"/>
      <c r="D36" s="100">
        <v>45811</v>
      </c>
      <c r="E36" s="101"/>
      <c r="F36" s="101"/>
      <c r="G36" s="101"/>
      <c r="H36" s="101"/>
      <c r="I36" s="102"/>
      <c r="J36" s="103" t="s">
        <v>43</v>
      </c>
      <c r="K36" s="103"/>
      <c r="L36" s="103"/>
      <c r="M36" s="103"/>
      <c r="N36" s="103"/>
      <c r="O36" s="103"/>
      <c r="P36" s="104"/>
      <c r="Q36" s="105" t="s">
        <v>75</v>
      </c>
      <c r="R36" s="106"/>
      <c r="S36" s="106"/>
      <c r="T36" s="107"/>
      <c r="U36" s="107"/>
      <c r="V36" s="107"/>
      <c r="W36" s="107"/>
      <c r="X36" s="107"/>
      <c r="Y36" s="107"/>
      <c r="Z36" s="107"/>
      <c r="AA36" s="107"/>
      <c r="AB36" s="108"/>
    </row>
    <row r="37" spans="2:39" ht="33" customHeight="1">
      <c r="B37" s="109" t="s">
        <v>45</v>
      </c>
      <c r="C37" s="110"/>
      <c r="D37" s="111" t="s">
        <v>46</v>
      </c>
      <c r="E37" s="112"/>
      <c r="F37" s="112"/>
      <c r="G37" s="112"/>
      <c r="H37" s="112"/>
      <c r="I37" s="113"/>
      <c r="J37" s="114" t="s">
        <v>47</v>
      </c>
      <c r="K37" s="115"/>
      <c r="L37" s="115"/>
      <c r="M37" s="115"/>
      <c r="N37" s="115"/>
      <c r="O37" s="115"/>
      <c r="P37" s="115"/>
      <c r="Q37" s="118" t="s">
        <v>48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20"/>
    </row>
    <row r="38" spans="2:39" ht="33" customHeight="1" thickBot="1">
      <c r="B38" s="124" t="s">
        <v>49</v>
      </c>
      <c r="C38" s="125"/>
      <c r="D38" s="126" t="s">
        <v>50</v>
      </c>
      <c r="E38" s="127"/>
      <c r="F38" s="127"/>
      <c r="G38" s="127"/>
      <c r="H38" s="127"/>
      <c r="I38" s="128"/>
      <c r="J38" s="116"/>
      <c r="K38" s="117"/>
      <c r="L38" s="117"/>
      <c r="M38" s="117"/>
      <c r="N38" s="117"/>
      <c r="O38" s="117"/>
      <c r="P38" s="117"/>
      <c r="Q38" s="121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3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G12:G24">
    <cfRule type="cellIs" dxfId="19" priority="2" operator="equal">
      <formula>FALSE</formula>
    </cfRule>
  </conditionalFormatting>
  <conditionalFormatting sqref="T12:T35">
    <cfRule type="cellIs" dxfId="18" priority="19" operator="greaterThan">
      <formula>0.5</formula>
    </cfRule>
    <cfRule type="cellIs" dxfId="17" priority="20" operator="lessThanOrEqual">
      <formula>0.5</formula>
    </cfRule>
  </conditionalFormatting>
  <conditionalFormatting sqref="U12:U35">
    <cfRule type="cellIs" dxfId="16" priority="17" operator="greaterThan">
      <formula>5</formula>
    </cfRule>
    <cfRule type="cellIs" dxfId="15" priority="18" operator="lessThanOrEqual">
      <formula>5</formula>
    </cfRule>
  </conditionalFormatting>
  <conditionalFormatting sqref="V12:V35">
    <cfRule type="cellIs" dxfId="14" priority="15" operator="greaterThan">
      <formula>1</formula>
    </cfRule>
    <cfRule type="cellIs" dxfId="13" priority="16" operator="lessThanOrEqual">
      <formula>1</formula>
    </cfRule>
  </conditionalFormatting>
  <conditionalFormatting sqref="W12:W35">
    <cfRule type="cellIs" dxfId="12" priority="13" operator="greaterThan">
      <formula>22.5</formula>
    </cfRule>
    <cfRule type="cellIs" dxfId="11" priority="14" operator="lessThanOrEqual">
      <formula>22.5</formula>
    </cfRule>
  </conditionalFormatting>
  <conditionalFormatting sqref="X12:X35">
    <cfRule type="cellIs" dxfId="10" priority="7" operator="lessThanOrEqual">
      <formula>1</formula>
    </cfRule>
    <cfRule type="cellIs" dxfId="9" priority="8" operator="greaterThan">
      <formula>1</formula>
    </cfRule>
  </conditionalFormatting>
  <conditionalFormatting sqref="Y12:Y35">
    <cfRule type="cellIs" dxfId="8" priority="5" operator="lessThanOrEqual">
      <formula>90</formula>
    </cfRule>
    <cfRule type="cellIs" dxfId="7" priority="6" operator="greaterThan">
      <formula>90</formula>
    </cfRule>
  </conditionalFormatting>
  <conditionalFormatting sqref="Z12:Z35">
    <cfRule type="cellIs" dxfId="6" priority="11" operator="greaterThan">
      <formula>0.8</formula>
    </cfRule>
    <cfRule type="cellIs" dxfId="5" priority="12" operator="lessThanOrEqual">
      <formula>0.8</formula>
    </cfRule>
  </conditionalFormatting>
  <conditionalFormatting sqref="AA12:AA35">
    <cfRule type="expression" dxfId="4" priority="1">
      <formula>OR(AND(K12=0, S12=0), AND(K12&lt;&gt;0, ABS(S12-K12)/K12 &lt;= 0.05))</formula>
    </cfRule>
    <cfRule type="cellIs" dxfId="3" priority="9" operator="equal">
      <formula>0</formula>
    </cfRule>
    <cfRule type="expression" dxfId="2" priority="10">
      <formula>AND(K12&lt;&gt;0, S, ABS(S12-K12)/K12 &gt; 0.05)</formula>
    </cfRule>
  </conditionalFormatting>
  <conditionalFormatting sqref="AK11">
    <cfRule type="cellIs" dxfId="1" priority="3" operator="lessThan">
      <formula>0.05</formula>
    </cfRule>
    <cfRule type="cellIs" dxfId="0" priority="4" operator="greater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AAF9-1166-4D78-B086-BD7B75602E49}">
  <dimension ref="A2:C9"/>
  <sheetViews>
    <sheetView workbookViewId="0">
      <selection activeCell="E27" sqref="E27"/>
    </sheetView>
  </sheetViews>
  <sheetFormatPr baseColWidth="10" defaultColWidth="11.42578125" defaultRowHeight="14.25"/>
  <cols>
    <col min="1" max="2" width="15" style="77" customWidth="1"/>
    <col min="3" max="3" width="78.28515625" style="77" customWidth="1"/>
    <col min="4" max="16384" width="11.42578125" style="77"/>
  </cols>
  <sheetData>
    <row r="2" spans="1:3" ht="15">
      <c r="A2" s="76" t="s">
        <v>68</v>
      </c>
    </row>
    <row r="4" spans="1:3" ht="15">
      <c r="A4" s="78" t="s">
        <v>69</v>
      </c>
      <c r="B4" s="78" t="s">
        <v>70</v>
      </c>
      <c r="C4" s="78" t="s">
        <v>71</v>
      </c>
    </row>
    <row r="5" spans="1:3">
      <c r="A5" s="79">
        <v>44269</v>
      </c>
      <c r="B5" s="80">
        <v>1</v>
      </c>
      <c r="C5" s="81" t="s">
        <v>72</v>
      </c>
    </row>
    <row r="6" spans="1:3">
      <c r="A6" s="79">
        <v>44791</v>
      </c>
      <c r="B6" s="80">
        <v>2</v>
      </c>
      <c r="C6" s="81" t="s">
        <v>73</v>
      </c>
    </row>
    <row r="7" spans="1:3">
      <c r="A7" s="79">
        <v>45447</v>
      </c>
      <c r="B7" s="80">
        <v>3</v>
      </c>
      <c r="C7" s="81" t="s">
        <v>74</v>
      </c>
    </row>
    <row r="8" spans="1:3">
      <c r="A8" s="79"/>
      <c r="B8" s="80"/>
      <c r="C8" s="81"/>
    </row>
    <row r="9" spans="1:3">
      <c r="A9" s="79"/>
      <c r="B9" s="80"/>
      <c r="C9" s="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8B4E8897D55449C80A22DA0695850" ma:contentTypeVersion="3" ma:contentTypeDescription="Crear nuevo documento." ma:contentTypeScope="" ma:versionID="421ced67a557eaa3f2747eba89a54094">
  <xsd:schema xmlns:xsd="http://www.w3.org/2001/XMLSchema" xmlns:xs="http://www.w3.org/2001/XMLSchema" xmlns:p="http://schemas.microsoft.com/office/2006/metadata/properties" xmlns:ns2="cfad4e1c-eea5-4e91-ae8f-5369871007fb" targetNamespace="http://schemas.microsoft.com/office/2006/metadata/properties" ma:root="true" ma:fieldsID="29ca33375982a7711d712b1ebb334325" ns2:_="">
    <xsd:import namespace="cfad4e1c-eea5-4e91-ae8f-536987100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d4e1c-eea5-4e91-ae8f-536987100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E75A-019E-4E91-94E2-0A01373CA3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8D37E5-7DC4-4D19-9D10-F7A66B2B9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1EA0A-A19F-4A7B-BC82-8FD78E0D2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ad4e1c-eea5-4e91-ae8f-536987100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Fechas </vt:lpstr>
      <vt:lpstr>230303</vt:lpstr>
      <vt:lpstr>230903</vt:lpstr>
      <vt:lpstr>23-11-24</vt:lpstr>
      <vt:lpstr>24-05-24</vt:lpstr>
      <vt:lpstr>24-11-25</vt:lpstr>
      <vt:lpstr>25-05-28</vt:lpstr>
      <vt:lpstr>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Jerson Fabian Bueno Guarin</dc:creator>
  <cp:keywords/>
  <dc:description/>
  <cp:lastModifiedBy>Holman Leonardo Perez Diaz</cp:lastModifiedBy>
  <cp:revision/>
  <dcterms:created xsi:type="dcterms:W3CDTF">2025-10-10T13:20:27Z</dcterms:created>
  <dcterms:modified xsi:type="dcterms:W3CDTF">2026-02-12T14:28:20Z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0x0101005078B4E8897D55449C80A22DA0695850</vt:lpwstr>
  </property>
</Properties>
</file>