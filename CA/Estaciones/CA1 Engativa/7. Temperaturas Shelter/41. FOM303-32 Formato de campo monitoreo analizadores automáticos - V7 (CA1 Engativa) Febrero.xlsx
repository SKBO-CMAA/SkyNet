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1 Engativa\7. Temperaturas Shelter\"/>
    </mc:Choice>
  </mc:AlternateContent>
  <xr:revisionPtr revIDLastSave="0" documentId="13_ncr:1_{753F1A3C-BE3C-4D44-8416-F28CF8B74F70}" xr6:coauthVersionLast="47" xr6:coauthVersionMax="47" xr10:uidLastSave="{00000000-0000-0000-0000-000000000000}"/>
  <bookViews>
    <workbookView xWindow="-120" yWindow="-120" windowWidth="20730" windowHeight="11040" firstSheet="23" activeTab="30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E41" i="1" l="1"/>
  <c r="B12" i="34" s="1"/>
  <c r="E12" i="34" a="1"/>
  <c r="E12" i="34" s="1"/>
  <c r="E11" i="34" a="1"/>
  <c r="E11" i="34" s="1"/>
  <c r="E10" i="34" a="1"/>
  <c r="E10" i="34" s="1"/>
  <c r="E8" i="34" a="1"/>
  <c r="E8" i="34" s="1"/>
  <c r="E7" i="34" a="1"/>
  <c r="E7" i="34" s="1"/>
  <c r="B10" i="34" a="1"/>
  <c r="B10" i="34" s="1"/>
  <c r="B8" i="34" a="1"/>
  <c r="B8" i="34" s="1"/>
  <c r="E12" i="33" a="1"/>
  <c r="E12" i="33" s="1"/>
  <c r="E11" i="33" a="1"/>
  <c r="E11" i="33" s="1"/>
  <c r="E10" i="33" a="1"/>
  <c r="E10" i="33" s="1"/>
  <c r="E8" i="33" a="1"/>
  <c r="E8" i="33" s="1"/>
  <c r="E7" i="33" a="1"/>
  <c r="E7" i="33" s="1"/>
  <c r="E12" i="32" a="1"/>
  <c r="E12" i="32" s="1"/>
  <c r="E11" i="32" a="1"/>
  <c r="E11" i="32" s="1"/>
  <c r="E10" i="32" a="1"/>
  <c r="E10" i="32" s="1"/>
  <c r="E8" i="32" a="1"/>
  <c r="E8" i="32" s="1"/>
  <c r="E7" i="32" a="1"/>
  <c r="E7" i="32" s="1"/>
  <c r="E12" i="31" a="1"/>
  <c r="E12" i="31" s="1"/>
  <c r="E11" i="31" a="1"/>
  <c r="E11" i="31" s="1"/>
  <c r="E10" i="31" a="1"/>
  <c r="E10" i="31" s="1"/>
  <c r="E8" i="31" a="1"/>
  <c r="E8" i="31" s="1"/>
  <c r="E7" i="31" a="1"/>
  <c r="E7" i="31" s="1"/>
  <c r="E12" i="30" a="1"/>
  <c r="E12" i="30" s="1"/>
  <c r="E11" i="30" a="1"/>
  <c r="E11" i="30" s="1"/>
  <c r="E10" i="30" a="1"/>
  <c r="E10" i="30" s="1"/>
  <c r="E8" i="30" a="1"/>
  <c r="E8" i="30" s="1"/>
  <c r="E7" i="30" a="1"/>
  <c r="E7" i="30" s="1"/>
  <c r="E12" i="29" a="1"/>
  <c r="E12" i="29" s="1"/>
  <c r="E11" i="29" a="1"/>
  <c r="E11" i="29" s="1"/>
  <c r="E10" i="29" a="1"/>
  <c r="E10" i="29" s="1"/>
  <c r="E8" i="29" a="1"/>
  <c r="E8" i="29" s="1"/>
  <c r="E7" i="29" a="1"/>
  <c r="E7" i="29" s="1"/>
  <c r="E12" i="28" a="1"/>
  <c r="E12" i="28" s="1"/>
  <c r="E11" i="28" a="1"/>
  <c r="E11" i="28" s="1"/>
  <c r="E10" i="28" a="1"/>
  <c r="E10" i="28" s="1"/>
  <c r="E8" i="28" a="1"/>
  <c r="E8" i="28" s="1"/>
  <c r="E7" i="28" a="1"/>
  <c r="E7" i="28" s="1"/>
  <c r="E12" i="27" a="1"/>
  <c r="E12" i="27" s="1"/>
  <c r="E11" i="27" a="1"/>
  <c r="E11" i="27" s="1"/>
  <c r="E10" i="27" a="1"/>
  <c r="E10" i="27" s="1"/>
  <c r="E8" i="27" a="1"/>
  <c r="E8" i="27" s="1"/>
  <c r="E7" i="27" a="1"/>
  <c r="E7" i="27" s="1"/>
  <c r="E12" i="26" a="1"/>
  <c r="E12" i="26" s="1"/>
  <c r="E11" i="26" a="1"/>
  <c r="E11" i="26" s="1"/>
  <c r="E10" i="26" a="1"/>
  <c r="E10" i="26" s="1"/>
  <c r="E8" i="26" a="1"/>
  <c r="E8" i="26" s="1"/>
  <c r="E7" i="26" a="1"/>
  <c r="E7" i="26" s="1"/>
  <c r="E12" i="25" a="1"/>
  <c r="E12" i="25" s="1"/>
  <c r="E11" i="25"/>
  <c r="E11" i="25" a="1"/>
  <c r="E10" i="25" a="1"/>
  <c r="E10" i="25" s="1"/>
  <c r="E8" i="25" a="1"/>
  <c r="E8" i="25" s="1"/>
  <c r="E7" i="25" a="1"/>
  <c r="E7" i="25" s="1"/>
  <c r="E12" i="24" a="1"/>
  <c r="E12" i="24" s="1"/>
  <c r="E11" i="24" a="1"/>
  <c r="E11" i="24" s="1"/>
  <c r="E10" i="24" a="1"/>
  <c r="E10" i="24" s="1"/>
  <c r="E8" i="24" a="1"/>
  <c r="E8" i="24" s="1"/>
  <c r="E7" i="24" a="1"/>
  <c r="E7" i="24" s="1"/>
  <c r="E12" i="23" a="1"/>
  <c r="E12" i="23" s="1"/>
  <c r="E11" i="23" a="1"/>
  <c r="E11" i="23" s="1"/>
  <c r="E10" i="23" a="1"/>
  <c r="E10" i="23" s="1"/>
  <c r="E8" i="23" a="1"/>
  <c r="E8" i="23" s="1"/>
  <c r="E7" i="23" a="1"/>
  <c r="E7" i="23" s="1"/>
  <c r="E12" i="22"/>
  <c r="E12" i="22" a="1"/>
  <c r="E11" i="22" a="1"/>
  <c r="E11" i="22" s="1"/>
  <c r="E10" i="22" a="1"/>
  <c r="E10" i="22" s="1"/>
  <c r="E8" i="22" a="1"/>
  <c r="E8" i="22" s="1"/>
  <c r="E7" i="22" a="1"/>
  <c r="E7" i="22" s="1"/>
  <c r="E12" i="21" a="1"/>
  <c r="E12" i="21" s="1"/>
  <c r="E11" i="21" a="1"/>
  <c r="E11" i="21" s="1"/>
  <c r="E10" i="21" a="1"/>
  <c r="E10" i="21" s="1"/>
  <c r="E8" i="21" a="1"/>
  <c r="E8" i="21" s="1"/>
  <c r="E7" i="21" a="1"/>
  <c r="E7" i="21" s="1"/>
  <c r="E12" i="20" a="1"/>
  <c r="E12" i="20" s="1"/>
  <c r="E11" i="20" a="1"/>
  <c r="E11" i="20" s="1"/>
  <c r="E10" i="20" a="1"/>
  <c r="E10" i="20" s="1"/>
  <c r="E8" i="20" a="1"/>
  <c r="E8" i="20" s="1"/>
  <c r="E7" i="20" a="1"/>
  <c r="E7" i="20" s="1"/>
  <c r="B10" i="33" a="1"/>
  <c r="B10" i="33" s="1"/>
  <c r="B8" i="33" a="1"/>
  <c r="B8" i="33" s="1"/>
  <c r="B10" i="32" a="1"/>
  <c r="B10" i="32" s="1"/>
  <c r="B8" i="32" a="1"/>
  <c r="B8" i="32" s="1"/>
  <c r="B10" i="31" a="1"/>
  <c r="B10" i="31" s="1"/>
  <c r="B8" i="31" a="1"/>
  <c r="B8" i="31" s="1"/>
  <c r="B10" i="30" a="1"/>
  <c r="B10" i="30" s="1"/>
  <c r="B8" i="30" a="1"/>
  <c r="B8" i="30" s="1"/>
  <c r="B10" i="29" a="1"/>
  <c r="B10" i="29" s="1"/>
  <c r="B8" i="29" a="1"/>
  <c r="B8" i="29" s="1"/>
  <c r="B10" i="28" a="1"/>
  <c r="B10" i="28" s="1"/>
  <c r="B8" i="28" a="1"/>
  <c r="B8" i="28" s="1"/>
  <c r="B10" i="27" a="1"/>
  <c r="B10" i="27" s="1"/>
  <c r="B8" i="27" a="1"/>
  <c r="B8" i="27" s="1"/>
  <c r="B10" i="26" a="1"/>
  <c r="B10" i="26" s="1"/>
  <c r="B8" i="26" a="1"/>
  <c r="B8" i="26" s="1"/>
  <c r="B10" i="25" a="1"/>
  <c r="B10" i="25" s="1"/>
  <c r="B8" i="25" a="1"/>
  <c r="B8" i="25" s="1"/>
  <c r="B10" i="24" a="1"/>
  <c r="B10" i="24" s="1"/>
  <c r="B8" i="24" a="1"/>
  <c r="B8" i="24" s="1"/>
  <c r="B10" i="23" a="1"/>
  <c r="B10" i="23" s="1"/>
  <c r="B8" i="23" a="1"/>
  <c r="B8" i="23" s="1"/>
  <c r="B10" i="22" a="1"/>
  <c r="B10" i="22" s="1"/>
  <c r="B8" i="22" a="1"/>
  <c r="B8" i="22" s="1"/>
  <c r="B10" i="21" a="1"/>
  <c r="B10" i="21" s="1"/>
  <c r="B8" i="21" a="1"/>
  <c r="B8" i="21" s="1"/>
  <c r="B10" i="20" a="1"/>
  <c r="B10" i="20" s="1"/>
  <c r="B8" i="20" a="1"/>
  <c r="B8" i="20" s="1"/>
  <c r="E8" i="19" a="1"/>
  <c r="E8" i="19" s="1"/>
  <c r="E10" i="19" a="1"/>
  <c r="E10" i="19" s="1"/>
  <c r="E11" i="19" a="1"/>
  <c r="E11" i="19" s="1"/>
  <c r="E12" i="19" a="1"/>
  <c r="E12" i="19" s="1"/>
  <c r="E7" i="19" a="1"/>
  <c r="E7" i="19" s="1"/>
  <c r="B8" i="19" a="1"/>
  <c r="B8" i="19" s="1"/>
  <c r="B10" i="19" a="1"/>
  <c r="B10" i="19" s="1"/>
  <c r="E8" i="18" a="1"/>
  <c r="E8" i="18" s="1"/>
  <c r="E10" i="18" a="1"/>
  <c r="E10" i="18" s="1"/>
  <c r="E11" i="18" a="1"/>
  <c r="E11" i="18" s="1"/>
  <c r="E12" i="18" a="1"/>
  <c r="E12" i="18" s="1"/>
  <c r="E7" i="18" a="1"/>
  <c r="E7" i="18" s="1"/>
  <c r="B8" i="18" a="1"/>
  <c r="B8" i="18" s="1"/>
  <c r="B10" i="18" a="1"/>
  <c r="B10" i="18" s="1"/>
  <c r="E8" i="17" a="1"/>
  <c r="E8" i="17" s="1"/>
  <c r="E10" i="17" a="1"/>
  <c r="E10" i="17"/>
  <c r="E11" i="17" a="1"/>
  <c r="E11" i="17" s="1"/>
  <c r="E12" i="17" a="1"/>
  <c r="E12" i="17" s="1"/>
  <c r="E7" i="17" a="1"/>
  <c r="E7" i="17" s="1"/>
  <c r="B8" i="17" a="1"/>
  <c r="B8" i="17"/>
  <c r="B10" i="17" a="1"/>
  <c r="B10" i="17" s="1"/>
  <c r="E8" i="16" a="1"/>
  <c r="E8" i="16" s="1"/>
  <c r="E10" i="16" a="1"/>
  <c r="E10" i="16" s="1"/>
  <c r="E11" i="16" a="1"/>
  <c r="E11" i="16"/>
  <c r="E12" i="16" a="1"/>
  <c r="E12" i="16" s="1"/>
  <c r="E7" i="16" a="1"/>
  <c r="E7" i="16" s="1"/>
  <c r="B8" i="16" a="1"/>
  <c r="B8" i="16" s="1"/>
  <c r="B10" i="16" a="1"/>
  <c r="B10" i="16" s="1"/>
  <c r="E8" i="15" a="1"/>
  <c r="E8" i="15" s="1"/>
  <c r="E10" i="15" a="1"/>
  <c r="E10" i="15" s="1"/>
  <c r="E11" i="15" a="1"/>
  <c r="E11" i="15"/>
  <c r="E12" i="15" a="1"/>
  <c r="E12" i="15" s="1"/>
  <c r="E7" i="15" a="1"/>
  <c r="E7" i="15" s="1"/>
  <c r="B8" i="15" a="1"/>
  <c r="B8" i="15" s="1"/>
  <c r="B10" i="15" a="1"/>
  <c r="B10" i="15"/>
  <c r="E8" i="14" a="1"/>
  <c r="E8" i="14" s="1"/>
  <c r="E10" i="14" a="1"/>
  <c r="E10" i="14" s="1"/>
  <c r="E11" i="14" a="1"/>
  <c r="E11" i="14" s="1"/>
  <c r="E12" i="14" a="1"/>
  <c r="E12" i="14" s="1"/>
  <c r="E7" i="14" a="1"/>
  <c r="E7" i="14" s="1"/>
  <c r="B8" i="14" a="1"/>
  <c r="B8" i="14" s="1"/>
  <c r="B10" i="14" a="1"/>
  <c r="B10" i="14"/>
  <c r="E8" i="13" a="1"/>
  <c r="E8" i="13" s="1"/>
  <c r="E10" i="13" a="1"/>
  <c r="E10" i="13" s="1"/>
  <c r="E11" i="13" a="1"/>
  <c r="E11" i="13" s="1"/>
  <c r="E12" i="13" a="1"/>
  <c r="E12" i="13" s="1"/>
  <c r="E7" i="13" a="1"/>
  <c r="E7" i="13" s="1"/>
  <c r="B8" i="13" a="1"/>
  <c r="B8" i="13" s="1"/>
  <c r="B10" i="13" a="1"/>
  <c r="B10" i="13" s="1"/>
  <c r="E8" i="12" a="1"/>
  <c r="E8" i="12" s="1"/>
  <c r="E10" i="12" a="1"/>
  <c r="E10" i="12" s="1"/>
  <c r="E11" i="12" a="1"/>
  <c r="E11" i="12" s="1"/>
  <c r="E12" i="12" a="1"/>
  <c r="E12" i="12" s="1"/>
  <c r="E7" i="12" a="1"/>
  <c r="E7" i="12" s="1"/>
  <c r="B8" i="12" a="1"/>
  <c r="B8" i="12" s="1"/>
  <c r="B10" i="12" a="1"/>
  <c r="B10" i="12" s="1"/>
  <c r="E8" i="11" a="1"/>
  <c r="E8" i="11" s="1"/>
  <c r="E10" i="11" a="1"/>
  <c r="E10" i="11"/>
  <c r="E11" i="11" a="1"/>
  <c r="E11" i="11"/>
  <c r="E12" i="11" a="1"/>
  <c r="E12" i="11" s="1"/>
  <c r="E7" i="11" a="1"/>
  <c r="E7" i="11" s="1"/>
  <c r="B8" i="11" a="1"/>
  <c r="B8" i="11" s="1"/>
  <c r="B10" i="11" a="1"/>
  <c r="B10" i="11" s="1"/>
  <c r="E8" i="10" a="1"/>
  <c r="E8" i="10" s="1"/>
  <c r="E10" i="10" a="1"/>
  <c r="E10" i="10" s="1"/>
  <c r="E11" i="10" a="1"/>
  <c r="E11" i="10"/>
  <c r="E12" i="10" a="1"/>
  <c r="E12" i="10" s="1"/>
  <c r="E7" i="10" a="1"/>
  <c r="E7" i="10" s="1"/>
  <c r="B8" i="10" a="1"/>
  <c r="B8" i="10" s="1"/>
  <c r="B10" i="10" a="1"/>
  <c r="B10" i="10"/>
  <c r="E8" i="9" a="1"/>
  <c r="E8" i="9" s="1"/>
  <c r="E10" i="9" a="1"/>
  <c r="E10" i="9" s="1"/>
  <c r="E11" i="9" a="1"/>
  <c r="E11" i="9" s="1"/>
  <c r="E12" i="9" a="1"/>
  <c r="E12" i="9" s="1"/>
  <c r="E7" i="9" a="1"/>
  <c r="E7" i="9"/>
  <c r="B8" i="9" a="1"/>
  <c r="B8" i="9" s="1"/>
  <c r="B10" i="9" a="1"/>
  <c r="B10" i="9" s="1"/>
  <c r="E8" i="8" a="1"/>
  <c r="E8" i="8" s="1"/>
  <c r="E10" i="8" a="1"/>
  <c r="E10" i="8" s="1"/>
  <c r="E11" i="8" a="1"/>
  <c r="E11" i="8" s="1"/>
  <c r="E12" i="8" a="1"/>
  <c r="E12" i="8" s="1"/>
  <c r="E7" i="8" a="1"/>
  <c r="E7" i="8" s="1"/>
  <c r="B8" i="8" a="1"/>
  <c r="B8" i="8" s="1"/>
  <c r="B10" i="8" a="1"/>
  <c r="B10" i="8" s="1"/>
  <c r="E8" i="7" a="1"/>
  <c r="E8" i="7" s="1"/>
  <c r="E10" i="7" a="1"/>
  <c r="E10" i="7" s="1"/>
  <c r="E11" i="7" a="1"/>
  <c r="E11" i="7" s="1"/>
  <c r="E12" i="7" a="1"/>
  <c r="E12" i="7" s="1"/>
  <c r="E7" i="7" a="1"/>
  <c r="E7" i="7" s="1"/>
  <c r="B8" i="7" a="1"/>
  <c r="B8" i="7"/>
  <c r="B10" i="7" a="1"/>
  <c r="B10" i="7"/>
  <c r="E8" i="6" a="1"/>
  <c r="E8" i="6" s="1"/>
  <c r="E10" i="6" a="1"/>
  <c r="E10" i="6"/>
  <c r="E11" i="6" a="1"/>
  <c r="E11" i="6" s="1"/>
  <c r="E12" i="6" a="1"/>
  <c r="E12" i="6" s="1"/>
  <c r="E7" i="6" a="1"/>
  <c r="E7" i="6" s="1"/>
  <c r="B8" i="6" a="1"/>
  <c r="B8" i="6" s="1"/>
  <c r="B10" i="6" a="1"/>
  <c r="B10" i="6" s="1"/>
  <c r="E8" i="3" a="1"/>
  <c r="E8" i="3" s="1"/>
  <c r="E10" i="3" a="1"/>
  <c r="E10" i="3" s="1"/>
  <c r="E11" i="3" a="1"/>
  <c r="E11" i="3" s="1"/>
  <c r="E12" i="3" a="1"/>
  <c r="E12" i="3" s="1"/>
  <c r="E7" i="3" a="1"/>
  <c r="E7" i="3" s="1"/>
  <c r="B8" i="3" a="1"/>
  <c r="B8" i="3" s="1"/>
  <c r="B10" i="3" a="1"/>
  <c r="B10" i="3" s="1"/>
  <c r="G41" i="1"/>
  <c r="E9" i="5" l="1" a="1"/>
  <c r="E9" i="5" s="1"/>
  <c r="B9" i="5" a="1"/>
  <c r="B9" i="5" s="1"/>
  <c r="B7" i="5" a="1"/>
  <c r="B7" i="5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G35" i="1"/>
  <c r="G34" i="1"/>
  <c r="G16" i="1"/>
  <c r="G37" i="1"/>
  <c r="G31" i="1"/>
  <c r="G39" i="1"/>
  <c r="G36" i="1"/>
  <c r="G32" i="1"/>
  <c r="G22" i="1"/>
  <c r="G23" i="1"/>
  <c r="G26" i="1"/>
  <c r="G25" i="1"/>
  <c r="G19" i="1"/>
  <c r="G33" i="1"/>
  <c r="H41" i="1" a="1"/>
  <c r="G11" i="1"/>
  <c r="G24" i="1"/>
  <c r="G13" i="1"/>
  <c r="G27" i="1"/>
  <c r="G21" i="1"/>
  <c r="G15" i="1"/>
  <c r="G20" i="1"/>
  <c r="G30" i="1"/>
  <c r="G14" i="1"/>
  <c r="G18" i="1"/>
  <c r="G29" i="1"/>
  <c r="G38" i="1"/>
  <c r="G40" i="1"/>
  <c r="G12" i="1"/>
  <c r="G28" i="1"/>
  <c r="G17" i="1"/>
  <c r="H41" i="1" l="1"/>
  <c r="B7" i="33" a="1"/>
  <c r="B7" i="33" s="1"/>
  <c r="B7" i="31" a="1"/>
  <c r="B7" i="31" s="1"/>
  <c r="B7" i="29" a="1"/>
  <c r="B7" i="29" s="1"/>
  <c r="B7" i="27" a="1"/>
  <c r="B7" i="27" s="1"/>
  <c r="B7" i="25" a="1"/>
  <c r="B7" i="25" s="1"/>
  <c r="B7" i="23" a="1"/>
  <c r="B7" i="23" s="1"/>
  <c r="B7" i="21" a="1"/>
  <c r="B7" i="21" s="1"/>
  <c r="B7" i="9" a="1"/>
  <c r="B7" i="9" s="1"/>
  <c r="B7" i="11" a="1"/>
  <c r="B7" i="11" s="1"/>
  <c r="B7" i="20" a="1"/>
  <c r="B7" i="20" s="1"/>
  <c r="B7" i="18" a="1"/>
  <c r="B7" i="18" s="1"/>
  <c r="B7" i="17" a="1"/>
  <c r="B7" i="17" s="1"/>
  <c r="B7" i="13" a="1"/>
  <c r="B7" i="13" s="1"/>
  <c r="B7" i="34" a="1"/>
  <c r="B7" i="34" s="1"/>
  <c r="B7" i="8" a="1"/>
  <c r="B7" i="8" s="1"/>
  <c r="B7" i="6" a="1"/>
  <c r="B7" i="6" s="1"/>
  <c r="B7" i="32" a="1"/>
  <c r="B7" i="32" s="1"/>
  <c r="B7" i="24" a="1"/>
  <c r="B7" i="24" s="1"/>
  <c r="B7" i="30" a="1"/>
  <c r="B7" i="30" s="1"/>
  <c r="B7" i="28" a="1"/>
  <c r="B7" i="28" s="1"/>
  <c r="B7" i="26" a="1"/>
  <c r="B7" i="26" s="1"/>
  <c r="B7" i="15" a="1"/>
  <c r="B7" i="15" s="1"/>
  <c r="B7" i="22" a="1"/>
  <c r="B7" i="22" s="1"/>
  <c r="B7" i="12" a="1"/>
  <c r="B7" i="12" s="1"/>
  <c r="B7" i="10" a="1"/>
  <c r="B7" i="10" s="1"/>
  <c r="B7" i="16" a="1"/>
  <c r="B7" i="16" s="1"/>
  <c r="B7" i="3" a="1"/>
  <c r="B7" i="3" s="1"/>
  <c r="B7" i="19" a="1"/>
  <c r="B7" i="19" s="1"/>
  <c r="B7" i="14" a="1"/>
  <c r="B7" i="14" s="1"/>
  <c r="B7" i="7" a="1"/>
  <c r="B7" i="7" s="1"/>
  <c r="B9" i="34" a="1"/>
  <c r="B9" i="34" s="1"/>
  <c r="B9" i="8" a="1"/>
  <c r="B9" i="8" s="1"/>
  <c r="B9" i="6" a="1"/>
  <c r="B9" i="6" s="1"/>
  <c r="B9" i="15" a="1"/>
  <c r="B9" i="15" s="1"/>
  <c r="B9" i="32" a="1"/>
  <c r="B9" i="32" s="1"/>
  <c r="B9" i="30" a="1"/>
  <c r="B9" i="30" s="1"/>
  <c r="B9" i="28" a="1"/>
  <c r="B9" i="28" s="1"/>
  <c r="B9" i="26" a="1"/>
  <c r="B9" i="26" s="1"/>
  <c r="B9" i="24" a="1"/>
  <c r="B9" i="24" s="1"/>
  <c r="B9" i="22" a="1"/>
  <c r="B9" i="22" s="1"/>
  <c r="B9" i="20" a="1"/>
  <c r="B9" i="20" s="1"/>
  <c r="B9" i="16" a="1"/>
  <c r="B9" i="16" s="1"/>
  <c r="B9" i="10" a="1"/>
  <c r="B9" i="10" s="1"/>
  <c r="B9" i="3" a="1"/>
  <c r="B9" i="3" s="1"/>
  <c r="B9" i="14" a="1"/>
  <c r="B9" i="14" s="1"/>
  <c r="B9" i="12" a="1"/>
  <c r="B9" i="12" s="1"/>
  <c r="B9" i="19" a="1"/>
  <c r="B9" i="19" s="1"/>
  <c r="B9" i="7" a="1"/>
  <c r="B9" i="7" s="1"/>
  <c r="B9" i="17" a="1"/>
  <c r="B9" i="17" s="1"/>
  <c r="B9" i="33" a="1"/>
  <c r="B9" i="33" s="1"/>
  <c r="B9" i="31" a="1"/>
  <c r="B9" i="31" s="1"/>
  <c r="B9" i="29" a="1"/>
  <c r="B9" i="29" s="1"/>
  <c r="B9" i="27" a="1"/>
  <c r="B9" i="27" s="1"/>
  <c r="B9" i="25" a="1"/>
  <c r="B9" i="25" s="1"/>
  <c r="B9" i="23" a="1"/>
  <c r="B9" i="23" s="1"/>
  <c r="B9" i="21" a="1"/>
  <c r="B9" i="21" s="1"/>
  <c r="B9" i="18" a="1"/>
  <c r="B9" i="18" s="1"/>
  <c r="B9" i="13" a="1"/>
  <c r="B9" i="13" s="1"/>
  <c r="B9" i="11" a="1"/>
  <c r="B9" i="11" s="1"/>
  <c r="B9" i="9" a="1"/>
  <c r="B9" i="9" s="1"/>
  <c r="E9" i="28" a="1"/>
  <c r="E9" i="28" s="1"/>
  <c r="E9" i="18" a="1"/>
  <c r="E9" i="18" s="1"/>
  <c r="E9" i="15" a="1"/>
  <c r="E9" i="15" s="1"/>
  <c r="E9" i="6" a="1"/>
  <c r="E9" i="6" s="1"/>
  <c r="E9" i="24" a="1"/>
  <c r="E9" i="24" s="1"/>
  <c r="E9" i="13" a="1"/>
  <c r="E9" i="13" s="1"/>
  <c r="E9" i="29" a="1"/>
  <c r="E9" i="29" s="1"/>
  <c r="E9" i="20" a="1"/>
  <c r="E9" i="20" s="1"/>
  <c r="E9" i="8" a="1"/>
  <c r="E9" i="8" s="1"/>
  <c r="E9" i="7" a="1"/>
  <c r="E9" i="7" s="1"/>
  <c r="E9" i="30" a="1"/>
  <c r="E9" i="30" s="1"/>
  <c r="E9" i="25" a="1"/>
  <c r="E9" i="25" s="1"/>
  <c r="E9" i="17" a="1"/>
  <c r="E9" i="17" s="1"/>
  <c r="E9" i="16" a="1"/>
  <c r="E9" i="16" s="1"/>
  <c r="E9" i="12" a="1"/>
  <c r="E9" i="12" s="1"/>
  <c r="E9" i="10" a="1"/>
  <c r="E9" i="10" s="1"/>
  <c r="E9" i="21" a="1"/>
  <c r="E9" i="21" s="1"/>
  <c r="E9" i="34" a="1"/>
  <c r="E9" i="34" s="1"/>
  <c r="E9" i="26" a="1"/>
  <c r="E9" i="26" s="1"/>
  <c r="E9" i="31" a="1"/>
  <c r="E9" i="31" s="1"/>
  <c r="E9" i="3" a="1"/>
  <c r="E9" i="3" s="1"/>
  <c r="E9" i="14" a="1"/>
  <c r="E9" i="14" s="1"/>
  <c r="E9" i="32" a="1"/>
  <c r="E9" i="32" s="1"/>
  <c r="E9" i="27" a="1"/>
  <c r="E9" i="27" s="1"/>
  <c r="E9" i="22" a="1"/>
  <c r="E9" i="22" s="1"/>
  <c r="E9" i="19" a="1"/>
  <c r="E9" i="19" s="1"/>
  <c r="E9" i="33" a="1"/>
  <c r="E9" i="33" s="1"/>
  <c r="E9" i="23" a="1"/>
  <c r="E9" i="23" s="1"/>
  <c r="E9" i="11" a="1"/>
  <c r="E9" i="11" s="1"/>
  <c r="E9" i="9" a="1"/>
  <c r="E9" i="9" s="1"/>
  <c r="H37" i="1" a="1"/>
  <c r="H29" i="1" a="1"/>
  <c r="H20" i="1" a="1"/>
  <c r="H24" i="1" a="1"/>
  <c r="H30" i="1" a="1"/>
  <c r="H27" i="1" a="1"/>
  <c r="H32" i="1" a="1"/>
  <c r="H12" i="1" a="1"/>
  <c r="H22" i="1" a="1"/>
  <c r="H13" i="1" a="1"/>
  <c r="H25" i="1" a="1"/>
  <c r="H14" i="1" a="1"/>
  <c r="H23" i="1" a="1"/>
  <c r="H21" i="1" a="1"/>
  <c r="H40" i="1" a="1"/>
  <c r="H17" i="1" a="1"/>
  <c r="H33" i="1" a="1"/>
  <c r="H35" i="1" a="1"/>
  <c r="H38" i="1" a="1"/>
  <c r="H26" i="1" a="1"/>
  <c r="H39" i="1" a="1"/>
  <c r="H31" i="1" a="1"/>
  <c r="H11" i="1" a="1"/>
  <c r="H28" i="1" a="1"/>
  <c r="H34" i="1" a="1"/>
  <c r="H15" i="1" a="1"/>
  <c r="H19" i="1" a="1"/>
  <c r="H36" i="1" a="1"/>
  <c r="H18" i="1" a="1"/>
  <c r="H16" i="1" a="1"/>
  <c r="H40" i="1" l="1"/>
  <c r="H39" i="1"/>
  <c r="H32" i="1"/>
  <c r="H33" i="1"/>
  <c r="H38" i="1"/>
  <c r="H35" i="1"/>
  <c r="H28" i="1"/>
  <c r="H31" i="1"/>
  <c r="H29" i="1"/>
  <c r="H22" i="1"/>
  <c r="H30" i="1"/>
  <c r="H20" i="1"/>
  <c r="H11" i="1"/>
  <c r="H21" i="1"/>
  <c r="H37" i="1"/>
  <c r="H13" i="1"/>
  <c r="H12" i="1"/>
  <c r="H27" i="1"/>
  <c r="H25" i="1"/>
  <c r="H24" i="1"/>
  <c r="H36" i="1"/>
  <c r="H18" i="1"/>
  <c r="H15" i="1"/>
  <c r="H16" i="1"/>
  <c r="H34" i="1"/>
  <c r="H17" i="1"/>
  <c r="H23" i="1"/>
  <c r="H26" i="1"/>
  <c r="H19" i="1"/>
  <c r="H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2007B5C-B0F0-4FC3-9C0E-EAAA1D95E6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EB99EB6-CF5D-465D-B212-8129BE939F8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A725FD9-B1D5-4B6D-8F9D-428087373EF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C488F2C-DA6B-4493-8911-97FFFEC1E63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707BAA9-75E4-4505-BF1D-04054A61B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3987E74-B403-4D12-A942-EA5D2E27793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28F6D3A-33ED-4EDB-A283-0236CD6076F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10C829F-142C-452D-9A78-3F67E50001A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3EF8385-A1D8-4324-AB76-16A63ED2DE0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D080292-643B-4725-966A-60173C1D583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052420-9A6D-48C5-8F1D-8F359F38113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33545E5-B1BA-48B6-9E18-66D8DF9F7B3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6D4040F-CF03-4DB0-9459-0CA6321480D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5FAF9F1-6C07-4F5E-8620-F32864ABDCF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4E434BC-C1AC-4391-80D6-27CA4FC0063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E4B35EE-DF0D-4DF8-9D00-EC748E43C62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701FE1-4645-402F-99C1-A7BA0B6FF67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4E660CC-3712-4FAF-AC6E-8C21A4A5952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9FC5DD5-7AC3-40C9-A8C9-5AC41DFA434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62DC945-D7A0-4749-9084-5D192DE2686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DEC9268-D046-4259-B0D2-B6A734A27FB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2AD1895-DDD4-4C4E-B321-558049BDAEB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CF0B1B0-8A80-4AB1-B55A-8D663A75D79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EF425C9-5887-4665-B645-CC95199B369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B88E0B0-614D-40F5-AD80-9D2D24EBB16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951ECB4-CAA6-4BFC-B4F1-FCC13068A97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012526C-F1CC-4BC3-AAD2-54E5BE4F4C4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7F44615-373E-4C3F-83DD-42731577B03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5C6B59D-0AA7-436F-8530-5167D82FBD7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5CBE560-EA68-41A1-968D-C3E08AF5C97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19A5F7F-9D01-4F28-AF97-94EB29A1E47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ADB78D-0C71-45A0-92CC-BE00B272BD3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BEEF690-42D2-4F22-9597-D82C36C1E41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716E91F-4A95-4AF0-AF27-B39D577063D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B6B2931-D105-437E-B530-D9AFE09E424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8DCCE04-A963-4E48-8537-873EF9897D2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F6AF873-25FC-4A4D-ADEC-A36450D0ADD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C042C81-4A96-4FC7-9040-8276947C1E8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9BE50E8-4833-4897-A0D4-C96763DFCB3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6A2C435-9941-404D-A511-C8A152D4B4D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BBFA1CB0-AAB4-4E2E-9ED4-C0E4B9F50DB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F084031-558B-41BF-93BC-F3BEE0ACC7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75F25909-5F26-4644-8860-0B4591501E8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5D103B2-809C-4BE6-862B-7210DF05C27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8E956CE-59E7-4342-B338-A6162624BD7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AD50ED2-F760-4983-B846-EAABAB6C0DA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05A99D4-575E-4F9D-B63D-918CA9EB5B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8EBEE8E-AD79-40FD-B867-95F480A8E08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223775F-8F60-4764-9C69-D4A0110E13D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274957-8000-41D2-88AB-40F41D76B2F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1C8E5BC-4ED6-4EE2-995F-DAD3D5EB46F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<sst xmlns="http://schemas.openxmlformats.org/spreadsheetml/2006/main" count="757" uniqueCount="55">
  <si>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</si>
  <si>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</si>
  <si>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</si>
  <si>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</si>
  <si>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>Aerocivil</t>
  </si>
  <si>
    <t>MUNICIPIO:</t>
  </si>
  <si>
    <t>Bogotá</t>
  </si>
  <si>
    <t>EQUIPO UTILIZADO:</t>
  </si>
  <si>
    <t>Cabina</t>
  </si>
  <si>
    <t>COORDENADA NORTE:</t>
  </si>
  <si>
    <t>DEPARTAMENTO:</t>
  </si>
  <si>
    <t>Distrito Capital</t>
  </si>
  <si>
    <t>S/N: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</si>
  <si>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</si>
  <si>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</si>
  <si>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</si>
  <si>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</si>
  <si>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</si>
  <si>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</si>
  <si>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</si>
  <si>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</si>
  <si>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</si>
  <si>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CA1 Engativa</t>
  </si>
  <si>
    <t>Elaboró:</t>
  </si>
  <si>
    <t>Alexander Diaz H.</t>
  </si>
  <si>
    <t xml:space="preserve">Revisó </t>
  </si>
  <si>
    <t>Verificó:</t>
  </si>
  <si>
    <t>Leonardo Perez D.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</si>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</sst>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#,##0.0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7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0" fillId="0" borderId="18" xfId="0" applyBorder="1"/>
    <xf numFmtId="0" fontId="5" fillId="0" borderId="23" xfId="0" applyFont="1" applyBorder="1" applyAlignment="1">
      <alignment horizont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5" fillId="5" borderId="38" xfId="1" applyFont="1" applyFill="1" applyBorder="1" applyAlignment="1">
      <alignment horizontal="center" vertical="center"/>
    </xf>
    <xf numFmtId="0" fontId="15" fillId="5" borderId="39" xfId="1" applyFont="1" applyFill="1" applyBorder="1" applyAlignment="1">
      <alignment horizontal="center" vertical="center"/>
    </xf>
    <xf numFmtId="0" fontId="15" fillId="5" borderId="40" xfId="1" applyFont="1" applyFill="1" applyBorder="1" applyAlignment="1">
      <alignment horizontal="center" vertical="center"/>
    </xf>
    <xf numFmtId="0" fontId="15" fillId="5" borderId="41" xfId="1" applyFont="1" applyFill="1" applyBorder="1" applyAlignment="1">
      <alignment horizontal="center" vertical="center"/>
    </xf>
    <xf numFmtId="1" fontId="14" fillId="6" borderId="44" xfId="1" applyNumberFormat="1" applyFont="1" applyFill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/>
    </xf>
    <xf numFmtId="0" fontId="13" fillId="6" borderId="44" xfId="1" applyFont="1" applyFill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3" fillId="6" borderId="42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164" fontId="13" fillId="0" borderId="44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164" fontId="0" fillId="0" borderId="3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3" fillId="0" borderId="48" xfId="0" applyFont="1" applyBorder="1" applyAlignment="1">
      <alignment vertical="center"/>
    </xf>
    <xf numFmtId="0" fontId="23" fillId="0" borderId="49" xfId="0" applyFont="1" applyBorder="1" applyAlignment="1">
      <alignment vertical="center"/>
    </xf>
    <xf numFmtId="0" fontId="23" fillId="0" borderId="0" xfId="0" applyFont="1"/>
    <xf numFmtId="3" fontId="23" fillId="0" borderId="0" xfId="0" applyNumberFormat="1" applyFont="1"/>
    <xf numFmtId="0" fontId="15" fillId="5" borderId="48" xfId="1" applyFont="1" applyFill="1" applyBorder="1" applyAlignment="1">
      <alignment horizontal="center" vertical="center"/>
    </xf>
    <xf numFmtId="0" fontId="13" fillId="6" borderId="48" xfId="1" applyFont="1" applyFill="1" applyBorder="1" applyAlignment="1">
      <alignment horizontal="center" vertical="center"/>
    </xf>
    <xf numFmtId="164" fontId="13" fillId="0" borderId="48" xfId="1" applyNumberFormat="1" applyFont="1" applyBorder="1" applyAlignment="1">
      <alignment horizontal="center" vertical="center"/>
    </xf>
    <xf numFmtId="0" fontId="13" fillId="6" borderId="48" xfId="1" applyFont="1" applyFill="1" applyBorder="1" applyAlignment="1">
      <alignment horizontal="center" vertical="center" wrapText="1"/>
    </xf>
    <xf numFmtId="1" fontId="14" fillId="6" borderId="48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13" fillId="0" borderId="48" xfId="1" applyNumberFormat="1" applyFont="1" applyBorder="1" applyAlignment="1">
      <alignment horizontal="center" vertical="center"/>
    </xf>
    <xf numFmtId="0" fontId="16" fillId="0" borderId="48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3" borderId="48" xfId="1" applyNumberFormat="1" applyFont="1" applyFill="1" applyBorder="1" applyAlignment="1" applyProtection="1">
      <alignment horizontal="center" vertical="center"/>
      <protection locked="0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6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8" xfId="1" applyFont="1" applyFill="1" applyBorder="1" applyAlignment="1">
      <alignment horizontal="center" vertical="center" wrapText="1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6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1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64" fontId="14" fillId="3" borderId="47" xfId="1" applyNumberFormat="1" applyFont="1" applyFill="1" applyBorder="1" applyAlignment="1" applyProtection="1">
      <alignment horizontal="center" vertical="center"/>
      <protection locked="0"/>
    </xf>
    <xf numFmtId="20" fontId="14" fillId="3" borderId="5" xfId="1" applyNumberFormat="1" applyFont="1" applyFill="1" applyBorder="1" applyAlignment="1" applyProtection="1">
      <alignment horizontal="center" vertical="center"/>
      <protection locked="0"/>
    </xf>
    <xf numFmtId="20" fontId="14" fillId="3" borderId="47" xfId="1" applyNumberFormat="1" applyFont="1" applyFill="1" applyBorder="1" applyAlignment="1" applyProtection="1">
      <alignment horizontal="center" vertical="center"/>
      <protection locked="0"/>
    </xf>
    <xf numFmtId="20" fontId="14" fillId="3" borderId="46" xfId="1" applyNumberFormat="1" applyFont="1" applyFill="1" applyBorder="1" applyAlignment="1" applyProtection="1">
      <alignment horizontal="center" vertical="center"/>
      <protection locked="0"/>
    </xf>
    <xf numFmtId="166" fontId="14" fillId="3" borderId="48" xfId="1" applyNumberFormat="1" applyFont="1" applyFill="1" applyBorder="1" applyAlignment="1" applyProtection="1">
      <alignment horizontal="center" vertical="center"/>
      <protection locked="0"/>
    </xf>
    <xf numFmtId="164" fontId="14" fillId="3" borderId="56" xfId="1" applyNumberFormat="1" applyFont="1" applyFill="1" applyBorder="1" applyAlignment="1" applyProtection="1">
      <alignment horizontal="center" vertical="center"/>
      <protection locked="0"/>
    </xf>
    <xf numFmtId="164" fontId="14" fillId="3" borderId="57" xfId="1" applyNumberFormat="1" applyFont="1" applyFill="1" applyBorder="1" applyAlignment="1" applyProtection="1">
      <alignment horizontal="center" vertical="center"/>
      <protection locked="0"/>
    </xf>
    <xf numFmtId="164" fontId="13" fillId="0" borderId="20" xfId="1" applyNumberFormat="1" applyFont="1" applyBorder="1" applyAlignment="1">
      <alignment horizontal="center" vertical="center"/>
    </xf>
    <xf numFmtId="164" fontId="13" fillId="0" borderId="21" xfId="1" applyNumberFormat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164" fontId="14" fillId="3" borderId="52" xfId="1" applyNumberFormat="1" applyFont="1" applyFill="1" applyBorder="1" applyAlignment="1" applyProtection="1">
      <alignment horizontal="center" vertical="center"/>
      <protection locked="0"/>
    </xf>
    <xf numFmtId="164" fontId="14" fillId="3" borderId="53" xfId="1" applyNumberFormat="1" applyFont="1" applyFill="1" applyBorder="1" applyAlignment="1" applyProtection="1">
      <alignment horizontal="center" vertical="center"/>
      <protection locked="0"/>
    </xf>
    <xf numFmtId="164" fontId="14" fillId="3" borderId="54" xfId="1" applyNumberFormat="1" applyFont="1" applyFill="1" applyBorder="1" applyAlignment="1" applyProtection="1">
      <alignment horizontal="center" vertical="center"/>
      <protection locked="0"/>
    </xf>
    <xf numFmtId="164" fontId="14" fillId="3" borderId="55" xfId="1" applyNumberFormat="1" applyFont="1" applyFill="1" applyBorder="1" applyAlignment="1" applyProtection="1">
      <alignment horizontal="center" vertical="center"/>
      <protection locked="0"/>
    </xf>
    <xf numFmtId="0" fontId="8" fillId="4" borderId="14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4" borderId="34" xfId="1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/>
    </xf>
    <xf numFmtId="164" fontId="14" fillId="3" borderId="50" xfId="1" applyNumberFormat="1" applyFont="1" applyFill="1" applyBorder="1" applyAlignment="1" applyProtection="1">
      <alignment horizontal="center" vertical="center"/>
      <protection locked="0"/>
    </xf>
    <xf numFmtId="164" fontId="14" fillId="3" borderId="51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AD496666-DC95-438A-B2DD-096D8778C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46"/>
  <sheetViews>
    <sheetView showGridLines="0" view="pageBreakPreview" topLeftCell="A26" zoomScaleNormal="100" zoomScaleSheetLayoutView="100" workbookViewId="0">
      <selection activeCell="C40" sqref="C40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94"/>
      <c r="B1" s="95"/>
      <c r="C1" s="113" t="s">
        <v>0</v>
      </c>
      <c r="D1" s="114"/>
      <c r="E1" s="114"/>
      <c r="F1" s="114"/>
      <c r="G1" s="114"/>
      <c r="H1" s="115"/>
      <c r="I1" s="91" t="s">
        <v>1</v>
      </c>
      <c r="K1" s="1"/>
      <c r="L1" s="1"/>
    </row>
    <row r="2" spans="1:12" ht="22.5" customHeight="1" x14ac:dyDescent="0.25">
      <c r="A2" s="96"/>
      <c r="B2" s="97"/>
      <c r="C2" s="116"/>
      <c r="D2" s="117"/>
      <c r="E2" s="117"/>
      <c r="F2" s="117"/>
      <c r="G2" s="117"/>
      <c r="H2" s="118"/>
      <c r="I2" s="92"/>
      <c r="K2" s="1"/>
      <c r="L2" s="1"/>
    </row>
    <row r="3" spans="1:12" ht="22.5" customHeight="1" thickBot="1" x14ac:dyDescent="0.3">
      <c r="A3" s="98"/>
      <c r="B3" s="99"/>
      <c r="C3" s="119" t="s">
        <v>2</v>
      </c>
      <c r="D3" s="120"/>
      <c r="E3" s="120"/>
      <c r="F3" s="120"/>
      <c r="G3" s="120"/>
      <c r="H3" s="121"/>
      <c r="I3" s="93"/>
      <c r="K3" s="2"/>
      <c r="L3" s="2"/>
    </row>
    <row r="4" spans="1:12" ht="6.75" customHeight="1" thickBot="1" x14ac:dyDescent="0.3">
      <c r="A4" s="46"/>
      <c r="B4" s="47"/>
      <c r="C4" s="47"/>
      <c r="D4" s="47"/>
      <c r="E4" s="47"/>
      <c r="F4" s="47"/>
      <c r="G4" s="47"/>
      <c r="H4" s="47"/>
      <c r="I4" s="48"/>
    </row>
    <row r="5" spans="1:12" x14ac:dyDescent="0.25">
      <c r="A5" s="126" t="s">
        <v>3</v>
      </c>
      <c r="B5" s="127"/>
      <c r="C5" s="66" t="s">
        <v>4</v>
      </c>
      <c r="D5" s="66"/>
      <c r="E5" s="66"/>
      <c r="F5" s="66"/>
      <c r="G5" s="66"/>
      <c r="H5" s="66"/>
      <c r="I5" s="67"/>
    </row>
    <row r="6" spans="1:12" x14ac:dyDescent="0.25">
      <c r="A6" s="128" t="s">
        <v>5</v>
      </c>
      <c r="B6" s="129"/>
      <c r="C6" s="103" t="s">
        <v>6</v>
      </c>
      <c r="D6" s="103"/>
      <c r="E6" s="14" t="s">
        <v>7</v>
      </c>
      <c r="F6" s="52" t="s">
        <v>8</v>
      </c>
      <c r="G6" s="14" t="s">
        <v>9</v>
      </c>
      <c r="H6" s="103">
        <v>2077821.666</v>
      </c>
      <c r="I6" s="124"/>
    </row>
    <row r="7" spans="1:12" ht="15.75" thickBot="1" x14ac:dyDescent="0.3">
      <c r="A7" s="89" t="s">
        <v>10</v>
      </c>
      <c r="B7" s="90"/>
      <c r="C7" s="104" t="s">
        <v>11</v>
      </c>
      <c r="D7" s="104"/>
      <c r="E7" s="15" t="s">
        <v>12</v>
      </c>
      <c r="F7" s="53">
        <v>2003261452</v>
      </c>
      <c r="G7" s="15" t="s">
        <v>13</v>
      </c>
      <c r="H7" s="104">
        <v>4874451.25</v>
      </c>
      <c r="I7" s="125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105" t="s">
        <v>14</v>
      </c>
      <c r="B9" s="106"/>
      <c r="C9" s="102" t="s">
        <v>15</v>
      </c>
      <c r="D9" s="102"/>
      <c r="E9" s="109" t="s">
        <v>16</v>
      </c>
      <c r="F9" s="110"/>
      <c r="G9" s="111" t="s">
        <v>17</v>
      </c>
      <c r="H9" s="122" t="s">
        <v>18</v>
      </c>
      <c r="I9" s="100" t="s">
        <v>19</v>
      </c>
    </row>
    <row r="10" spans="1:12" ht="15.75" thickBot="1" x14ac:dyDescent="0.3">
      <c r="A10" s="107"/>
      <c r="B10" s="108"/>
      <c r="C10" s="12" t="s">
        <v>20</v>
      </c>
      <c r="D10" s="12" t="s">
        <v>21</v>
      </c>
      <c r="E10" s="12" t="s">
        <v>20</v>
      </c>
      <c r="F10" s="12" t="s">
        <v>21</v>
      </c>
      <c r="G10" s="112"/>
      <c r="H10" s="123"/>
      <c r="I10" s="101"/>
    </row>
    <row r="11" spans="1:12" ht="18" customHeight="1" x14ac:dyDescent="0.25">
      <c r="A11" s="64" t="s">
        <v>22</v>
      </c>
      <c r="B11" s="65"/>
      <c r="C11" s="45">
        <v>46054</v>
      </c>
      <c r="D11" s="10">
        <v>0</v>
      </c>
      <c r="E11" s="45">
        <f>C11</f>
        <v>46054</v>
      </c>
      <c r="F11" s="10">
        <v>0.95833333333333337</v>
      </c>
      <c r="G11" s="16">
        <f ca="1">COUNT(INDIRECT("'Dia " &amp; ROW()-10 &amp; "'!C21:C45"))</f>
        <v>24</v>
      </c>
      <c r="H11" s="51" cm="1">
        <f t="array" aca="1" ref="H11" ca="1">IF(G11=24,INDIRECT("'" &amp; "Dia " &amp; ROW()-10 &amp; "'!C47"),"-")</f>
        <v>0.59574826290441096</v>
      </c>
      <c r="I11" s="11"/>
    </row>
    <row r="12" spans="1:12" ht="18" customHeight="1" x14ac:dyDescent="0.25">
      <c r="A12" s="64" t="s">
        <v>22</v>
      </c>
      <c r="B12" s="65"/>
      <c r="C12" s="45">
        <v>46055</v>
      </c>
      <c r="D12" s="10">
        <v>0</v>
      </c>
      <c r="E12" s="45">
        <f t="shared" ref="E12:E41" si="0">C12</f>
        <v>46055</v>
      </c>
      <c r="F12" s="10">
        <v>0.95833333333333337</v>
      </c>
      <c r="G12" s="16">
        <f t="shared" ref="G12:G41" ca="1" si="1">COUNT(INDIRECT("'Dia " &amp; ROW()-10 &amp; "'!C21:C45"))</f>
        <v>24</v>
      </c>
      <c r="H12" s="51" cm="1">
        <f t="array" aca="1" ref="H12" ca="1">IF(G12=24,INDIRECT("'" &amp; "Dia " &amp; ROW()-10 &amp; "'!C47"),"-")</f>
        <v>0.97188565782403535</v>
      </c>
      <c r="I12" s="11"/>
    </row>
    <row r="13" spans="1:12" ht="18" customHeight="1" x14ac:dyDescent="0.25">
      <c r="A13" s="64" t="s">
        <v>22</v>
      </c>
      <c r="B13" s="65"/>
      <c r="C13" s="45">
        <v>46056</v>
      </c>
      <c r="D13" s="10">
        <v>0</v>
      </c>
      <c r="E13" s="45">
        <f t="shared" si="0"/>
        <v>46056</v>
      </c>
      <c r="F13" s="10">
        <v>0.95833333333333304</v>
      </c>
      <c r="G13" s="16">
        <f t="shared" ca="1" si="1"/>
        <v>24</v>
      </c>
      <c r="H13" s="51" cm="1">
        <f t="array" aca="1" ref="H13" ca="1">IF(G13=24,INDIRECT("'" &amp; "Dia " &amp; ROW()-10 &amp; "'!C47"),"-")</f>
        <v>0.66092951536102706</v>
      </c>
      <c r="I13" s="11"/>
    </row>
    <row r="14" spans="1:12" ht="18" customHeight="1" x14ac:dyDescent="0.25">
      <c r="A14" s="64" t="s">
        <v>22</v>
      </c>
      <c r="B14" s="65"/>
      <c r="C14" s="45">
        <v>46057</v>
      </c>
      <c r="D14" s="10">
        <v>0</v>
      </c>
      <c r="E14" s="45">
        <f t="shared" si="0"/>
        <v>46057</v>
      </c>
      <c r="F14" s="10">
        <v>0.95833333333333304</v>
      </c>
      <c r="G14" s="16">
        <f t="shared" ca="1" si="1"/>
        <v>24</v>
      </c>
      <c r="H14" s="51" cm="1">
        <f t="array" aca="1" ref="H14" ca="1">IF(G14=24,INDIRECT("'" &amp; "Dia " &amp; ROW()-10 &amp; "'!C47"),"-")</f>
        <v>0.45953586382885009</v>
      </c>
      <c r="I14" s="11"/>
    </row>
    <row r="15" spans="1:12" ht="18" customHeight="1" x14ac:dyDescent="0.25">
      <c r="A15" s="64" t="s">
        <v>22</v>
      </c>
      <c r="B15" s="65"/>
      <c r="C15" s="45">
        <v>46058</v>
      </c>
      <c r="D15" s="10">
        <v>0</v>
      </c>
      <c r="E15" s="45">
        <f t="shared" si="0"/>
        <v>46058</v>
      </c>
      <c r="F15" s="10">
        <v>0.95833333333333304</v>
      </c>
      <c r="G15" s="16">
        <f t="shared" ca="1" si="1"/>
        <v>24</v>
      </c>
      <c r="H15" s="51" cm="1">
        <f t="array" aca="1" ref="H15" ca="1">IF(G15=24,INDIRECT("'" &amp; "Dia " &amp; ROW()-10 &amp; "'!C47"),"-")</f>
        <v>1.033272131193641</v>
      </c>
      <c r="I15" s="11"/>
    </row>
    <row r="16" spans="1:12" ht="18" customHeight="1" x14ac:dyDescent="0.25">
      <c r="A16" s="64" t="s">
        <v>22</v>
      </c>
      <c r="B16" s="65"/>
      <c r="C16" s="45">
        <v>46059</v>
      </c>
      <c r="D16" s="10">
        <v>0</v>
      </c>
      <c r="E16" s="45">
        <f t="shared" si="0"/>
        <v>46059</v>
      </c>
      <c r="F16" s="10">
        <v>0.95833333333333304</v>
      </c>
      <c r="G16" s="16">
        <f t="shared" ca="1" si="1"/>
        <v>24</v>
      </c>
      <c r="H16" s="51" cm="1">
        <f t="array" aca="1" ref="H16" ca="1">IF(G16=24,INDIRECT("'" &amp; "Dia " &amp; ROW()-10 &amp; "'!C47"),"-")</f>
        <v>0.39456113943674564</v>
      </c>
      <c r="I16" s="11"/>
    </row>
    <row r="17" spans="1:9" ht="18" customHeight="1" x14ac:dyDescent="0.25">
      <c r="A17" s="64" t="s">
        <v>22</v>
      </c>
      <c r="B17" s="65"/>
      <c r="C17" s="45">
        <v>46060</v>
      </c>
      <c r="D17" s="10">
        <v>0</v>
      </c>
      <c r="E17" s="45">
        <f t="shared" si="0"/>
        <v>46060</v>
      </c>
      <c r="F17" s="10">
        <v>0.95833333333333304</v>
      </c>
      <c r="G17" s="16">
        <f t="shared" ca="1" si="1"/>
        <v>24</v>
      </c>
      <c r="H17" s="51" cm="1">
        <f t="array" aca="1" ref="H17" ca="1">IF(G17=24,INDIRECT("'" &amp; "Dia " &amp; ROW()-10 &amp; "'!C47"),"-")</f>
        <v>0.64346232702804562</v>
      </c>
      <c r="I17" s="11"/>
    </row>
    <row r="18" spans="1:9" ht="18" customHeight="1" x14ac:dyDescent="0.25">
      <c r="A18" s="64" t="s">
        <v>22</v>
      </c>
      <c r="B18" s="65"/>
      <c r="C18" s="45">
        <v>46061</v>
      </c>
      <c r="D18" s="10">
        <v>0</v>
      </c>
      <c r="E18" s="45">
        <f t="shared" si="0"/>
        <v>46061</v>
      </c>
      <c r="F18" s="10">
        <v>0.95833333333333304</v>
      </c>
      <c r="G18" s="16">
        <f t="shared" ca="1" si="1"/>
        <v>24</v>
      </c>
      <c r="H18" s="51" cm="1">
        <f t="array" aca="1" ref="H18" ca="1">IF(G18=24,INDIRECT("'" &amp; "Dia " &amp; ROW()-10 &amp; "'!C47"),"-")</f>
        <v>0.46230225502370226</v>
      </c>
      <c r="I18" s="11"/>
    </row>
    <row r="19" spans="1:9" ht="18" customHeight="1" x14ac:dyDescent="0.25">
      <c r="A19" s="64" t="s">
        <v>22</v>
      </c>
      <c r="B19" s="65"/>
      <c r="C19" s="45">
        <v>46062</v>
      </c>
      <c r="D19" s="10">
        <v>0</v>
      </c>
      <c r="E19" s="45">
        <f t="shared" si="0"/>
        <v>46062</v>
      </c>
      <c r="F19" s="10">
        <v>0.95833333333333304</v>
      </c>
      <c r="G19" s="16">
        <f t="shared" ca="1" si="1"/>
        <v>24</v>
      </c>
      <c r="H19" s="51" cm="1">
        <f t="array" aca="1" ref="H19" ca="1">IF(G19=24,INDIRECT("'" &amp; "Dia " &amp; ROW()-10 &amp; "'!C47"),"-")</f>
        <v>0.71470894045423672</v>
      </c>
      <c r="I19" s="11"/>
    </row>
    <row r="20" spans="1:9" ht="18" customHeight="1" x14ac:dyDescent="0.25">
      <c r="A20" s="64" t="s">
        <v>22</v>
      </c>
      <c r="B20" s="65"/>
      <c r="C20" s="45">
        <v>46063</v>
      </c>
      <c r="D20" s="10">
        <v>0</v>
      </c>
      <c r="E20" s="45">
        <f t="shared" si="0"/>
        <v>46063</v>
      </c>
      <c r="F20" s="10">
        <v>0.95833333333333304</v>
      </c>
      <c r="G20" s="16">
        <f t="shared" ca="1" si="1"/>
        <v>24</v>
      </c>
      <c r="H20" s="51" cm="1">
        <f t="array" aca="1" ref="H20" ca="1">IF(G20=24,INDIRECT("'" &amp; "Dia " &amp; ROW()-10 &amp; "'!C47"),"-")</f>
        <v>0.56831734698499081</v>
      </c>
      <c r="I20" s="11"/>
    </row>
    <row r="21" spans="1:9" ht="18" customHeight="1" x14ac:dyDescent="0.25">
      <c r="A21" s="64" t="s">
        <v>22</v>
      </c>
      <c r="B21" s="65"/>
      <c r="C21" s="45">
        <v>46064</v>
      </c>
      <c r="D21" s="10">
        <v>0</v>
      </c>
      <c r="E21" s="45">
        <f t="shared" si="0"/>
        <v>46064</v>
      </c>
      <c r="F21" s="10">
        <v>0.95833333333333304</v>
      </c>
      <c r="G21" s="16">
        <f t="shared" ca="1" si="1"/>
        <v>24</v>
      </c>
      <c r="H21" s="51" cm="1">
        <f t="array" aca="1" ref="H21" ca="1">IF(G21=24,INDIRECT("'" &amp; "Dia " &amp; ROW()-10 &amp; "'!C47"),"-")</f>
        <v>0.78531274578708576</v>
      </c>
      <c r="I21" s="6"/>
    </row>
    <row r="22" spans="1:9" ht="18" customHeight="1" x14ac:dyDescent="0.25">
      <c r="A22" s="64" t="s">
        <v>22</v>
      </c>
      <c r="B22" s="65"/>
      <c r="C22" s="45">
        <v>46065</v>
      </c>
      <c r="D22" s="10">
        <v>0</v>
      </c>
      <c r="E22" s="45">
        <f t="shared" si="0"/>
        <v>46065</v>
      </c>
      <c r="F22" s="10">
        <v>0.95833333333333304</v>
      </c>
      <c r="G22" s="16">
        <f t="shared" ca="1" si="1"/>
        <v>24</v>
      </c>
      <c r="H22" s="51" cm="1">
        <f t="array" aca="1" ref="H22" ca="1">IF(G22=24,INDIRECT("'" &amp; "Dia " &amp; ROW()-10 &amp; "'!C47"),"-")</f>
        <v>5.4251677994486019E-2</v>
      </c>
      <c r="I22" s="6"/>
    </row>
    <row r="23" spans="1:9" ht="18" customHeight="1" x14ac:dyDescent="0.25">
      <c r="A23" s="64" t="s">
        <v>22</v>
      </c>
      <c r="B23" s="65"/>
      <c r="C23" s="45">
        <v>46066</v>
      </c>
      <c r="D23" s="10">
        <v>0</v>
      </c>
      <c r="E23" s="45">
        <f t="shared" si="0"/>
        <v>46066</v>
      </c>
      <c r="F23" s="10">
        <v>0.95833333333333304</v>
      </c>
      <c r="G23" s="16">
        <f t="shared" ca="1" si="1"/>
        <v>24</v>
      </c>
      <c r="H23" s="51" cm="1">
        <f t="array" aca="1" ref="H23" ca="1">IF(G23=24,INDIRECT("'" &amp; "Dia " &amp; ROW()-10 &amp; "'!C47"),"-")</f>
        <v>7.1211259490763471E-2</v>
      </c>
      <c r="I23" s="6"/>
    </row>
    <row r="24" spans="1:9" ht="18" customHeight="1" x14ac:dyDescent="0.25">
      <c r="A24" s="64" t="s">
        <v>22</v>
      </c>
      <c r="B24" s="65"/>
      <c r="C24" s="45">
        <v>46067</v>
      </c>
      <c r="D24" s="10">
        <v>0</v>
      </c>
      <c r="E24" s="45">
        <f t="shared" si="0"/>
        <v>46067</v>
      </c>
      <c r="F24" s="10">
        <v>0.95833333333333304</v>
      </c>
      <c r="G24" s="16">
        <f t="shared" ca="1" si="1"/>
        <v>24</v>
      </c>
      <c r="H24" s="51" cm="1">
        <f t="array" aca="1" ref="H24" ca="1">IF(G24=24,INDIRECT("'" &amp; "Dia " &amp; ROW()-10 &amp; "'!C47"),"-")</f>
        <v>9.3382094534820437E-2</v>
      </c>
      <c r="I24" s="6"/>
    </row>
    <row r="25" spans="1:9" ht="18" customHeight="1" x14ac:dyDescent="0.25">
      <c r="A25" s="64" t="s">
        <v>22</v>
      </c>
      <c r="B25" s="65"/>
      <c r="C25" s="45">
        <v>46068</v>
      </c>
      <c r="D25" s="10">
        <v>0</v>
      </c>
      <c r="E25" s="45">
        <f t="shared" si="0"/>
        <v>46068</v>
      </c>
      <c r="F25" s="10">
        <v>0.95833333333333304</v>
      </c>
      <c r="G25" s="16">
        <f t="shared" ca="1" si="1"/>
        <v>24</v>
      </c>
      <c r="H25" s="51" cm="1">
        <f t="array" aca="1" ref="H25" ca="1">IF(G25=24,INDIRECT("'" &amp; "Dia " &amp; ROW()-10 &amp; "'!C47"),"-")</f>
        <v>7.7798466882550793E-2</v>
      </c>
      <c r="I25" s="6"/>
    </row>
    <row r="26" spans="1:9" ht="18" customHeight="1" x14ac:dyDescent="0.25">
      <c r="A26" s="64" t="s">
        <v>22</v>
      </c>
      <c r="B26" s="65"/>
      <c r="C26" s="45">
        <v>46069</v>
      </c>
      <c r="D26" s="10">
        <v>0</v>
      </c>
      <c r="E26" s="45">
        <f t="shared" si="0"/>
        <v>46069</v>
      </c>
      <c r="F26" s="10">
        <v>0.95833333333333304</v>
      </c>
      <c r="G26" s="16">
        <f t="shared" ca="1" si="1"/>
        <v>24</v>
      </c>
      <c r="H26" s="51" cm="1">
        <f t="array" aca="1" ref="H26" ca="1">IF(G26=24,INDIRECT("'" &amp; "Dia " &amp; ROW()-10 &amp; "'!C47"),"-")</f>
        <v>0.10902890688359625</v>
      </c>
      <c r="I26" s="6"/>
    </row>
    <row r="27" spans="1:9" ht="18" customHeight="1" x14ac:dyDescent="0.25">
      <c r="A27" s="64" t="s">
        <v>22</v>
      </c>
      <c r="B27" s="65"/>
      <c r="C27" s="45">
        <v>46070</v>
      </c>
      <c r="D27" s="10">
        <v>0</v>
      </c>
      <c r="E27" s="45">
        <f t="shared" si="0"/>
        <v>46070</v>
      </c>
      <c r="F27" s="10">
        <v>0.95833333333333304</v>
      </c>
      <c r="G27" s="16">
        <f t="shared" ca="1" si="1"/>
        <v>24</v>
      </c>
      <c r="H27" s="51" cm="1">
        <f t="array" aca="1" ref="H27" ca="1">IF(G27=24,INDIRECT("'" &amp; "Dia " &amp; ROW()-10 &amp; "'!C47"),"-")</f>
        <v>0.70553257584587148</v>
      </c>
      <c r="I27" s="54"/>
    </row>
    <row r="28" spans="1:9" ht="18" customHeight="1" x14ac:dyDescent="0.25">
      <c r="A28" s="64" t="s">
        <v>22</v>
      </c>
      <c r="B28" s="65"/>
      <c r="C28" s="45">
        <v>46071</v>
      </c>
      <c r="D28" s="10">
        <v>0</v>
      </c>
      <c r="E28" s="45">
        <f t="shared" si="0"/>
        <v>46071</v>
      </c>
      <c r="F28" s="10">
        <v>0.95833333333333304</v>
      </c>
      <c r="G28" s="16">
        <f t="shared" ca="1" si="1"/>
        <v>0</v>
      </c>
      <c r="H28" s="51" t="str" cm="1">
        <f t="array" aca="1" ref="H28" ca="1">IF(G28=24,INDIRECT("'" &amp; "Dia " &amp; ROW()-10 &amp; "'!C47"),"-")</f>
        <v>-</v>
      </c>
      <c r="I28" s="55"/>
    </row>
    <row r="29" spans="1:9" ht="18" customHeight="1" x14ac:dyDescent="0.25">
      <c r="A29" s="64" t="s">
        <v>22</v>
      </c>
      <c r="B29" s="65"/>
      <c r="C29" s="45">
        <v>46072</v>
      </c>
      <c r="D29" s="10">
        <v>0</v>
      </c>
      <c r="E29" s="45">
        <f t="shared" si="0"/>
        <v>46072</v>
      </c>
      <c r="F29" s="10">
        <v>0.95833333333333304</v>
      </c>
      <c r="G29" s="16">
        <f t="shared" ca="1" si="1"/>
        <v>0</v>
      </c>
      <c r="H29" s="51" t="str" cm="1">
        <f t="array" aca="1" ref="H29" ca="1">IF(G29=24,INDIRECT("'" &amp; "Dia " &amp; ROW()-10 &amp; "'!C47"),"-")</f>
        <v>-</v>
      </c>
      <c r="I29" s="6"/>
    </row>
    <row r="30" spans="1:9" ht="18" customHeight="1" x14ac:dyDescent="0.25">
      <c r="A30" s="64" t="s">
        <v>22</v>
      </c>
      <c r="B30" s="65"/>
      <c r="C30" s="45">
        <v>46073</v>
      </c>
      <c r="D30" s="10">
        <v>0</v>
      </c>
      <c r="E30" s="45">
        <f t="shared" si="0"/>
        <v>46073</v>
      </c>
      <c r="F30" s="10">
        <v>0.95833333333333304</v>
      </c>
      <c r="G30" s="16">
        <f t="shared" ca="1" si="1"/>
        <v>0</v>
      </c>
      <c r="H30" s="51" t="str" cm="1">
        <f t="array" aca="1" ref="H30" ca="1">IF(G30=24,INDIRECT("'" &amp; "Dia " &amp; ROW()-10 &amp; "'!C47"),"-")</f>
        <v>-</v>
      </c>
      <c r="I30" s="6"/>
    </row>
    <row r="31" spans="1:9" ht="18" customHeight="1" x14ac:dyDescent="0.25">
      <c r="A31" s="64" t="s">
        <v>22</v>
      </c>
      <c r="B31" s="65"/>
      <c r="C31" s="45">
        <v>46074</v>
      </c>
      <c r="D31" s="10">
        <v>0</v>
      </c>
      <c r="E31" s="45">
        <f t="shared" si="0"/>
        <v>46074</v>
      </c>
      <c r="F31" s="10">
        <v>0.95833333333333304</v>
      </c>
      <c r="G31" s="16">
        <f t="shared" ca="1" si="1"/>
        <v>0</v>
      </c>
      <c r="H31" s="51" t="str" cm="1">
        <f t="array" aca="1" ref="H31" ca="1">IF(G31=24,INDIRECT("'" &amp; "Dia " &amp; ROW()-10 &amp; "'!C47"),"-")</f>
        <v>-</v>
      </c>
      <c r="I31" s="6"/>
    </row>
    <row r="32" spans="1:9" ht="18" customHeight="1" x14ac:dyDescent="0.25">
      <c r="A32" s="64" t="s">
        <v>22</v>
      </c>
      <c r="B32" s="65"/>
      <c r="C32" s="45">
        <v>46075</v>
      </c>
      <c r="D32" s="10">
        <v>0</v>
      </c>
      <c r="E32" s="45">
        <f t="shared" si="0"/>
        <v>46075</v>
      </c>
      <c r="F32" s="10">
        <v>0.95833333333333304</v>
      </c>
      <c r="G32" s="16">
        <f t="shared" ca="1" si="1"/>
        <v>10</v>
      </c>
      <c r="H32" s="51" t="str" cm="1">
        <f t="array" aca="1" ref="H32" ca="1">IF(G32=24,INDIRECT("'" &amp; "Dia " &amp; ROW()-10 &amp; "'!C47"),"-")</f>
        <v>-</v>
      </c>
      <c r="I32" s="6"/>
    </row>
    <row r="33" spans="1:9" ht="18" customHeight="1" x14ac:dyDescent="0.25">
      <c r="A33" s="64" t="s">
        <v>22</v>
      </c>
      <c r="B33" s="65"/>
      <c r="C33" s="45">
        <v>46076</v>
      </c>
      <c r="D33" s="10">
        <v>0</v>
      </c>
      <c r="E33" s="45">
        <f t="shared" si="0"/>
        <v>46076</v>
      </c>
      <c r="F33" s="10">
        <v>0.95833333333333304</v>
      </c>
      <c r="G33" s="16">
        <f t="shared" ca="1" si="1"/>
        <v>0</v>
      </c>
      <c r="H33" s="51" t="str" cm="1">
        <f t="array" aca="1" ref="H33" ca="1">IF(G33=24,INDIRECT("'" &amp; "Dia " &amp; ROW()-10 &amp; "'!C47"),"-")</f>
        <v>-</v>
      </c>
      <c r="I33" s="6"/>
    </row>
    <row r="34" spans="1:9" ht="18" customHeight="1" x14ac:dyDescent="0.25">
      <c r="A34" s="64" t="s">
        <v>22</v>
      </c>
      <c r="B34" s="65"/>
      <c r="C34" s="45">
        <v>46077</v>
      </c>
      <c r="D34" s="10">
        <v>0</v>
      </c>
      <c r="E34" s="45">
        <f t="shared" si="0"/>
        <v>46077</v>
      </c>
      <c r="F34" s="10">
        <v>0.95833333333333304</v>
      </c>
      <c r="G34" s="16">
        <f t="shared" ca="1" si="1"/>
        <v>0</v>
      </c>
      <c r="H34" s="51" t="str" cm="1">
        <f t="array" aca="1" ref="H34" ca="1">IF(G34=24,INDIRECT("'" &amp; "Dia " &amp; ROW()-10 &amp; "'!C47"),"-")</f>
        <v>-</v>
      </c>
      <c r="I34" s="54"/>
    </row>
    <row r="35" spans="1:9" ht="18" customHeight="1" x14ac:dyDescent="0.25">
      <c r="A35" s="64" t="s">
        <v>22</v>
      </c>
      <c r="B35" s="65"/>
      <c r="C35" s="45">
        <v>46078</v>
      </c>
      <c r="D35" s="10">
        <v>0</v>
      </c>
      <c r="E35" s="45">
        <f t="shared" si="0"/>
        <v>46078</v>
      </c>
      <c r="F35" s="10">
        <v>0.95833333333333304</v>
      </c>
      <c r="G35" s="16">
        <f t="shared" ca="1" si="1"/>
        <v>0</v>
      </c>
      <c r="H35" s="51" t="str" cm="1">
        <f t="array" aca="1" ref="H35" ca="1">IF(G35=24,INDIRECT("'" &amp; "Dia " &amp; ROW()-10 &amp; "'!C47"),"-")</f>
        <v>-</v>
      </c>
      <c r="I35" s="6"/>
    </row>
    <row r="36" spans="1:9" ht="18" customHeight="1" x14ac:dyDescent="0.25">
      <c r="A36" s="64" t="s">
        <v>22</v>
      </c>
      <c r="B36" s="65"/>
      <c r="C36" s="45">
        <v>46079</v>
      </c>
      <c r="D36" s="10">
        <v>0</v>
      </c>
      <c r="E36" s="45">
        <f t="shared" si="0"/>
        <v>46079</v>
      </c>
      <c r="F36" s="10">
        <v>0.95833333333333304</v>
      </c>
      <c r="G36" s="16">
        <f t="shared" ca="1" si="1"/>
        <v>0</v>
      </c>
      <c r="H36" s="51" t="str" cm="1">
        <f t="array" aca="1" ref="H36" ca="1">IF(G36=24,INDIRECT("'" &amp; "Dia " &amp; ROW()-10 &amp; "'!C47"),"-")</f>
        <v>-</v>
      </c>
      <c r="I36" s="6"/>
    </row>
    <row r="37" spans="1:9" ht="18" customHeight="1" x14ac:dyDescent="0.25">
      <c r="A37" s="64" t="s">
        <v>22</v>
      </c>
      <c r="B37" s="65"/>
      <c r="C37" s="45">
        <v>46080</v>
      </c>
      <c r="D37" s="10">
        <v>0</v>
      </c>
      <c r="E37" s="45">
        <f t="shared" si="0"/>
        <v>46080</v>
      </c>
      <c r="F37" s="10">
        <v>0.95833333333333304</v>
      </c>
      <c r="G37" s="16">
        <f t="shared" ca="1" si="1"/>
        <v>0</v>
      </c>
      <c r="H37" s="51" t="str" cm="1">
        <f t="array" aca="1" ref="H37" ca="1">IF(G37=24,INDIRECT("'" &amp; "Dia " &amp; ROW()-10 &amp; "'!C47"),"-")</f>
        <v>-</v>
      </c>
      <c r="I37" s="6"/>
    </row>
    <row r="38" spans="1:9" ht="18" customHeight="1" x14ac:dyDescent="0.25">
      <c r="A38" s="64" t="s">
        <v>22</v>
      </c>
      <c r="B38" s="65"/>
      <c r="C38" s="45">
        <v>46081</v>
      </c>
      <c r="D38" s="10">
        <v>0</v>
      </c>
      <c r="E38" s="45">
        <f t="shared" si="0"/>
        <v>46081</v>
      </c>
      <c r="F38" s="10">
        <v>0.95833333333333304</v>
      </c>
      <c r="G38" s="16">
        <f t="shared" ca="1" si="1"/>
        <v>0</v>
      </c>
      <c r="H38" s="51" t="str" cm="1">
        <f t="array" aca="1" ref="H38" ca="1">IF(G38=24,INDIRECT("'" &amp; "Dia " &amp; ROW()-10 &amp; "'!C47"),"-")</f>
        <v>-</v>
      </c>
      <c r="I38" s="6"/>
    </row>
    <row r="39" spans="1:9" x14ac:dyDescent="0.25">
      <c r="A39" s="64" t="s">
        <v>22</v>
      </c>
      <c r="B39" s="65"/>
      <c r="C39" s="45"/>
      <c r="D39" s="10">
        <v>0</v>
      </c>
      <c r="E39" s="45">
        <f t="shared" si="0"/>
        <v>0</v>
      </c>
      <c r="F39" s="10">
        <v>0.95833333333333304</v>
      </c>
      <c r="G39" s="16">
        <f t="shared" ca="1" si="1"/>
        <v>0</v>
      </c>
      <c r="H39" s="51" t="str" cm="1">
        <f t="array" aca="1" ref="H39" ca="1">IF(G39=24,INDIRECT("'" &amp; "Dia " &amp; ROW()-10 &amp; "'!C47"),"-")</f>
        <v>-</v>
      </c>
      <c r="I39" s="54"/>
    </row>
    <row r="40" spans="1:9" x14ac:dyDescent="0.25">
      <c r="A40" s="64" t="s">
        <v>22</v>
      </c>
      <c r="B40" s="65"/>
      <c r="C40" s="45"/>
      <c r="D40" s="10">
        <v>0</v>
      </c>
      <c r="E40" s="45">
        <f t="shared" si="0"/>
        <v>0</v>
      </c>
      <c r="F40" s="10">
        <v>0.95833333333333304</v>
      </c>
      <c r="G40" s="16">
        <f t="shared" ca="1" si="1"/>
        <v>0</v>
      </c>
      <c r="H40" s="51" t="str" cm="1">
        <f t="array" aca="1" ref="H40" ca="1">IF(G40=24,INDIRECT("'" &amp; "Dia " &amp; ROW()-10 &amp; "'!C47"),"-")</f>
        <v>-</v>
      </c>
      <c r="I40" s="54"/>
    </row>
    <row r="41" spans="1:9" x14ac:dyDescent="0.25">
      <c r="A41" s="64" t="s">
        <v>22</v>
      </c>
      <c r="B41" s="65"/>
      <c r="C41" s="45"/>
      <c r="D41" s="10">
        <v>0</v>
      </c>
      <c r="E41" s="45">
        <f t="shared" si="0"/>
        <v>0</v>
      </c>
      <c r="F41" s="10">
        <v>0.95833333333333304</v>
      </c>
      <c r="G41" s="16">
        <f t="shared" ca="1" si="1"/>
        <v>0</v>
      </c>
      <c r="H41" s="51" t="str" cm="1">
        <f t="array" aca="1" ref="H41" ca="1">IF(G41=24,INDIRECT("'" &amp; "Dia " &amp; ROW()-10 &amp; "'!C47"),"-")</f>
        <v>-</v>
      </c>
      <c r="I41" s="54"/>
    </row>
    <row r="42" spans="1:9" ht="25.5" customHeight="1" x14ac:dyDescent="0.25">
      <c r="A42" s="76" t="s">
        <v>23</v>
      </c>
      <c r="B42" s="81" t="s">
        <v>24</v>
      </c>
      <c r="C42" s="82"/>
      <c r="D42" s="78" t="s">
        <v>25</v>
      </c>
      <c r="E42" s="85"/>
      <c r="F42" s="86"/>
      <c r="G42" s="80" t="s">
        <v>26</v>
      </c>
      <c r="H42" s="50"/>
      <c r="I42" s="63" t="s">
        <v>27</v>
      </c>
    </row>
    <row r="43" spans="1:9" ht="15.75" thickBot="1" x14ac:dyDescent="0.3">
      <c r="A43" s="77"/>
      <c r="B43" s="83" t="s">
        <v>28</v>
      </c>
      <c r="C43" s="84"/>
      <c r="D43" s="79"/>
      <c r="E43" s="87" t="s">
        <v>29</v>
      </c>
      <c r="F43" s="88"/>
      <c r="G43" s="79"/>
      <c r="H43" s="17"/>
      <c r="I43" s="13" t="s">
        <v>30</v>
      </c>
    </row>
    <row r="44" spans="1:9" x14ac:dyDescent="0.25">
      <c r="A44" s="74" t="s">
        <v>31</v>
      </c>
      <c r="B44" s="68" t="s">
        <v>32</v>
      </c>
      <c r="C44" s="68"/>
      <c r="D44" s="68"/>
      <c r="E44" s="68"/>
      <c r="F44" s="68"/>
      <c r="G44" s="68"/>
      <c r="H44" s="69"/>
      <c r="I44" s="70"/>
    </row>
    <row r="45" spans="1:9" ht="9.75" customHeight="1" thickBot="1" x14ac:dyDescent="0.3">
      <c r="A45" s="75"/>
      <c r="B45" s="71"/>
      <c r="C45" s="71"/>
      <c r="D45" s="71"/>
      <c r="E45" s="71"/>
      <c r="F45" s="71"/>
      <c r="G45" s="71"/>
      <c r="H45" s="72"/>
      <c r="I45" s="73"/>
    </row>
    <row r="46" spans="1:9" ht="15.75" thickBot="1" x14ac:dyDescent="0.3">
      <c r="A46" s="7"/>
      <c r="B46" s="8"/>
      <c r="C46" s="8"/>
      <c r="D46" s="8"/>
      <c r="E46" s="8"/>
      <c r="F46" s="8"/>
      <c r="G46" s="8"/>
      <c r="H46" s="8"/>
      <c r="I46" s="9"/>
    </row>
  </sheetData>
  <mergeCells count="58"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  <mergeCell ref="A7:B7"/>
    <mergeCell ref="A11:B11"/>
    <mergeCell ref="A12:B12"/>
    <mergeCell ref="A13:B13"/>
    <mergeCell ref="A14:B14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33:B33"/>
    <mergeCell ref="A34:B34"/>
    <mergeCell ref="A35:B35"/>
    <mergeCell ref="A40:B40"/>
    <mergeCell ref="A41:B41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sheetPr codeName="Hoja2"/>
  <dimension ref="A1:L50"/>
  <sheetViews>
    <sheetView showGridLines="0" view="pageBreakPreview" topLeftCell="A7" zoomScale="70" zoomScaleNormal="85" zoomScaleSheetLayoutView="7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'FOM303-32-Imprimir'!C5:C5</f>
        <v>Aerocivil</v>
      </c>
      <c r="C7" s="140"/>
      <c r="D7" s="33" t="s">
        <v>5</v>
      </c>
      <c r="E7" s="141" t="s">
        <v>6</v>
      </c>
      <c r="F7" s="141"/>
      <c r="G7" s="141"/>
    </row>
    <row r="8" spans="1:12" ht="15.75" x14ac:dyDescent="0.25">
      <c r="A8" s="33" t="s">
        <v>34</v>
      </c>
      <c r="B8" s="139" t="s">
        <v>22</v>
      </c>
      <c r="C8" s="140"/>
      <c r="D8" s="34" t="s">
        <v>10</v>
      </c>
      <c r="E8" s="141" t="s">
        <v>11</v>
      </c>
      <c r="F8" s="141"/>
      <c r="G8" s="141"/>
    </row>
    <row r="9" spans="1:12" ht="15.75" x14ac:dyDescent="0.25">
      <c r="A9" s="33" t="s">
        <v>9</v>
      </c>
      <c r="B9" s="139" cm="1">
        <f t="array" ref="B9">'FOM303-32-Imprimir'!H6:H6</f>
        <v>2077821.666</v>
      </c>
      <c r="C9" s="140"/>
      <c r="D9" s="34" t="s">
        <v>13</v>
      </c>
      <c r="E9" s="141" cm="1">
        <f t="array" ref="E9">'FOM303-32-Imprimir'!H7:H7</f>
        <v>4874451.25</v>
      </c>
      <c r="F9" s="141"/>
      <c r="G9" s="141"/>
    </row>
    <row r="10" spans="1:12" ht="15.75" x14ac:dyDescent="0.25">
      <c r="A10" s="33" t="s">
        <v>35</v>
      </c>
      <c r="B10" s="139" t="s">
        <v>36</v>
      </c>
      <c r="C10" s="140"/>
      <c r="D10" s="33" t="s">
        <v>37</v>
      </c>
      <c r="E10" s="142">
        <v>2551</v>
      </c>
      <c r="F10" s="142"/>
      <c r="G10" s="142"/>
    </row>
    <row r="11" spans="1:12" ht="15.75" x14ac:dyDescent="0.25">
      <c r="A11" s="35" t="s">
        <v>38</v>
      </c>
      <c r="B11" s="134">
        <f>'FOM303-32-Imprimir'!C11</f>
        <v>46054</v>
      </c>
      <c r="C11" s="135"/>
      <c r="D11" s="36" t="s">
        <v>39</v>
      </c>
      <c r="E11" s="136">
        <v>0</v>
      </c>
      <c r="F11" s="136"/>
      <c r="G11" s="136"/>
    </row>
    <row r="12" spans="1:12" ht="15.75" x14ac:dyDescent="0.25">
      <c r="A12" s="35" t="s">
        <v>40</v>
      </c>
      <c r="B12" s="134">
        <f>'FOM303-32-Imprimir'!E11</f>
        <v>46054</v>
      </c>
      <c r="C12" s="135"/>
      <c r="D12" s="35" t="s">
        <v>41</v>
      </c>
      <c r="E12" s="136"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22.818000000000001</v>
      </c>
      <c r="D21" s="133">
        <v>22.818000000000001</v>
      </c>
    </row>
    <row r="22" spans="2:7" ht="18.75" x14ac:dyDescent="0.25">
      <c r="B22" s="58">
        <v>1</v>
      </c>
      <c r="C22" s="133">
        <v>22.683</v>
      </c>
      <c r="D22" s="133">
        <v>22.683</v>
      </c>
    </row>
    <row r="23" spans="2:7" ht="18.75" x14ac:dyDescent="0.25">
      <c r="B23" s="58">
        <v>2</v>
      </c>
      <c r="C23" s="133">
        <v>22.78</v>
      </c>
      <c r="D23" s="133">
        <v>22.78</v>
      </c>
    </row>
    <row r="24" spans="2:7" ht="18.75" x14ac:dyDescent="0.25">
      <c r="B24" s="58">
        <v>3</v>
      </c>
      <c r="C24" s="133">
        <v>22.797000000000001</v>
      </c>
      <c r="D24" s="133">
        <v>22.797000000000001</v>
      </c>
    </row>
    <row r="25" spans="2:7" ht="18.75" x14ac:dyDescent="0.25">
      <c r="B25" s="58">
        <v>4</v>
      </c>
      <c r="C25" s="133">
        <v>22.462</v>
      </c>
      <c r="D25" s="133">
        <v>22.462</v>
      </c>
    </row>
    <row r="26" spans="2:7" ht="18.75" x14ac:dyDescent="0.25">
      <c r="B26" s="58">
        <v>5</v>
      </c>
      <c r="C26" s="133">
        <v>22.065999999999999</v>
      </c>
      <c r="D26" s="133">
        <v>22.065999999999999</v>
      </c>
    </row>
    <row r="27" spans="2:7" ht="18.75" x14ac:dyDescent="0.25">
      <c r="B27" s="58">
        <v>6</v>
      </c>
      <c r="C27" s="133">
        <v>22.204999999999998</v>
      </c>
      <c r="D27" s="133">
        <v>22.204999999999998</v>
      </c>
    </row>
    <row r="28" spans="2:7" ht="18.75" x14ac:dyDescent="0.25">
      <c r="B28" s="58">
        <v>7</v>
      </c>
      <c r="C28" s="133">
        <v>22.202999999999999</v>
      </c>
      <c r="D28" s="133">
        <v>22.202999999999999</v>
      </c>
    </row>
    <row r="29" spans="2:7" ht="18.75" x14ac:dyDescent="0.25">
      <c r="B29" s="58">
        <v>8</v>
      </c>
      <c r="C29" s="133">
        <v>22.518000000000001</v>
      </c>
      <c r="D29" s="133">
        <v>22.518000000000001</v>
      </c>
    </row>
    <row r="30" spans="2:7" ht="18.75" x14ac:dyDescent="0.25">
      <c r="B30" s="58">
        <v>9</v>
      </c>
      <c r="C30" s="133">
        <v>22.483000000000001</v>
      </c>
      <c r="D30" s="133">
        <v>22.483000000000001</v>
      </c>
    </row>
    <row r="31" spans="2:7" ht="18.75" x14ac:dyDescent="0.25">
      <c r="B31" s="58">
        <v>10</v>
      </c>
      <c r="C31" s="133">
        <v>22.548999999999999</v>
      </c>
      <c r="D31" s="133">
        <v>22.548999999999999</v>
      </c>
    </row>
    <row r="32" spans="2:7" ht="18.75" x14ac:dyDescent="0.25">
      <c r="B32" s="58">
        <v>11</v>
      </c>
      <c r="C32" s="133">
        <v>22.777000000000001</v>
      </c>
      <c r="D32" s="133">
        <v>22.777000000000001</v>
      </c>
    </row>
    <row r="33" spans="2:4" ht="18.75" x14ac:dyDescent="0.25">
      <c r="B33" s="58">
        <v>12</v>
      </c>
      <c r="C33" s="133">
        <v>22.611000000000001</v>
      </c>
      <c r="D33" s="133">
        <v>22.611000000000001</v>
      </c>
    </row>
    <row r="34" spans="2:4" ht="18.75" x14ac:dyDescent="0.25">
      <c r="B34" s="58">
        <v>13</v>
      </c>
      <c r="C34" s="133">
        <v>21.425999999999998</v>
      </c>
      <c r="D34" s="133">
        <v>21.425999999999998</v>
      </c>
    </row>
    <row r="35" spans="2:4" ht="18.75" x14ac:dyDescent="0.25">
      <c r="B35" s="58">
        <v>14</v>
      </c>
      <c r="C35" s="133">
        <v>21.504999999999999</v>
      </c>
      <c r="D35" s="133">
        <v>21.504999999999999</v>
      </c>
    </row>
    <row r="36" spans="2:4" ht="18.75" x14ac:dyDescent="0.25">
      <c r="B36" s="58">
        <v>15</v>
      </c>
      <c r="C36" s="133">
        <v>21.885000000000002</v>
      </c>
      <c r="D36" s="133">
        <v>21.885000000000002</v>
      </c>
    </row>
    <row r="37" spans="2:4" ht="18.75" x14ac:dyDescent="0.25">
      <c r="B37" s="58">
        <v>16</v>
      </c>
      <c r="C37" s="133">
        <v>23.695</v>
      </c>
      <c r="D37" s="133">
        <v>23.695</v>
      </c>
    </row>
    <row r="38" spans="2:4" ht="18.75" x14ac:dyDescent="0.25">
      <c r="B38" s="58">
        <v>17</v>
      </c>
      <c r="C38" s="133">
        <v>23.376999999999999</v>
      </c>
      <c r="D38" s="133">
        <v>23.376999999999999</v>
      </c>
    </row>
    <row r="39" spans="2:4" ht="18.75" x14ac:dyDescent="0.25">
      <c r="B39" s="58">
        <v>18</v>
      </c>
      <c r="C39" s="133">
        <v>23.396999999999998</v>
      </c>
      <c r="D39" s="133">
        <v>23.396999999999998</v>
      </c>
    </row>
    <row r="40" spans="2:4" ht="18.75" x14ac:dyDescent="0.25">
      <c r="B40" s="58">
        <v>19</v>
      </c>
      <c r="C40" s="133">
        <v>23.062999999999999</v>
      </c>
      <c r="D40" s="133">
        <v>23.062999999999999</v>
      </c>
    </row>
    <row r="41" spans="2:4" ht="18.75" x14ac:dyDescent="0.25">
      <c r="B41" s="58">
        <v>20</v>
      </c>
      <c r="C41" s="133">
        <v>22.722000000000001</v>
      </c>
      <c r="D41" s="133">
        <v>22.722000000000001</v>
      </c>
    </row>
    <row r="42" spans="2:4" ht="18.75" x14ac:dyDescent="0.25">
      <c r="B42" s="58">
        <v>21</v>
      </c>
      <c r="C42" s="133">
        <v>22.19</v>
      </c>
      <c r="D42" s="133">
        <v>22.19</v>
      </c>
    </row>
    <row r="43" spans="2:4" ht="18.75" x14ac:dyDescent="0.25">
      <c r="B43" s="58">
        <v>22</v>
      </c>
      <c r="C43" s="133">
        <v>21.425000000000001</v>
      </c>
      <c r="D43" s="133">
        <v>21.425000000000001</v>
      </c>
    </row>
    <row r="44" spans="2:4" ht="18.75" x14ac:dyDescent="0.25">
      <c r="B44" s="58">
        <v>23</v>
      </c>
      <c r="C44" s="133">
        <v>21.981000000000002</v>
      </c>
      <c r="D44" s="133">
        <v>21.981000000000002</v>
      </c>
    </row>
    <row r="45" spans="2:4" ht="18.75" x14ac:dyDescent="0.25">
      <c r="B45" s="58"/>
      <c r="C45" s="133"/>
      <c r="D45" s="133"/>
    </row>
    <row r="46" spans="2:4" ht="33.75" customHeight="1" x14ac:dyDescent="0.25">
      <c r="B46" s="59" t="s">
        <v>45</v>
      </c>
      <c r="C46" s="130">
        <f>AVERAGE(C22:C45)</f>
        <v>22.469565217391303</v>
      </c>
      <c r="D46" s="130"/>
    </row>
    <row r="47" spans="2:4" ht="31.5" x14ac:dyDescent="0.25">
      <c r="B47" s="61" t="s">
        <v>46</v>
      </c>
      <c r="C47" s="60">
        <f>_xlfn.STDEV.S(C21:C45)</f>
        <v>0.59574826290441096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sheetPr codeName="Hoja3"/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39" t="str" cm="1">
        <f t="array" ref="E7">'Dia 1'!E7:E7</f>
        <v>Bogotá</v>
      </c>
      <c r="F7" s="158"/>
      <c r="G7" s="140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39" t="str" cm="1">
        <f t="array" ref="E8">'Dia 1'!E8:E8</f>
        <v>Distrito Capital</v>
      </c>
      <c r="F8" s="158"/>
      <c r="G8" s="140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39" cm="1">
        <f t="array" ref="E9">'Dia 1'!E9:E9</f>
        <v>4874451.25</v>
      </c>
      <c r="F9" s="158"/>
      <c r="G9" s="140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39" cm="1">
        <f t="array" ref="E10">'Dia 1'!E10:E10</f>
        <v>2551</v>
      </c>
      <c r="F10" s="158"/>
      <c r="G10" s="140"/>
    </row>
    <row r="11" spans="1:12" ht="15.75" x14ac:dyDescent="0.25">
      <c r="A11" s="35" t="s">
        <v>38</v>
      </c>
      <c r="B11" s="134">
        <f>'FOM303-32-Imprimir'!C12</f>
        <v>46055</v>
      </c>
      <c r="C11" s="135"/>
      <c r="D11" s="36" t="s">
        <v>39</v>
      </c>
      <c r="E11" s="159" cm="1">
        <f t="array" ref="E11">'Dia 1'!E11:E11</f>
        <v>0</v>
      </c>
      <c r="F11" s="160"/>
      <c r="G11" s="161"/>
    </row>
    <row r="12" spans="1:12" ht="15.75" x14ac:dyDescent="0.25">
      <c r="A12" s="35" t="s">
        <v>40</v>
      </c>
      <c r="B12" s="134">
        <f>'FOM303-32-Imprimir'!E12</f>
        <v>46055</v>
      </c>
      <c r="C12" s="135"/>
      <c r="D12" s="35" t="s">
        <v>41</v>
      </c>
      <c r="E12" s="159" cm="1">
        <f t="array" ref="E12">'Dia 1'!E12:E12</f>
        <v>0.95833333333333337</v>
      </c>
      <c r="F12" s="160"/>
      <c r="G12" s="161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22.318000000000001</v>
      </c>
      <c r="D21" s="133">
        <v>22.318000000000001</v>
      </c>
    </row>
    <row r="22" spans="2:7" ht="18.75" x14ac:dyDescent="0.25">
      <c r="B22" s="58">
        <v>1</v>
      </c>
      <c r="C22" s="133">
        <v>22.276</v>
      </c>
      <c r="D22" s="133">
        <v>22.276</v>
      </c>
    </row>
    <row r="23" spans="2:7" ht="18.75" x14ac:dyDescent="0.25">
      <c r="B23" s="58">
        <v>2</v>
      </c>
      <c r="C23" s="133">
        <v>21.416</v>
      </c>
      <c r="D23" s="133">
        <v>21.416</v>
      </c>
    </row>
    <row r="24" spans="2:7" ht="18.75" x14ac:dyDescent="0.25">
      <c r="B24" s="58">
        <v>3</v>
      </c>
      <c r="C24" s="133">
        <v>21.449000000000002</v>
      </c>
      <c r="D24" s="133">
        <v>21.449000000000002</v>
      </c>
    </row>
    <row r="25" spans="2:7" ht="18.75" x14ac:dyDescent="0.25">
      <c r="B25" s="58">
        <v>4</v>
      </c>
      <c r="C25" s="133">
        <v>21.841999999999999</v>
      </c>
      <c r="D25" s="133">
        <v>21.841999999999999</v>
      </c>
    </row>
    <row r="26" spans="2:7" ht="18.75" x14ac:dyDescent="0.25">
      <c r="B26" s="58">
        <v>5</v>
      </c>
      <c r="C26" s="133">
        <v>21.701000000000001</v>
      </c>
      <c r="D26" s="133">
        <v>21.701000000000001</v>
      </c>
    </row>
    <row r="27" spans="2:7" ht="18.75" x14ac:dyDescent="0.25">
      <c r="B27" s="58">
        <v>6</v>
      </c>
      <c r="C27" s="133">
        <v>20.911999999999999</v>
      </c>
      <c r="D27" s="133">
        <v>20.911999999999999</v>
      </c>
    </row>
    <row r="28" spans="2:7" ht="18.75" x14ac:dyDescent="0.25">
      <c r="B28" s="58">
        <v>7</v>
      </c>
      <c r="C28" s="133">
        <v>20.298999999999999</v>
      </c>
      <c r="D28" s="133">
        <v>20.298999999999999</v>
      </c>
    </row>
    <row r="29" spans="2:7" ht="18.75" x14ac:dyDescent="0.25">
      <c r="B29" s="58">
        <v>8</v>
      </c>
      <c r="C29" s="133">
        <v>23.959</v>
      </c>
      <c r="D29" s="133">
        <v>23.959</v>
      </c>
    </row>
    <row r="30" spans="2:7" ht="18.75" x14ac:dyDescent="0.25">
      <c r="B30" s="58">
        <v>9</v>
      </c>
      <c r="C30" s="133">
        <v>21.454000000000001</v>
      </c>
      <c r="D30" s="133">
        <v>21.454000000000001</v>
      </c>
    </row>
    <row r="31" spans="2:7" ht="18.75" x14ac:dyDescent="0.25">
      <c r="B31" s="58">
        <v>10</v>
      </c>
      <c r="C31" s="133">
        <v>20.5</v>
      </c>
      <c r="D31" s="133">
        <v>20.5</v>
      </c>
    </row>
    <row r="32" spans="2:7" ht="18.75" x14ac:dyDescent="0.25">
      <c r="B32" s="58">
        <v>11</v>
      </c>
      <c r="C32" s="133">
        <v>20.974</v>
      </c>
      <c r="D32" s="133">
        <v>20.974</v>
      </c>
    </row>
    <row r="33" spans="2:4" ht="18.75" x14ac:dyDescent="0.25">
      <c r="B33" s="58">
        <v>12</v>
      </c>
      <c r="C33" s="133">
        <v>22.79</v>
      </c>
      <c r="D33" s="133">
        <v>22.79</v>
      </c>
    </row>
    <row r="34" spans="2:4" ht="18.75" x14ac:dyDescent="0.25">
      <c r="B34" s="58">
        <v>13</v>
      </c>
      <c r="C34" s="133">
        <v>21.651</v>
      </c>
      <c r="D34" s="133">
        <v>21.651</v>
      </c>
    </row>
    <row r="35" spans="2:4" ht="18.75" x14ac:dyDescent="0.25">
      <c r="B35" s="58">
        <v>14</v>
      </c>
      <c r="C35" s="133">
        <v>21.321999999999999</v>
      </c>
      <c r="D35" s="133">
        <v>21.321999999999999</v>
      </c>
    </row>
    <row r="36" spans="2:4" ht="18.75" x14ac:dyDescent="0.25">
      <c r="B36" s="58">
        <v>15</v>
      </c>
      <c r="C36" s="133">
        <v>21.946000000000002</v>
      </c>
      <c r="D36" s="133">
        <v>21.946000000000002</v>
      </c>
    </row>
    <row r="37" spans="2:4" ht="18.75" x14ac:dyDescent="0.25">
      <c r="B37" s="58">
        <v>16</v>
      </c>
      <c r="C37" s="133">
        <v>22.233000000000001</v>
      </c>
      <c r="D37" s="133">
        <v>22.233000000000001</v>
      </c>
    </row>
    <row r="38" spans="2:4" ht="18.75" x14ac:dyDescent="0.25">
      <c r="B38" s="58">
        <v>17</v>
      </c>
      <c r="C38" s="133">
        <v>23.391999999999999</v>
      </c>
      <c r="D38" s="133">
        <v>23.391999999999999</v>
      </c>
    </row>
    <row r="39" spans="2:4" ht="18.75" x14ac:dyDescent="0.25">
      <c r="B39" s="58">
        <v>18</v>
      </c>
      <c r="C39" s="133">
        <v>23.161999999999999</v>
      </c>
      <c r="D39" s="133">
        <v>23.161999999999999</v>
      </c>
    </row>
    <row r="40" spans="2:4" ht="18.75" x14ac:dyDescent="0.25">
      <c r="B40" s="58">
        <v>19</v>
      </c>
      <c r="C40" s="133">
        <v>23.814</v>
      </c>
      <c r="D40" s="133">
        <v>23.814</v>
      </c>
    </row>
    <row r="41" spans="2:4" ht="18.75" x14ac:dyDescent="0.25">
      <c r="B41" s="58">
        <v>20</v>
      </c>
      <c r="C41" s="133">
        <v>21.494</v>
      </c>
      <c r="D41" s="133">
        <v>21.494</v>
      </c>
    </row>
    <row r="42" spans="2:4" ht="18.75" x14ac:dyDescent="0.25">
      <c r="B42" s="58">
        <v>21</v>
      </c>
      <c r="C42" s="133">
        <v>21.731000000000002</v>
      </c>
      <c r="D42" s="133">
        <v>21.731000000000002</v>
      </c>
    </row>
    <row r="43" spans="2:4" ht="18.75" x14ac:dyDescent="0.25">
      <c r="B43" s="58">
        <v>22</v>
      </c>
      <c r="C43" s="133">
        <v>22.507000000000001</v>
      </c>
      <c r="D43" s="133">
        <v>22.507000000000001</v>
      </c>
    </row>
    <row r="44" spans="2:4" ht="18.75" x14ac:dyDescent="0.25">
      <c r="B44" s="58">
        <v>23</v>
      </c>
      <c r="C44" s="133">
        <v>22.92</v>
      </c>
      <c r="D44" s="133">
        <v>22.92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21.988869565217392</v>
      </c>
      <c r="D46" s="130"/>
    </row>
    <row r="47" spans="2:4" ht="31.5" x14ac:dyDescent="0.25">
      <c r="B47" s="61" t="s">
        <v>46</v>
      </c>
      <c r="C47" s="60">
        <f>_xlfn.STDEV.S(C21:C45)</f>
        <v>0.97188565782403535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E11:G11"/>
    <mergeCell ref="E12:G12"/>
    <mergeCell ref="B9:C9"/>
    <mergeCell ref="B10:C10"/>
    <mergeCell ref="B11:C11"/>
    <mergeCell ref="B12:C12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sheetPr codeName="Hoja4"/>
  <dimension ref="A1:L50"/>
  <sheetViews>
    <sheetView showGridLines="0" view="pageBreakPreview" topLeftCell="A6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39" t="str" cm="1">
        <f t="array" ref="E7">'Dia 1'!E7:E7</f>
        <v>Bogotá</v>
      </c>
      <c r="F7" s="158"/>
      <c r="G7" s="140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39" t="str" cm="1">
        <f t="array" ref="E8">'Dia 1'!E8:E8</f>
        <v>Distrito Capital</v>
      </c>
      <c r="F8" s="158"/>
      <c r="G8" s="140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39" cm="1">
        <f t="array" ref="E9">'Dia 1'!E9:E9</f>
        <v>4874451.25</v>
      </c>
      <c r="F9" s="158"/>
      <c r="G9" s="140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39" cm="1">
        <f t="array" ref="E10">'Dia 1'!E10:E10</f>
        <v>2551</v>
      </c>
      <c r="F10" s="158"/>
      <c r="G10" s="140"/>
    </row>
    <row r="11" spans="1:12" ht="15.75" x14ac:dyDescent="0.25">
      <c r="A11" s="35" t="s">
        <v>38</v>
      </c>
      <c r="B11" s="134">
        <f>'FOM303-32-Imprimir'!C13</f>
        <v>46056</v>
      </c>
      <c r="C11" s="135"/>
      <c r="D11" s="36" t="s">
        <v>39</v>
      </c>
      <c r="E11" s="159" cm="1">
        <f t="array" ref="E11">'Dia 1'!E11:E11</f>
        <v>0</v>
      </c>
      <c r="F11" s="160"/>
      <c r="G11" s="161"/>
    </row>
    <row r="12" spans="1:12" ht="15.75" x14ac:dyDescent="0.25">
      <c r="A12" s="35" t="s">
        <v>40</v>
      </c>
      <c r="B12" s="134">
        <f>'FOM303-32-Imprimir'!E13</f>
        <v>46056</v>
      </c>
      <c r="C12" s="135"/>
      <c r="D12" s="35" t="s">
        <v>41</v>
      </c>
      <c r="E12" s="159" cm="1">
        <f t="array" ref="E12">'Dia 1'!E12:E12</f>
        <v>0.95833333333333337</v>
      </c>
      <c r="F12" s="160"/>
      <c r="G12" s="161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22.795999999999999</v>
      </c>
      <c r="D21" s="133">
        <v>22.795999999999999</v>
      </c>
    </row>
    <row r="22" spans="2:7" ht="18.75" x14ac:dyDescent="0.25">
      <c r="B22" s="58">
        <v>1</v>
      </c>
      <c r="C22" s="133">
        <v>22.31</v>
      </c>
      <c r="D22" s="133">
        <v>22.31</v>
      </c>
    </row>
    <row r="23" spans="2:7" ht="18.75" x14ac:dyDescent="0.25">
      <c r="B23" s="58">
        <v>2</v>
      </c>
      <c r="C23" s="133">
        <v>22.829000000000001</v>
      </c>
      <c r="D23" s="133">
        <v>22.829000000000001</v>
      </c>
    </row>
    <row r="24" spans="2:7" ht="18.75" x14ac:dyDescent="0.25">
      <c r="B24" s="58">
        <v>3</v>
      </c>
      <c r="C24" s="133">
        <v>22.504999999999999</v>
      </c>
      <c r="D24" s="133">
        <v>22.504999999999999</v>
      </c>
    </row>
    <row r="25" spans="2:7" ht="18.75" x14ac:dyDescent="0.25">
      <c r="B25" s="58">
        <v>4</v>
      </c>
      <c r="C25" s="133">
        <v>21.75</v>
      </c>
      <c r="D25" s="133">
        <v>21.75</v>
      </c>
    </row>
    <row r="26" spans="2:7" ht="18.75" x14ac:dyDescent="0.25">
      <c r="B26" s="58">
        <v>5</v>
      </c>
      <c r="C26" s="133">
        <v>21.559000000000001</v>
      </c>
      <c r="D26" s="133">
        <v>21.559000000000001</v>
      </c>
    </row>
    <row r="27" spans="2:7" ht="18.75" x14ac:dyDescent="0.25">
      <c r="B27" s="58">
        <v>6</v>
      </c>
      <c r="C27" s="133">
        <v>21.664000000000001</v>
      </c>
      <c r="D27" s="133">
        <v>21.664000000000001</v>
      </c>
    </row>
    <row r="28" spans="2:7" ht="18.75" x14ac:dyDescent="0.25">
      <c r="B28" s="58">
        <v>7</v>
      </c>
      <c r="C28" s="133">
        <v>21.236999999999998</v>
      </c>
      <c r="D28" s="133">
        <v>21.236999999999998</v>
      </c>
    </row>
    <row r="29" spans="2:7" ht="18.75" x14ac:dyDescent="0.25">
      <c r="B29" s="58">
        <v>8</v>
      </c>
      <c r="C29" s="133">
        <v>20.716000000000001</v>
      </c>
      <c r="D29" s="133">
        <v>20.716000000000001</v>
      </c>
    </row>
    <row r="30" spans="2:7" ht="18.75" x14ac:dyDescent="0.25">
      <c r="B30" s="58">
        <v>9</v>
      </c>
      <c r="C30" s="133">
        <v>20.666</v>
      </c>
      <c r="D30" s="133">
        <v>20.666</v>
      </c>
    </row>
    <row r="31" spans="2:7" ht="18.75" x14ac:dyDescent="0.25">
      <c r="B31" s="58">
        <v>10</v>
      </c>
      <c r="C31" s="133">
        <v>20.452000000000002</v>
      </c>
      <c r="D31" s="133">
        <v>20.452000000000002</v>
      </c>
    </row>
    <row r="32" spans="2:7" ht="18.75" x14ac:dyDescent="0.25">
      <c r="B32" s="58">
        <v>11</v>
      </c>
      <c r="C32" s="133">
        <v>21.67</v>
      </c>
      <c r="D32" s="133">
        <v>21.67</v>
      </c>
    </row>
    <row r="33" spans="2:4" ht="18.75" x14ac:dyDescent="0.25">
      <c r="B33" s="58">
        <v>12</v>
      </c>
      <c r="C33" s="133">
        <v>22.254999999999999</v>
      </c>
      <c r="D33" s="133">
        <v>22.254999999999999</v>
      </c>
    </row>
    <row r="34" spans="2:4" ht="18.75" x14ac:dyDescent="0.25">
      <c r="B34" s="58">
        <v>13</v>
      </c>
      <c r="C34" s="133">
        <v>21.683</v>
      </c>
      <c r="D34" s="133">
        <v>21.683</v>
      </c>
    </row>
    <row r="35" spans="2:4" ht="18.75" x14ac:dyDescent="0.25">
      <c r="B35" s="58">
        <v>14</v>
      </c>
      <c r="C35" s="133">
        <v>21.280999999999999</v>
      </c>
      <c r="D35" s="133">
        <v>21.280999999999999</v>
      </c>
    </row>
    <row r="36" spans="2:4" ht="18.75" x14ac:dyDescent="0.25">
      <c r="B36" s="58">
        <v>15</v>
      </c>
      <c r="C36" s="133">
        <v>21.459</v>
      </c>
      <c r="D36" s="133">
        <v>21.459</v>
      </c>
    </row>
    <row r="37" spans="2:4" ht="18.75" x14ac:dyDescent="0.25">
      <c r="B37" s="58">
        <v>16</v>
      </c>
      <c r="C37" s="133">
        <v>21.401</v>
      </c>
      <c r="D37" s="133">
        <v>21.401</v>
      </c>
    </row>
    <row r="38" spans="2:4" ht="18.75" x14ac:dyDescent="0.25">
      <c r="B38" s="58">
        <v>17</v>
      </c>
      <c r="C38" s="133">
        <v>21.279</v>
      </c>
      <c r="D38" s="133">
        <v>21.279</v>
      </c>
    </row>
    <row r="39" spans="2:4" ht="18.75" x14ac:dyDescent="0.25">
      <c r="B39" s="58">
        <v>18</v>
      </c>
      <c r="C39" s="133">
        <v>21.492000000000001</v>
      </c>
      <c r="D39" s="133">
        <v>21.492000000000001</v>
      </c>
    </row>
    <row r="40" spans="2:4" ht="18.75" x14ac:dyDescent="0.25">
      <c r="B40" s="58">
        <v>19</v>
      </c>
      <c r="C40" s="133">
        <v>21.071999999999999</v>
      </c>
      <c r="D40" s="133">
        <v>21.071999999999999</v>
      </c>
    </row>
    <row r="41" spans="2:4" ht="18.75" x14ac:dyDescent="0.25">
      <c r="B41" s="58">
        <v>20</v>
      </c>
      <c r="C41" s="133">
        <v>21.085999999999999</v>
      </c>
      <c r="D41" s="133">
        <v>21.085999999999999</v>
      </c>
    </row>
    <row r="42" spans="2:4" ht="18.75" x14ac:dyDescent="0.25">
      <c r="B42" s="58">
        <v>21</v>
      </c>
      <c r="C42" s="133">
        <v>21.829000000000001</v>
      </c>
      <c r="D42" s="133">
        <v>21.829000000000001</v>
      </c>
    </row>
    <row r="43" spans="2:4" ht="18.75" x14ac:dyDescent="0.25">
      <c r="B43" s="58">
        <v>22</v>
      </c>
      <c r="C43" s="133">
        <v>22.509</v>
      </c>
      <c r="D43" s="133">
        <v>22.509</v>
      </c>
    </row>
    <row r="44" spans="2:4" ht="18.75" x14ac:dyDescent="0.25">
      <c r="B44" s="58">
        <v>23</v>
      </c>
      <c r="C44" s="133">
        <v>22.376999999999999</v>
      </c>
      <c r="D44" s="133">
        <v>22.376999999999999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21.612217391304352</v>
      </c>
      <c r="D46" s="130"/>
    </row>
    <row r="47" spans="2:4" ht="31.5" x14ac:dyDescent="0.25">
      <c r="B47" s="61" t="s">
        <v>46</v>
      </c>
      <c r="C47" s="60">
        <f>_xlfn.STDEV.S(C21:C45)</f>
        <v>0.66092951536102706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sheetPr codeName="Hoja5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39" t="str" cm="1">
        <f t="array" ref="E7">'Dia 1'!E7:E7</f>
        <v>Bogotá</v>
      </c>
      <c r="F7" s="158"/>
      <c r="G7" s="140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39" t="str" cm="1">
        <f t="array" ref="E8">'Dia 1'!E8:E8</f>
        <v>Distrito Capital</v>
      </c>
      <c r="F8" s="158"/>
      <c r="G8" s="140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39" cm="1">
        <f t="array" ref="E9">'Dia 1'!E9:E9</f>
        <v>4874451.25</v>
      </c>
      <c r="F9" s="158"/>
      <c r="G9" s="140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39" cm="1">
        <f t="array" ref="E10">'Dia 1'!E10:E10</f>
        <v>2551</v>
      </c>
      <c r="F10" s="158"/>
      <c r="G10" s="140"/>
    </row>
    <row r="11" spans="1:12" ht="15.75" x14ac:dyDescent="0.25">
      <c r="A11" s="35" t="s">
        <v>38</v>
      </c>
      <c r="B11" s="134">
        <f>'FOM303-32-Imprimir'!C14</f>
        <v>46057</v>
      </c>
      <c r="C11" s="135"/>
      <c r="D11" s="36" t="s">
        <v>39</v>
      </c>
      <c r="E11" s="159" cm="1">
        <f t="array" ref="E11">'Dia 1'!E11:E11</f>
        <v>0</v>
      </c>
      <c r="F11" s="160"/>
      <c r="G11" s="161"/>
    </row>
    <row r="12" spans="1:12" ht="15.75" x14ac:dyDescent="0.25">
      <c r="A12" s="35" t="s">
        <v>40</v>
      </c>
      <c r="B12" s="134">
        <f>'FOM303-32-Imprimir'!E14</f>
        <v>46057</v>
      </c>
      <c r="C12" s="135"/>
      <c r="D12" s="35" t="s">
        <v>41</v>
      </c>
      <c r="E12" s="159" cm="1">
        <f t="array" ref="E12">'Dia 1'!E12:E12</f>
        <v>0.95833333333333337</v>
      </c>
      <c r="F12" s="160"/>
      <c r="G12" s="161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22.765999999999998</v>
      </c>
      <c r="D21" s="133">
        <v>22.765999999999998</v>
      </c>
    </row>
    <row r="22" spans="2:7" ht="18.75" x14ac:dyDescent="0.25">
      <c r="B22" s="58">
        <v>1</v>
      </c>
      <c r="C22" s="133">
        <v>22.454999999999998</v>
      </c>
      <c r="D22" s="133">
        <v>22.454999999999998</v>
      </c>
    </row>
    <row r="23" spans="2:7" ht="18.75" x14ac:dyDescent="0.25">
      <c r="B23" s="58">
        <v>2</v>
      </c>
      <c r="C23" s="133">
        <v>22.096</v>
      </c>
      <c r="D23" s="133">
        <v>22.096</v>
      </c>
    </row>
    <row r="24" spans="2:7" ht="18.75" x14ac:dyDescent="0.25">
      <c r="B24" s="58">
        <v>3</v>
      </c>
      <c r="C24" s="133">
        <v>22.026</v>
      </c>
      <c r="D24" s="133">
        <v>22.026</v>
      </c>
    </row>
    <row r="25" spans="2:7" ht="18.75" x14ac:dyDescent="0.25">
      <c r="B25" s="58">
        <v>4</v>
      </c>
      <c r="C25" s="133">
        <v>21.747</v>
      </c>
      <c r="D25" s="133">
        <v>21.747</v>
      </c>
    </row>
    <row r="26" spans="2:7" ht="18.75" x14ac:dyDescent="0.25">
      <c r="B26" s="58">
        <v>5</v>
      </c>
      <c r="C26" s="133">
        <v>21.82</v>
      </c>
      <c r="D26" s="133">
        <v>21.82</v>
      </c>
    </row>
    <row r="27" spans="2:7" ht="18.75" x14ac:dyDescent="0.25">
      <c r="B27" s="58">
        <v>6</v>
      </c>
      <c r="C27" s="133">
        <v>22.239000000000001</v>
      </c>
      <c r="D27" s="133">
        <v>22.239000000000001</v>
      </c>
    </row>
    <row r="28" spans="2:7" ht="18.75" x14ac:dyDescent="0.25">
      <c r="B28" s="58">
        <v>7</v>
      </c>
      <c r="C28" s="133">
        <v>22.285</v>
      </c>
      <c r="D28" s="133">
        <v>22.285</v>
      </c>
    </row>
    <row r="29" spans="2:7" ht="18.75" x14ac:dyDescent="0.25">
      <c r="B29" s="58">
        <v>8</v>
      </c>
      <c r="C29" s="133">
        <v>21.727</v>
      </c>
      <c r="D29" s="133">
        <v>21.727</v>
      </c>
    </row>
    <row r="30" spans="2:7" ht="18.75" x14ac:dyDescent="0.25">
      <c r="B30" s="58">
        <v>9</v>
      </c>
      <c r="C30" s="133">
        <v>21.387</v>
      </c>
      <c r="D30" s="133">
        <v>21.387</v>
      </c>
    </row>
    <row r="31" spans="2:7" ht="18.75" x14ac:dyDescent="0.25">
      <c r="B31" s="58">
        <v>10</v>
      </c>
      <c r="C31" s="133">
        <v>21.613</v>
      </c>
      <c r="D31" s="133">
        <v>21.613</v>
      </c>
    </row>
    <row r="32" spans="2:7" ht="18.75" x14ac:dyDescent="0.25">
      <c r="B32" s="58">
        <v>11</v>
      </c>
      <c r="C32" s="133">
        <v>22.376999999999999</v>
      </c>
      <c r="D32" s="133">
        <v>22.376999999999999</v>
      </c>
    </row>
    <row r="33" spans="2:4" ht="18.75" x14ac:dyDescent="0.25">
      <c r="B33" s="58">
        <v>12</v>
      </c>
      <c r="C33" s="133">
        <v>22.077000000000002</v>
      </c>
      <c r="D33" s="133">
        <v>22.077000000000002</v>
      </c>
    </row>
    <row r="34" spans="2:4" ht="18.75" x14ac:dyDescent="0.25">
      <c r="B34" s="58">
        <v>13</v>
      </c>
      <c r="C34" s="133">
        <v>21.588000000000001</v>
      </c>
      <c r="D34" s="133">
        <v>21.588000000000001</v>
      </c>
    </row>
    <row r="35" spans="2:4" ht="18.75" x14ac:dyDescent="0.25">
      <c r="B35" s="58">
        <v>14</v>
      </c>
      <c r="C35" s="133">
        <v>23.016999999999999</v>
      </c>
      <c r="D35" s="133">
        <v>23.016999999999999</v>
      </c>
    </row>
    <row r="36" spans="2:4" ht="18.75" x14ac:dyDescent="0.25">
      <c r="B36" s="58">
        <v>15</v>
      </c>
      <c r="C36" s="133">
        <v>22.4</v>
      </c>
      <c r="D36" s="133">
        <v>22.4</v>
      </c>
    </row>
    <row r="37" spans="2:4" ht="18.75" x14ac:dyDescent="0.25">
      <c r="B37" s="58">
        <v>16</v>
      </c>
      <c r="C37" s="133">
        <v>21.437999999999999</v>
      </c>
      <c r="D37" s="133">
        <v>21.437999999999999</v>
      </c>
    </row>
    <row r="38" spans="2:4" ht="18.75" x14ac:dyDescent="0.25">
      <c r="B38" s="58">
        <v>17</v>
      </c>
      <c r="C38" s="133">
        <v>21.391999999999999</v>
      </c>
      <c r="D38" s="133">
        <v>21.391999999999999</v>
      </c>
    </row>
    <row r="39" spans="2:4" ht="18.75" x14ac:dyDescent="0.25">
      <c r="B39" s="58">
        <v>18</v>
      </c>
      <c r="C39" s="133">
        <v>22.125</v>
      </c>
      <c r="D39" s="133">
        <v>22.125</v>
      </c>
    </row>
    <row r="40" spans="2:4" ht="18.75" x14ac:dyDescent="0.25">
      <c r="B40" s="58">
        <v>19</v>
      </c>
      <c r="C40" s="133">
        <v>22.035</v>
      </c>
      <c r="D40" s="133">
        <v>22.035</v>
      </c>
    </row>
    <row r="41" spans="2:4" ht="18.75" x14ac:dyDescent="0.25">
      <c r="B41" s="58">
        <v>20</v>
      </c>
      <c r="C41" s="133">
        <v>22.116</v>
      </c>
      <c r="D41" s="133">
        <v>22.116</v>
      </c>
    </row>
    <row r="42" spans="2:4" ht="18.75" x14ac:dyDescent="0.25">
      <c r="B42" s="58">
        <v>21</v>
      </c>
      <c r="C42" s="133">
        <v>22.844000000000001</v>
      </c>
      <c r="D42" s="133">
        <v>22.844000000000001</v>
      </c>
    </row>
    <row r="43" spans="2:4" ht="18.75" x14ac:dyDescent="0.25">
      <c r="B43" s="58">
        <v>22</v>
      </c>
      <c r="C43" s="133">
        <v>22.71</v>
      </c>
      <c r="D43" s="133">
        <v>22.71</v>
      </c>
    </row>
    <row r="44" spans="2:4" ht="18.75" x14ac:dyDescent="0.25">
      <c r="B44" s="58">
        <v>23</v>
      </c>
      <c r="C44" s="133">
        <v>22.085999999999999</v>
      </c>
      <c r="D44" s="133">
        <v>22.085999999999999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22.069565217391304</v>
      </c>
      <c r="D46" s="130"/>
    </row>
    <row r="47" spans="2:4" ht="31.5" x14ac:dyDescent="0.25">
      <c r="B47" s="61" t="s">
        <v>46</v>
      </c>
      <c r="C47" s="60">
        <f>_xlfn.STDEV.S(C21:C45)</f>
        <v>0.45953586382885009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sheetPr codeName="Hoja6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39" t="str" cm="1">
        <f t="array" ref="E7">'Dia 1'!E7:E7</f>
        <v>Bogotá</v>
      </c>
      <c r="F7" s="158"/>
      <c r="G7" s="140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39" t="str" cm="1">
        <f t="array" ref="E8">'Dia 1'!E8:E8</f>
        <v>Distrito Capital</v>
      </c>
      <c r="F8" s="158"/>
      <c r="G8" s="140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39" cm="1">
        <f t="array" ref="E9">'Dia 1'!E9:E9</f>
        <v>4874451.25</v>
      </c>
      <c r="F9" s="158"/>
      <c r="G9" s="140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39" cm="1">
        <f t="array" ref="E10">'Dia 1'!E10:E10</f>
        <v>2551</v>
      </c>
      <c r="F10" s="158"/>
      <c r="G10" s="140"/>
    </row>
    <row r="11" spans="1:12" ht="15.75" x14ac:dyDescent="0.25">
      <c r="A11" s="35" t="s">
        <v>38</v>
      </c>
      <c r="B11" s="134">
        <f>'FOM303-32-Imprimir'!C15</f>
        <v>46058</v>
      </c>
      <c r="C11" s="135"/>
      <c r="D11" s="36" t="s">
        <v>39</v>
      </c>
      <c r="E11" s="159" cm="1">
        <f t="array" ref="E11">'Dia 1'!E11:E11</f>
        <v>0</v>
      </c>
      <c r="F11" s="160"/>
      <c r="G11" s="161"/>
    </row>
    <row r="12" spans="1:12" ht="15.75" x14ac:dyDescent="0.25">
      <c r="A12" s="35" t="s">
        <v>40</v>
      </c>
      <c r="B12" s="134">
        <f>'FOM303-32-Imprimir'!E15</f>
        <v>46058</v>
      </c>
      <c r="C12" s="135"/>
      <c r="D12" s="35" t="s">
        <v>41</v>
      </c>
      <c r="E12" s="159" cm="1">
        <f t="array" ref="E12">'Dia 1'!E12:E12</f>
        <v>0.95833333333333337</v>
      </c>
      <c r="F12" s="160"/>
      <c r="G12" s="161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21.594999999999999</v>
      </c>
      <c r="D21" s="133">
        <v>21.594999999999999</v>
      </c>
    </row>
    <row r="22" spans="2:7" ht="18.75" x14ac:dyDescent="0.25">
      <c r="B22" s="58">
        <v>1</v>
      </c>
      <c r="C22" s="133">
        <v>21.24</v>
      </c>
      <c r="D22" s="133">
        <v>21.24</v>
      </c>
    </row>
    <row r="23" spans="2:7" ht="18.75" x14ac:dyDescent="0.25">
      <c r="B23" s="58">
        <v>2</v>
      </c>
      <c r="C23" s="133">
        <v>20.931000000000001</v>
      </c>
      <c r="D23" s="133">
        <v>20.931000000000001</v>
      </c>
    </row>
    <row r="24" spans="2:7" ht="18.75" x14ac:dyDescent="0.25">
      <c r="B24" s="58">
        <v>3</v>
      </c>
      <c r="C24" s="133">
        <v>20.491</v>
      </c>
      <c r="D24" s="133">
        <v>20.491</v>
      </c>
    </row>
    <row r="25" spans="2:7" ht="18.75" x14ac:dyDescent="0.25">
      <c r="B25" s="58">
        <v>4</v>
      </c>
      <c r="C25" s="133">
        <v>21.068000000000001</v>
      </c>
      <c r="D25" s="133">
        <v>21.068000000000001</v>
      </c>
    </row>
    <row r="26" spans="2:7" ht="18.75" x14ac:dyDescent="0.25">
      <c r="B26" s="58">
        <v>5</v>
      </c>
      <c r="C26" s="133">
        <v>21.24</v>
      </c>
      <c r="D26" s="133">
        <v>21.24</v>
      </c>
    </row>
    <row r="27" spans="2:7" ht="18.75" x14ac:dyDescent="0.25">
      <c r="B27" s="58">
        <v>6</v>
      </c>
      <c r="C27" s="133">
        <v>20.948</v>
      </c>
      <c r="D27" s="133">
        <v>20.948</v>
      </c>
    </row>
    <row r="28" spans="2:7" ht="18.75" x14ac:dyDescent="0.25">
      <c r="B28" s="58">
        <v>7</v>
      </c>
      <c r="C28" s="133">
        <v>23.9</v>
      </c>
      <c r="D28" s="133">
        <v>23.9</v>
      </c>
    </row>
    <row r="29" spans="2:7" ht="18.75" x14ac:dyDescent="0.25">
      <c r="B29" s="58">
        <v>8</v>
      </c>
      <c r="C29" s="133">
        <v>23.864000000000001</v>
      </c>
      <c r="D29" s="133">
        <v>23.864000000000001</v>
      </c>
    </row>
    <row r="30" spans="2:7" ht="18.75" x14ac:dyDescent="0.25">
      <c r="B30" s="58">
        <v>9</v>
      </c>
      <c r="C30" s="133">
        <v>23.849</v>
      </c>
      <c r="D30" s="133">
        <v>23.849</v>
      </c>
    </row>
    <row r="31" spans="2:7" ht="18.75" x14ac:dyDescent="0.25">
      <c r="B31" s="58">
        <v>10</v>
      </c>
      <c r="C31" s="133">
        <v>23.268000000000001</v>
      </c>
      <c r="D31" s="133">
        <v>23.268000000000001</v>
      </c>
    </row>
    <row r="32" spans="2:7" ht="18.75" x14ac:dyDescent="0.25">
      <c r="B32" s="58">
        <v>11</v>
      </c>
      <c r="C32" s="133">
        <v>22.652999999999999</v>
      </c>
      <c r="D32" s="133">
        <v>22.652999999999999</v>
      </c>
    </row>
    <row r="33" spans="2:4" ht="18.75" x14ac:dyDescent="0.25">
      <c r="B33" s="58">
        <v>12</v>
      </c>
      <c r="C33" s="133">
        <v>22.603999999999999</v>
      </c>
      <c r="D33" s="133">
        <v>22.603999999999999</v>
      </c>
    </row>
    <row r="34" spans="2:4" ht="18.75" x14ac:dyDescent="0.25">
      <c r="B34" s="58">
        <v>13</v>
      </c>
      <c r="C34" s="133">
        <v>22.786999999999999</v>
      </c>
      <c r="D34" s="133">
        <v>22.786999999999999</v>
      </c>
    </row>
    <row r="35" spans="2:4" ht="18.75" x14ac:dyDescent="0.25">
      <c r="B35" s="58">
        <v>14</v>
      </c>
      <c r="C35" s="133">
        <v>23.364999999999998</v>
      </c>
      <c r="D35" s="133">
        <v>23.364999999999998</v>
      </c>
    </row>
    <row r="36" spans="2:4" ht="18.75" x14ac:dyDescent="0.25">
      <c r="B36" s="58">
        <v>15</v>
      </c>
      <c r="C36" s="133">
        <v>23.256</v>
      </c>
      <c r="D36" s="133">
        <v>23.256</v>
      </c>
    </row>
    <row r="37" spans="2:4" ht="18.75" x14ac:dyDescent="0.25">
      <c r="B37" s="58">
        <v>16</v>
      </c>
      <c r="C37" s="133">
        <v>23.111999999999998</v>
      </c>
      <c r="D37" s="133">
        <v>23.111999999999998</v>
      </c>
    </row>
    <row r="38" spans="2:4" ht="18.75" x14ac:dyDescent="0.25">
      <c r="B38" s="58">
        <v>17</v>
      </c>
      <c r="C38" s="133">
        <v>22.579000000000001</v>
      </c>
      <c r="D38" s="133">
        <v>22.579000000000001</v>
      </c>
    </row>
    <row r="39" spans="2:4" ht="18.75" x14ac:dyDescent="0.25">
      <c r="B39" s="58">
        <v>18</v>
      </c>
      <c r="C39" s="133">
        <v>22.748999999999999</v>
      </c>
      <c r="D39" s="133">
        <v>22.748999999999999</v>
      </c>
    </row>
    <row r="40" spans="2:4" ht="18.75" x14ac:dyDescent="0.25">
      <c r="B40" s="58">
        <v>19</v>
      </c>
      <c r="C40" s="133">
        <v>22.687999999999999</v>
      </c>
      <c r="D40" s="133">
        <v>22.687999999999999</v>
      </c>
    </row>
    <row r="41" spans="2:4" ht="18.75" x14ac:dyDescent="0.25">
      <c r="B41" s="58">
        <v>20</v>
      </c>
      <c r="C41" s="133">
        <v>23.210999999999999</v>
      </c>
      <c r="D41" s="133">
        <v>23.210999999999999</v>
      </c>
    </row>
    <row r="42" spans="2:4" ht="18.75" x14ac:dyDescent="0.25">
      <c r="B42" s="58">
        <v>21</v>
      </c>
      <c r="C42" s="133">
        <v>22.844000000000001</v>
      </c>
      <c r="D42" s="133">
        <v>22.844000000000001</v>
      </c>
    </row>
    <row r="43" spans="2:4" ht="18.75" x14ac:dyDescent="0.25">
      <c r="B43" s="58">
        <v>22</v>
      </c>
      <c r="C43" s="133">
        <v>23.109000000000002</v>
      </c>
      <c r="D43" s="133">
        <v>23.109000000000002</v>
      </c>
    </row>
    <row r="44" spans="2:4" ht="18.75" x14ac:dyDescent="0.25">
      <c r="B44" s="58">
        <v>23</v>
      </c>
      <c r="C44" s="133">
        <v>23.190999999999999</v>
      </c>
      <c r="D44" s="133">
        <v>23.190999999999999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22.562913043478261</v>
      </c>
      <c r="D46" s="130"/>
    </row>
    <row r="47" spans="2:4" ht="31.5" x14ac:dyDescent="0.25">
      <c r="B47" s="61" t="s">
        <v>46</v>
      </c>
      <c r="C47" s="60">
        <f>_xlfn.STDEV.S(C21:C45)</f>
        <v>1.033272131193641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sheetPr codeName="Hoja7"/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'FOM303-32-Imprimir'!C16</f>
        <v>46059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'FOM303-32-Imprimir'!E16</f>
        <v>46059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23.402999999999999</v>
      </c>
      <c r="D21" s="133">
        <v>23.402999999999999</v>
      </c>
    </row>
    <row r="22" spans="2:7" ht="18.75" x14ac:dyDescent="0.25">
      <c r="B22" s="58">
        <v>1</v>
      </c>
      <c r="C22" s="133">
        <v>23.498000000000001</v>
      </c>
      <c r="D22" s="133">
        <v>23.498000000000001</v>
      </c>
    </row>
    <row r="23" spans="2:7" ht="18.75" x14ac:dyDescent="0.25">
      <c r="B23" s="58">
        <v>2</v>
      </c>
      <c r="C23" s="133">
        <v>22.747</v>
      </c>
      <c r="D23" s="133">
        <v>22.747</v>
      </c>
    </row>
    <row r="24" spans="2:7" ht="18.75" x14ac:dyDescent="0.25">
      <c r="B24" s="58">
        <v>3</v>
      </c>
      <c r="C24" s="133">
        <v>22.172000000000001</v>
      </c>
      <c r="D24" s="133">
        <v>22.172000000000001</v>
      </c>
    </row>
    <row r="25" spans="2:7" ht="18.75" x14ac:dyDescent="0.25">
      <c r="B25" s="58">
        <v>4</v>
      </c>
      <c r="C25" s="133">
        <v>22.754999999999999</v>
      </c>
      <c r="D25" s="133">
        <v>22.754999999999999</v>
      </c>
    </row>
    <row r="26" spans="2:7" ht="18.75" x14ac:dyDescent="0.25">
      <c r="B26" s="58">
        <v>5</v>
      </c>
      <c r="C26" s="133">
        <v>23.132999999999999</v>
      </c>
      <c r="D26" s="133">
        <v>23.132999999999999</v>
      </c>
    </row>
    <row r="27" spans="2:7" ht="18.75" x14ac:dyDescent="0.25">
      <c r="B27" s="58">
        <v>6</v>
      </c>
      <c r="C27" s="133">
        <v>23.459</v>
      </c>
      <c r="D27" s="133">
        <v>23.459</v>
      </c>
    </row>
    <row r="28" spans="2:7" ht="18.75" x14ac:dyDescent="0.25">
      <c r="B28" s="58">
        <v>7</v>
      </c>
      <c r="C28" s="133">
        <v>23.629000000000001</v>
      </c>
      <c r="D28" s="133">
        <v>23.629000000000001</v>
      </c>
    </row>
    <row r="29" spans="2:7" ht="18.75" x14ac:dyDescent="0.25">
      <c r="B29" s="58">
        <v>8</v>
      </c>
      <c r="C29" s="133">
        <v>23.608000000000001</v>
      </c>
      <c r="D29" s="133">
        <v>23.608000000000001</v>
      </c>
    </row>
    <row r="30" spans="2:7" ht="18.75" x14ac:dyDescent="0.25">
      <c r="B30" s="58">
        <v>9</v>
      </c>
      <c r="C30" s="133">
        <v>23.065999999999999</v>
      </c>
      <c r="D30" s="133">
        <v>23.065999999999999</v>
      </c>
    </row>
    <row r="31" spans="2:7" ht="18.75" x14ac:dyDescent="0.25">
      <c r="B31" s="58">
        <v>10</v>
      </c>
      <c r="C31" s="133">
        <v>23.143999999999998</v>
      </c>
      <c r="D31" s="133">
        <v>23.143999999999998</v>
      </c>
    </row>
    <row r="32" spans="2:7" ht="18.75" x14ac:dyDescent="0.25">
      <c r="B32" s="58">
        <v>11</v>
      </c>
      <c r="C32" s="133">
        <v>23.704999999999998</v>
      </c>
      <c r="D32" s="133">
        <v>23.704999999999998</v>
      </c>
    </row>
    <row r="33" spans="2:4" ht="18.75" x14ac:dyDescent="0.25">
      <c r="B33" s="58">
        <v>12</v>
      </c>
      <c r="C33" s="133">
        <v>22.844999999999999</v>
      </c>
      <c r="D33" s="133">
        <v>22.844999999999999</v>
      </c>
    </row>
    <row r="34" spans="2:4" ht="18.75" x14ac:dyDescent="0.25">
      <c r="B34" s="58">
        <v>13</v>
      </c>
      <c r="C34" s="133">
        <v>22.916</v>
      </c>
      <c r="D34" s="133">
        <v>22.916</v>
      </c>
    </row>
    <row r="35" spans="2:4" ht="18.75" x14ac:dyDescent="0.25">
      <c r="B35" s="58">
        <v>14</v>
      </c>
      <c r="C35" s="133">
        <v>22.876999999999999</v>
      </c>
      <c r="D35" s="133">
        <v>22.876999999999999</v>
      </c>
    </row>
    <row r="36" spans="2:4" ht="18.75" x14ac:dyDescent="0.25">
      <c r="B36" s="58">
        <v>15</v>
      </c>
      <c r="C36" s="133">
        <v>23.218</v>
      </c>
      <c r="D36" s="133">
        <v>23.218</v>
      </c>
    </row>
    <row r="37" spans="2:4" ht="18.75" x14ac:dyDescent="0.25">
      <c r="B37" s="58">
        <v>16</v>
      </c>
      <c r="C37" s="133">
        <v>22.64</v>
      </c>
      <c r="D37" s="133">
        <v>22.64</v>
      </c>
    </row>
    <row r="38" spans="2:4" ht="18.75" x14ac:dyDescent="0.25">
      <c r="B38" s="58">
        <v>17</v>
      </c>
      <c r="C38" s="133">
        <v>22.974</v>
      </c>
      <c r="D38" s="133">
        <v>22.974</v>
      </c>
    </row>
    <row r="39" spans="2:4" ht="18.75" x14ac:dyDescent="0.25">
      <c r="B39" s="58">
        <v>18</v>
      </c>
      <c r="C39" s="133">
        <v>22.744</v>
      </c>
      <c r="D39" s="133">
        <v>22.744</v>
      </c>
    </row>
    <row r="40" spans="2:4" ht="18.75" x14ac:dyDescent="0.25">
      <c r="B40" s="58">
        <v>19</v>
      </c>
      <c r="C40" s="133">
        <v>22.817</v>
      </c>
      <c r="D40" s="133">
        <v>22.817</v>
      </c>
    </row>
    <row r="41" spans="2:4" ht="18.75" x14ac:dyDescent="0.25">
      <c r="B41" s="58">
        <v>20</v>
      </c>
      <c r="C41" s="133">
        <v>22.37</v>
      </c>
      <c r="D41" s="133">
        <v>22.37</v>
      </c>
    </row>
    <row r="42" spans="2:4" ht="18.75" x14ac:dyDescent="0.25">
      <c r="B42" s="58">
        <v>21</v>
      </c>
      <c r="C42" s="133">
        <v>22.905000000000001</v>
      </c>
      <c r="D42" s="133">
        <v>22.905000000000001</v>
      </c>
    </row>
    <row r="43" spans="2:4" ht="18.75" x14ac:dyDescent="0.25">
      <c r="B43" s="58">
        <v>22</v>
      </c>
      <c r="C43" s="133">
        <v>23.367999999999999</v>
      </c>
      <c r="D43" s="133">
        <v>23.367999999999999</v>
      </c>
    </row>
    <row r="44" spans="2:4" ht="18.75" x14ac:dyDescent="0.25">
      <c r="B44" s="58">
        <v>23</v>
      </c>
      <c r="C44" s="133">
        <v>23.199000000000002</v>
      </c>
      <c r="D44" s="133">
        <v>23.199000000000002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23.034304347826087</v>
      </c>
      <c r="D46" s="130"/>
    </row>
    <row r="47" spans="2:4" ht="31.5" x14ac:dyDescent="0.25">
      <c r="B47" s="61" t="s">
        <v>46</v>
      </c>
      <c r="C47" s="60">
        <f>_xlfn.STDEV.S(C21:C45)</f>
        <v>0.39456113943674564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sheetPr codeName="Hoja8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'FOM303-32-Imprimir'!C17</f>
        <v>46060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'FOM303-32-Imprimir'!E17</f>
        <v>46060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23.282</v>
      </c>
      <c r="D21" s="133">
        <v>23.282</v>
      </c>
    </row>
    <row r="22" spans="2:7" ht="18.75" x14ac:dyDescent="0.25">
      <c r="B22" s="58">
        <v>1</v>
      </c>
      <c r="C22" s="133">
        <v>23.460999999999999</v>
      </c>
      <c r="D22" s="133">
        <v>23.460999999999999</v>
      </c>
    </row>
    <row r="23" spans="2:7" ht="18.75" x14ac:dyDescent="0.25">
      <c r="B23" s="58">
        <v>2</v>
      </c>
      <c r="C23" s="133">
        <v>22.988</v>
      </c>
      <c r="D23" s="133">
        <v>22.988</v>
      </c>
    </row>
    <row r="24" spans="2:7" ht="18.75" x14ac:dyDescent="0.25">
      <c r="B24" s="58">
        <v>3</v>
      </c>
      <c r="C24" s="133">
        <v>22.427</v>
      </c>
      <c r="D24" s="133">
        <v>22.427</v>
      </c>
    </row>
    <row r="25" spans="2:7" ht="18.75" x14ac:dyDescent="0.25">
      <c r="B25" s="58">
        <v>4</v>
      </c>
      <c r="C25" s="133">
        <v>21.983000000000001</v>
      </c>
      <c r="D25" s="133">
        <v>21.983000000000001</v>
      </c>
    </row>
    <row r="26" spans="2:7" ht="18.75" x14ac:dyDescent="0.25">
      <c r="B26" s="58">
        <v>5</v>
      </c>
      <c r="C26" s="133">
        <v>21.504999999999999</v>
      </c>
      <c r="D26" s="133">
        <v>21.504999999999999</v>
      </c>
    </row>
    <row r="27" spans="2:7" ht="18.75" x14ac:dyDescent="0.25">
      <c r="B27" s="58">
        <v>6</v>
      </c>
      <c r="C27" s="133">
        <v>21.922000000000001</v>
      </c>
      <c r="D27" s="133">
        <v>21.922000000000001</v>
      </c>
    </row>
    <row r="28" spans="2:7" ht="18.75" x14ac:dyDescent="0.25">
      <c r="B28" s="58">
        <v>7</v>
      </c>
      <c r="C28" s="133">
        <v>21.905000000000001</v>
      </c>
      <c r="D28" s="133">
        <v>21.905000000000001</v>
      </c>
    </row>
    <row r="29" spans="2:7" ht="18.75" x14ac:dyDescent="0.25">
      <c r="B29" s="58">
        <v>8</v>
      </c>
      <c r="C29" s="133">
        <v>21.637</v>
      </c>
      <c r="D29" s="133">
        <v>21.637</v>
      </c>
    </row>
    <row r="30" spans="2:7" ht="18.75" x14ac:dyDescent="0.25">
      <c r="B30" s="58">
        <v>9</v>
      </c>
      <c r="C30" s="133">
        <v>21.606999999999999</v>
      </c>
      <c r="D30" s="133">
        <v>21.606999999999999</v>
      </c>
    </row>
    <row r="31" spans="2:7" ht="18.75" x14ac:dyDescent="0.25">
      <c r="B31" s="58">
        <v>10</v>
      </c>
      <c r="C31" s="133">
        <v>22.193999999999999</v>
      </c>
      <c r="D31" s="133">
        <v>22.193999999999999</v>
      </c>
    </row>
    <row r="32" spans="2:7" ht="18.75" x14ac:dyDescent="0.25">
      <c r="B32" s="58">
        <v>11</v>
      </c>
      <c r="C32" s="133">
        <v>23.172999999999998</v>
      </c>
      <c r="D32" s="133">
        <v>23.172999999999998</v>
      </c>
    </row>
    <row r="33" spans="2:4" ht="18.75" x14ac:dyDescent="0.25">
      <c r="B33" s="58">
        <v>12</v>
      </c>
      <c r="C33" s="133">
        <v>22.600999999999999</v>
      </c>
      <c r="D33" s="133">
        <v>22.600999999999999</v>
      </c>
    </row>
    <row r="34" spans="2:4" ht="18.75" x14ac:dyDescent="0.25">
      <c r="B34" s="58">
        <v>13</v>
      </c>
      <c r="C34" s="133">
        <v>22.760999999999999</v>
      </c>
      <c r="D34" s="133">
        <v>22.760999999999999</v>
      </c>
    </row>
    <row r="35" spans="2:4" ht="18.75" x14ac:dyDescent="0.25">
      <c r="B35" s="58">
        <v>14</v>
      </c>
      <c r="C35" s="133">
        <v>22.803000000000001</v>
      </c>
      <c r="D35" s="133">
        <v>22.803000000000001</v>
      </c>
    </row>
    <row r="36" spans="2:4" ht="18.75" x14ac:dyDescent="0.25">
      <c r="B36" s="58">
        <v>15</v>
      </c>
      <c r="C36" s="133">
        <v>23.285</v>
      </c>
      <c r="D36" s="133">
        <v>23.285</v>
      </c>
    </row>
    <row r="37" spans="2:4" ht="18.75" x14ac:dyDescent="0.25">
      <c r="B37" s="58">
        <v>16</v>
      </c>
      <c r="C37" s="133">
        <v>22.66</v>
      </c>
      <c r="D37" s="133">
        <v>22.66</v>
      </c>
    </row>
    <row r="38" spans="2:4" ht="18.75" x14ac:dyDescent="0.25">
      <c r="B38" s="58">
        <v>17</v>
      </c>
      <c r="C38" s="133">
        <v>23.356999999999999</v>
      </c>
      <c r="D38" s="133">
        <v>23.356999999999999</v>
      </c>
    </row>
    <row r="39" spans="2:4" ht="18.75" x14ac:dyDescent="0.25">
      <c r="B39" s="58">
        <v>18</v>
      </c>
      <c r="C39" s="133">
        <v>23.321999999999999</v>
      </c>
      <c r="D39" s="133">
        <v>23.321999999999999</v>
      </c>
    </row>
    <row r="40" spans="2:4" ht="18.75" x14ac:dyDescent="0.25">
      <c r="B40" s="58">
        <v>19</v>
      </c>
      <c r="C40" s="133">
        <v>23.183</v>
      </c>
      <c r="D40" s="133">
        <v>23.183</v>
      </c>
    </row>
    <row r="41" spans="2:4" ht="18.75" x14ac:dyDescent="0.25">
      <c r="B41" s="58">
        <v>20</v>
      </c>
      <c r="C41" s="133">
        <v>22.861999999999998</v>
      </c>
      <c r="D41" s="133">
        <v>22.861999999999998</v>
      </c>
    </row>
    <row r="42" spans="2:4" ht="18.75" x14ac:dyDescent="0.25">
      <c r="B42" s="58">
        <v>21</v>
      </c>
      <c r="C42" s="133">
        <v>23.24</v>
      </c>
      <c r="D42" s="133">
        <v>23.24</v>
      </c>
    </row>
    <row r="43" spans="2:4" ht="18.75" x14ac:dyDescent="0.25">
      <c r="B43" s="58">
        <v>22</v>
      </c>
      <c r="C43" s="133">
        <v>23.228000000000002</v>
      </c>
      <c r="D43" s="133">
        <v>23.228000000000002</v>
      </c>
    </row>
    <row r="44" spans="2:4" ht="18.75" x14ac:dyDescent="0.25">
      <c r="B44" s="58">
        <v>23</v>
      </c>
      <c r="C44" s="133">
        <v>23.369</v>
      </c>
      <c r="D44" s="133">
        <v>23.369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22.672739130434792</v>
      </c>
      <c r="D46" s="130"/>
    </row>
    <row r="47" spans="2:4" ht="31.5" x14ac:dyDescent="0.25">
      <c r="B47" s="61" t="s">
        <v>46</v>
      </c>
      <c r="C47" s="60">
        <f>_xlfn.STDEV.S(C21:C45)</f>
        <v>0.64346232702804562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sheetPr codeName="Hoja9"/>
  <dimension ref="A1:L50"/>
  <sheetViews>
    <sheetView showGridLines="0" view="pageBreakPreview" topLeftCell="A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'FOM303-32-Imprimir'!C18</f>
        <v>46061</v>
      </c>
      <c r="C11" s="135"/>
      <c r="D11" s="36" t="s">
        <v>39</v>
      </c>
      <c r="E11" s="141" cm="1">
        <f t="array" ref="E11">'Dia 1'!E11:E11</f>
        <v>0</v>
      </c>
      <c r="F11" s="141"/>
      <c r="G11" s="141"/>
    </row>
    <row r="12" spans="1:12" ht="15.75" x14ac:dyDescent="0.25">
      <c r="A12" s="35" t="s">
        <v>40</v>
      </c>
      <c r="B12" s="134">
        <f>'FOM303-32-Imprimir'!E18</f>
        <v>46061</v>
      </c>
      <c r="C12" s="135"/>
      <c r="D12" s="35" t="s">
        <v>41</v>
      </c>
      <c r="E12" s="141" cm="1">
        <f t="array" ref="E12">'Dia 1'!E12:E12</f>
        <v>0.95833333333333337</v>
      </c>
      <c r="F12" s="141"/>
      <c r="G12" s="141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23.321999999999999</v>
      </c>
      <c r="D21" s="133">
        <v>23.321999999999999</v>
      </c>
    </row>
    <row r="22" spans="2:7" ht="18.75" x14ac:dyDescent="0.25">
      <c r="B22" s="58">
        <v>1</v>
      </c>
      <c r="C22" s="133">
        <v>23.15</v>
      </c>
      <c r="D22" s="133">
        <v>23.15</v>
      </c>
    </row>
    <row r="23" spans="2:7" ht="18.75" x14ac:dyDescent="0.25">
      <c r="B23" s="58">
        <v>2</v>
      </c>
      <c r="C23" s="133">
        <v>23.280999999999999</v>
      </c>
      <c r="D23" s="133">
        <v>23.280999999999999</v>
      </c>
    </row>
    <row r="24" spans="2:7" ht="18.75" x14ac:dyDescent="0.25">
      <c r="B24" s="58">
        <v>3</v>
      </c>
      <c r="C24" s="133">
        <v>23.146999999999998</v>
      </c>
      <c r="D24" s="133">
        <v>23.146999999999998</v>
      </c>
    </row>
    <row r="25" spans="2:7" ht="18.75" x14ac:dyDescent="0.25">
      <c r="B25" s="58">
        <v>4</v>
      </c>
      <c r="C25" s="133">
        <v>23.690999999999999</v>
      </c>
      <c r="D25" s="133">
        <v>23.690999999999999</v>
      </c>
    </row>
    <row r="26" spans="2:7" ht="18.75" x14ac:dyDescent="0.25">
      <c r="B26" s="58">
        <v>5</v>
      </c>
      <c r="C26" s="133">
        <v>23.262</v>
      </c>
      <c r="D26" s="133">
        <v>23.262</v>
      </c>
    </row>
    <row r="27" spans="2:7" ht="18.75" x14ac:dyDescent="0.25">
      <c r="B27" s="58">
        <v>6</v>
      </c>
      <c r="C27" s="133">
        <v>23.725000000000001</v>
      </c>
      <c r="D27" s="133">
        <v>23.725000000000001</v>
      </c>
    </row>
    <row r="28" spans="2:7" ht="18.75" x14ac:dyDescent="0.25">
      <c r="B28" s="58">
        <v>7</v>
      </c>
      <c r="C28" s="133">
        <v>23.783000000000001</v>
      </c>
      <c r="D28" s="133">
        <v>23.783000000000001</v>
      </c>
    </row>
    <row r="29" spans="2:7" ht="18.75" x14ac:dyDescent="0.25">
      <c r="B29" s="58">
        <v>8</v>
      </c>
      <c r="C29" s="133">
        <v>23.527000000000001</v>
      </c>
      <c r="D29" s="133">
        <v>23.527000000000001</v>
      </c>
    </row>
    <row r="30" spans="2:7" ht="18.75" x14ac:dyDescent="0.25">
      <c r="B30" s="58">
        <v>9</v>
      </c>
      <c r="C30" s="133">
        <v>23.245999999999999</v>
      </c>
      <c r="D30" s="133">
        <v>23.245999999999999</v>
      </c>
    </row>
    <row r="31" spans="2:7" ht="18.75" x14ac:dyDescent="0.25">
      <c r="B31" s="58">
        <v>10</v>
      </c>
      <c r="C31" s="133">
        <v>23.423999999999999</v>
      </c>
      <c r="D31" s="133">
        <v>23.423999999999999</v>
      </c>
    </row>
    <row r="32" spans="2:7" ht="18.75" x14ac:dyDescent="0.25">
      <c r="B32" s="58">
        <v>11</v>
      </c>
      <c r="C32" s="133">
        <v>23.495000000000001</v>
      </c>
      <c r="D32" s="133">
        <v>23.495000000000001</v>
      </c>
    </row>
    <row r="33" spans="2:4" ht="18.75" x14ac:dyDescent="0.25">
      <c r="B33" s="58">
        <v>12</v>
      </c>
      <c r="C33" s="133">
        <v>23.02</v>
      </c>
      <c r="D33" s="133">
        <v>23.02</v>
      </c>
    </row>
    <row r="34" spans="2:4" ht="18.75" x14ac:dyDescent="0.25">
      <c r="B34" s="58">
        <v>13</v>
      </c>
      <c r="C34" s="133">
        <v>23.01</v>
      </c>
      <c r="D34" s="133">
        <v>23.01</v>
      </c>
    </row>
    <row r="35" spans="2:4" ht="18.75" x14ac:dyDescent="0.25">
      <c r="B35" s="58">
        <v>14</v>
      </c>
      <c r="C35" s="133">
        <v>23.195</v>
      </c>
      <c r="D35" s="133">
        <v>23.195</v>
      </c>
    </row>
    <row r="36" spans="2:4" ht="18.75" x14ac:dyDescent="0.25">
      <c r="B36" s="58">
        <v>15</v>
      </c>
      <c r="C36" s="133">
        <v>23.486999999999998</v>
      </c>
      <c r="D36" s="133">
        <v>23.486999999999998</v>
      </c>
    </row>
    <row r="37" spans="2:4" ht="18.75" x14ac:dyDescent="0.25">
      <c r="B37" s="58">
        <v>16</v>
      </c>
      <c r="C37" s="133">
        <v>23.64</v>
      </c>
      <c r="D37" s="133">
        <v>23.64</v>
      </c>
    </row>
    <row r="38" spans="2:4" ht="18.75" x14ac:dyDescent="0.25">
      <c r="B38" s="58">
        <v>17</v>
      </c>
      <c r="C38" s="133">
        <v>22.994</v>
      </c>
      <c r="D38" s="133">
        <v>22.994</v>
      </c>
    </row>
    <row r="39" spans="2:4" ht="18.75" x14ac:dyDescent="0.25">
      <c r="B39" s="58">
        <v>18</v>
      </c>
      <c r="C39" s="133">
        <v>22.422999999999998</v>
      </c>
      <c r="D39" s="133">
        <v>22.422999999999998</v>
      </c>
    </row>
    <row r="40" spans="2:4" ht="18.75" x14ac:dyDescent="0.25">
      <c r="B40" s="58">
        <v>19</v>
      </c>
      <c r="C40" s="133">
        <v>22.116</v>
      </c>
      <c r="D40" s="133">
        <v>22.116</v>
      </c>
    </row>
    <row r="41" spans="2:4" ht="18.75" x14ac:dyDescent="0.25">
      <c r="B41" s="58">
        <v>20</v>
      </c>
      <c r="C41" s="133">
        <v>22.166</v>
      </c>
      <c r="D41" s="133">
        <v>22.166</v>
      </c>
    </row>
    <row r="42" spans="2:4" ht="18.75" x14ac:dyDescent="0.25">
      <c r="B42" s="58">
        <v>21</v>
      </c>
      <c r="C42" s="133">
        <v>22.794</v>
      </c>
      <c r="D42" s="133">
        <v>22.794</v>
      </c>
    </row>
    <row r="43" spans="2:4" ht="18.75" x14ac:dyDescent="0.25">
      <c r="B43" s="58">
        <v>22</v>
      </c>
      <c r="C43" s="133">
        <v>23.381</v>
      </c>
      <c r="D43" s="133">
        <v>23.381</v>
      </c>
    </row>
    <row r="44" spans="2:4" ht="18.75" x14ac:dyDescent="0.25">
      <c r="B44" s="58">
        <v>23</v>
      </c>
      <c r="C44" s="133">
        <v>23.794</v>
      </c>
      <c r="D44" s="133">
        <v>23.794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23.206565217391304</v>
      </c>
      <c r="D46" s="130"/>
    </row>
    <row r="47" spans="2:4" ht="31.5" x14ac:dyDescent="0.25">
      <c r="B47" s="61" t="s">
        <v>46</v>
      </c>
      <c r="C47" s="60">
        <f>_xlfn.STDEV.S(C21:C45)</f>
        <v>0.46230225502370226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sheetPr codeName="Hoja10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'FOM303-32-Imprimir'!C19</f>
        <v>46062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'FOM303-32-Imprimir'!E19</f>
        <v>46062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23.76</v>
      </c>
      <c r="D21" s="133">
        <v>23.76</v>
      </c>
    </row>
    <row r="22" spans="2:7" ht="18.75" x14ac:dyDescent="0.25">
      <c r="B22" s="58">
        <v>1</v>
      </c>
      <c r="C22" s="133">
        <v>23.12</v>
      </c>
      <c r="D22" s="133">
        <v>23.12</v>
      </c>
    </row>
    <row r="23" spans="2:7" ht="18.75" x14ac:dyDescent="0.25">
      <c r="B23" s="58">
        <v>2</v>
      </c>
      <c r="C23" s="133">
        <v>23.268000000000001</v>
      </c>
      <c r="D23" s="133">
        <v>23.268000000000001</v>
      </c>
    </row>
    <row r="24" spans="2:7" ht="18.75" x14ac:dyDescent="0.25">
      <c r="B24" s="58">
        <v>3</v>
      </c>
      <c r="C24" s="133">
        <v>23.222000000000001</v>
      </c>
      <c r="D24" s="133">
        <v>23.222000000000001</v>
      </c>
    </row>
    <row r="25" spans="2:7" ht="18.75" x14ac:dyDescent="0.25">
      <c r="B25" s="58">
        <v>4</v>
      </c>
      <c r="C25" s="133">
        <v>23.326000000000001</v>
      </c>
      <c r="D25" s="133">
        <v>23.326000000000001</v>
      </c>
    </row>
    <row r="26" spans="2:7" ht="18.75" x14ac:dyDescent="0.25">
      <c r="B26" s="58">
        <v>5</v>
      </c>
      <c r="C26" s="133">
        <v>23.129000000000001</v>
      </c>
      <c r="D26" s="133">
        <v>23.129000000000001</v>
      </c>
    </row>
    <row r="27" spans="2:7" ht="18.75" x14ac:dyDescent="0.25">
      <c r="B27" s="58">
        <v>6</v>
      </c>
      <c r="C27" s="133">
        <v>23.751000000000001</v>
      </c>
      <c r="D27" s="133">
        <v>23.751000000000001</v>
      </c>
    </row>
    <row r="28" spans="2:7" ht="18.75" x14ac:dyDescent="0.25">
      <c r="B28" s="58">
        <v>7</v>
      </c>
      <c r="C28" s="133">
        <v>23.259</v>
      </c>
      <c r="D28" s="133">
        <v>23.259</v>
      </c>
    </row>
    <row r="29" spans="2:7" ht="18.75" x14ac:dyDescent="0.25">
      <c r="B29" s="58">
        <v>8</v>
      </c>
      <c r="C29" s="133">
        <v>22.488</v>
      </c>
      <c r="D29" s="133">
        <v>22.488</v>
      </c>
    </row>
    <row r="30" spans="2:7" ht="18.75" x14ac:dyDescent="0.25">
      <c r="B30" s="58">
        <v>9</v>
      </c>
      <c r="C30" s="133">
        <v>21.454999999999998</v>
      </c>
      <c r="D30" s="133">
        <v>21.454999999999998</v>
      </c>
    </row>
    <row r="31" spans="2:7" ht="18.75" x14ac:dyDescent="0.25">
      <c r="B31" s="58">
        <v>10</v>
      </c>
      <c r="C31" s="133">
        <v>20.957000000000001</v>
      </c>
      <c r="D31" s="133">
        <v>20.957000000000001</v>
      </c>
    </row>
    <row r="32" spans="2:7" ht="18.75" x14ac:dyDescent="0.25">
      <c r="B32" s="58">
        <v>11</v>
      </c>
      <c r="C32" s="133">
        <v>21.963999999999999</v>
      </c>
      <c r="D32" s="133">
        <v>21.963999999999999</v>
      </c>
    </row>
    <row r="33" spans="2:4" ht="18.75" x14ac:dyDescent="0.25">
      <c r="B33" s="58">
        <v>12</v>
      </c>
      <c r="C33" s="133">
        <v>23.370999999999999</v>
      </c>
      <c r="D33" s="133">
        <v>23.370999999999999</v>
      </c>
    </row>
    <row r="34" spans="2:4" ht="18.75" x14ac:dyDescent="0.25">
      <c r="B34" s="58">
        <v>13</v>
      </c>
      <c r="C34" s="133">
        <v>22.172000000000001</v>
      </c>
      <c r="D34" s="133">
        <v>22.172000000000001</v>
      </c>
    </row>
    <row r="35" spans="2:4" ht="18.75" x14ac:dyDescent="0.25">
      <c r="B35" s="58">
        <v>14</v>
      </c>
      <c r="C35" s="133">
        <v>22.452000000000002</v>
      </c>
      <c r="D35" s="133">
        <v>22.452000000000002</v>
      </c>
    </row>
    <row r="36" spans="2:4" ht="18.75" x14ac:dyDescent="0.25">
      <c r="B36" s="58">
        <v>15</v>
      </c>
      <c r="C36" s="133">
        <v>23.082999999999998</v>
      </c>
      <c r="D36" s="133">
        <v>23.082999999999998</v>
      </c>
    </row>
    <row r="37" spans="2:4" ht="18.75" x14ac:dyDescent="0.25">
      <c r="B37" s="58">
        <v>16</v>
      </c>
      <c r="C37" s="133">
        <v>22.911999999999999</v>
      </c>
      <c r="D37" s="133">
        <v>22.911999999999999</v>
      </c>
    </row>
    <row r="38" spans="2:4" ht="18.75" x14ac:dyDescent="0.25">
      <c r="B38" s="58">
        <v>17</v>
      </c>
      <c r="C38" s="133">
        <v>22.268000000000001</v>
      </c>
      <c r="D38" s="133">
        <v>22.268000000000001</v>
      </c>
    </row>
    <row r="39" spans="2:4" ht="18.75" x14ac:dyDescent="0.25">
      <c r="B39" s="58">
        <v>18</v>
      </c>
      <c r="C39" s="133">
        <v>22.309000000000001</v>
      </c>
      <c r="D39" s="133">
        <v>22.309000000000001</v>
      </c>
    </row>
    <row r="40" spans="2:4" ht="18.75" x14ac:dyDescent="0.25">
      <c r="B40" s="58">
        <v>19</v>
      </c>
      <c r="C40" s="133">
        <v>22.24</v>
      </c>
      <c r="D40" s="133">
        <v>22.24</v>
      </c>
    </row>
    <row r="41" spans="2:4" ht="18.75" x14ac:dyDescent="0.25">
      <c r="B41" s="58">
        <v>20</v>
      </c>
      <c r="C41" s="133">
        <v>22.861000000000001</v>
      </c>
      <c r="D41" s="133">
        <v>22.861000000000001</v>
      </c>
    </row>
    <row r="42" spans="2:4" ht="18.75" x14ac:dyDescent="0.25">
      <c r="B42" s="58">
        <v>21</v>
      </c>
      <c r="C42" s="133">
        <v>22.881</v>
      </c>
      <c r="D42" s="133">
        <v>22.881</v>
      </c>
    </row>
    <row r="43" spans="2:4" ht="18.75" x14ac:dyDescent="0.25">
      <c r="B43" s="58">
        <v>22</v>
      </c>
      <c r="C43" s="133">
        <v>23.105</v>
      </c>
      <c r="D43" s="133">
        <v>23.105</v>
      </c>
    </row>
    <row r="44" spans="2:4" ht="18.75" x14ac:dyDescent="0.25">
      <c r="B44" s="58">
        <v>23</v>
      </c>
      <c r="C44" s="133">
        <v>23.774999999999999</v>
      </c>
      <c r="D44" s="133">
        <v>23.774999999999999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22.755130434782608</v>
      </c>
      <c r="D46" s="130"/>
    </row>
    <row r="47" spans="2:4" ht="31.5" x14ac:dyDescent="0.25">
      <c r="B47" s="61" t="s">
        <v>46</v>
      </c>
      <c r="C47" s="60">
        <f>_xlfn.STDEV.S(C21:C45)</f>
        <v>0.71470894045423672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sheetPr codeName="Hoja11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'FOM303-32-Imprimir'!C20</f>
        <v>46063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'FOM303-32-Imprimir'!E20</f>
        <v>46063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23.19</v>
      </c>
      <c r="D21" s="133">
        <v>23.19</v>
      </c>
    </row>
    <row r="22" spans="2:7" ht="18.75" x14ac:dyDescent="0.25">
      <c r="B22" s="58">
        <v>1</v>
      </c>
      <c r="C22" s="133">
        <v>23.042000000000002</v>
      </c>
      <c r="D22" s="133">
        <v>23.042000000000002</v>
      </c>
    </row>
    <row r="23" spans="2:7" ht="18.75" x14ac:dyDescent="0.25">
      <c r="B23" s="58">
        <v>2</v>
      </c>
      <c r="C23" s="133">
        <v>23.361000000000001</v>
      </c>
      <c r="D23" s="133">
        <v>23.361000000000001</v>
      </c>
    </row>
    <row r="24" spans="2:7" ht="18.75" x14ac:dyDescent="0.25">
      <c r="B24" s="58">
        <v>3</v>
      </c>
      <c r="C24" s="133">
        <v>23.649000000000001</v>
      </c>
      <c r="D24" s="133">
        <v>23.649000000000001</v>
      </c>
    </row>
    <row r="25" spans="2:7" ht="18.75" x14ac:dyDescent="0.25">
      <c r="B25" s="58">
        <v>4</v>
      </c>
      <c r="C25" s="133">
        <v>23.879000000000001</v>
      </c>
      <c r="D25" s="133">
        <v>23.879000000000001</v>
      </c>
    </row>
    <row r="26" spans="2:7" ht="18.75" x14ac:dyDescent="0.25">
      <c r="B26" s="58">
        <v>5</v>
      </c>
      <c r="C26" s="133">
        <v>23.376999999999999</v>
      </c>
      <c r="D26" s="133">
        <v>23.376999999999999</v>
      </c>
    </row>
    <row r="27" spans="2:7" ht="18.75" x14ac:dyDescent="0.25">
      <c r="B27" s="58">
        <v>6</v>
      </c>
      <c r="C27" s="133">
        <v>22.564</v>
      </c>
      <c r="D27" s="133">
        <v>22.564</v>
      </c>
    </row>
    <row r="28" spans="2:7" ht="18.75" x14ac:dyDescent="0.25">
      <c r="B28" s="58">
        <v>7</v>
      </c>
      <c r="C28" s="133">
        <v>22.204999999999998</v>
      </c>
      <c r="D28" s="133">
        <v>22.204999999999998</v>
      </c>
    </row>
    <row r="29" spans="2:7" ht="18.75" x14ac:dyDescent="0.25">
      <c r="B29" s="58">
        <v>8</v>
      </c>
      <c r="C29" s="133">
        <v>22.363</v>
      </c>
      <c r="D29" s="133">
        <v>22.363</v>
      </c>
    </row>
    <row r="30" spans="2:7" ht="18.75" x14ac:dyDescent="0.25">
      <c r="B30" s="58">
        <v>9</v>
      </c>
      <c r="C30" s="133">
        <v>22.044</v>
      </c>
      <c r="D30" s="133">
        <v>22.044</v>
      </c>
    </row>
    <row r="31" spans="2:7" ht="18.75" x14ac:dyDescent="0.25">
      <c r="B31" s="58">
        <v>10</v>
      </c>
      <c r="C31" s="133">
        <v>21.864999999999998</v>
      </c>
      <c r="D31" s="133">
        <v>21.864999999999998</v>
      </c>
    </row>
    <row r="32" spans="2:7" ht="18.75" x14ac:dyDescent="0.25">
      <c r="B32" s="58">
        <v>11</v>
      </c>
      <c r="C32" s="133">
        <v>22.346</v>
      </c>
      <c r="D32" s="133">
        <v>22.346</v>
      </c>
    </row>
    <row r="33" spans="2:4" ht="18.75" x14ac:dyDescent="0.25">
      <c r="B33" s="58">
        <v>12</v>
      </c>
      <c r="C33" s="133">
        <v>23.353999999999999</v>
      </c>
      <c r="D33" s="133">
        <v>23.353999999999999</v>
      </c>
    </row>
    <row r="34" spans="2:4" ht="18.75" x14ac:dyDescent="0.25">
      <c r="B34" s="58">
        <v>13</v>
      </c>
      <c r="C34" s="133">
        <v>23.199000000000002</v>
      </c>
      <c r="D34" s="133">
        <v>23.199000000000002</v>
      </c>
    </row>
    <row r="35" spans="2:4" ht="18.75" x14ac:dyDescent="0.25">
      <c r="B35" s="58">
        <v>14</v>
      </c>
      <c r="C35" s="133">
        <v>23.198</v>
      </c>
      <c r="D35" s="133">
        <v>23.198</v>
      </c>
    </row>
    <row r="36" spans="2:4" ht="18.75" x14ac:dyDescent="0.25">
      <c r="B36" s="58">
        <v>15</v>
      </c>
      <c r="C36" s="133">
        <v>22.558</v>
      </c>
      <c r="D36" s="133">
        <v>22.558</v>
      </c>
    </row>
    <row r="37" spans="2:4" ht="18.75" x14ac:dyDescent="0.25">
      <c r="B37" s="58">
        <v>16</v>
      </c>
      <c r="C37" s="133">
        <v>22.547999999999998</v>
      </c>
      <c r="D37" s="133">
        <v>22.547999999999998</v>
      </c>
    </row>
    <row r="38" spans="2:4" ht="18.75" x14ac:dyDescent="0.25">
      <c r="B38" s="58">
        <v>17</v>
      </c>
      <c r="C38" s="133">
        <v>22.428999999999998</v>
      </c>
      <c r="D38" s="133">
        <v>22.428999999999998</v>
      </c>
    </row>
    <row r="39" spans="2:4" ht="18.75" x14ac:dyDescent="0.25">
      <c r="B39" s="58">
        <v>18</v>
      </c>
      <c r="C39" s="133">
        <v>22.233000000000001</v>
      </c>
      <c r="D39" s="133">
        <v>22.233000000000001</v>
      </c>
    </row>
    <row r="40" spans="2:4" ht="18.75" x14ac:dyDescent="0.25">
      <c r="B40" s="58">
        <v>19</v>
      </c>
      <c r="C40" s="133">
        <v>22.210999999999999</v>
      </c>
      <c r="D40" s="133">
        <v>22.210999999999999</v>
      </c>
    </row>
    <row r="41" spans="2:4" ht="18.75" x14ac:dyDescent="0.25">
      <c r="B41" s="58">
        <v>20</v>
      </c>
      <c r="C41" s="133">
        <v>22.483000000000001</v>
      </c>
      <c r="D41" s="133">
        <v>22.483000000000001</v>
      </c>
    </row>
    <row r="42" spans="2:4" ht="18.75" x14ac:dyDescent="0.25">
      <c r="B42" s="58">
        <v>21</v>
      </c>
      <c r="C42" s="133">
        <v>22.728999999999999</v>
      </c>
      <c r="D42" s="133">
        <v>22.728999999999999</v>
      </c>
    </row>
    <row r="43" spans="2:4" ht="18.75" x14ac:dyDescent="0.25">
      <c r="B43" s="58">
        <v>22</v>
      </c>
      <c r="C43" s="133">
        <v>23.009</v>
      </c>
      <c r="D43" s="133">
        <v>23.009</v>
      </c>
    </row>
    <row r="44" spans="2:4" ht="18.75" x14ac:dyDescent="0.25">
      <c r="B44" s="58">
        <v>23</v>
      </c>
      <c r="C44" s="133">
        <v>23.657</v>
      </c>
      <c r="D44" s="133">
        <v>23.657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22.795782608695653</v>
      </c>
      <c r="D46" s="130"/>
    </row>
    <row r="47" spans="2:4" ht="31.5" x14ac:dyDescent="0.25">
      <c r="B47" s="61" t="s">
        <v>46</v>
      </c>
      <c r="C47" s="60">
        <f>_xlfn.STDEV.S(C21:C45)</f>
        <v>0.56831734698499081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sheetPr codeName="Hoja12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'FOM303-32-Imprimir'!C21</f>
        <v>46064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'FOM303-32-Imprimir'!E21</f>
        <v>46064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23.388999999999999</v>
      </c>
      <c r="D21" s="133">
        <v>23.388999999999999</v>
      </c>
    </row>
    <row r="22" spans="2:7" ht="18.75" x14ac:dyDescent="0.25">
      <c r="B22" s="58">
        <v>1</v>
      </c>
      <c r="C22" s="133">
        <v>23.622</v>
      </c>
      <c r="D22" s="133">
        <v>23.622</v>
      </c>
    </row>
    <row r="23" spans="2:7" ht="18.75" x14ac:dyDescent="0.25">
      <c r="B23" s="58">
        <v>2</v>
      </c>
      <c r="C23" s="133">
        <v>23.137</v>
      </c>
      <c r="D23" s="133">
        <v>23.137</v>
      </c>
    </row>
    <row r="24" spans="2:7" ht="18.75" x14ac:dyDescent="0.25">
      <c r="B24" s="58">
        <v>3</v>
      </c>
      <c r="C24" s="133">
        <v>22.754999999999999</v>
      </c>
      <c r="D24" s="133">
        <v>22.754999999999999</v>
      </c>
    </row>
    <row r="25" spans="2:7" ht="18.75" x14ac:dyDescent="0.25">
      <c r="B25" s="58">
        <v>4</v>
      </c>
      <c r="C25" s="133">
        <v>22.32</v>
      </c>
      <c r="D25" s="133">
        <v>22.32</v>
      </c>
    </row>
    <row r="26" spans="2:7" ht="18.75" x14ac:dyDescent="0.25">
      <c r="B26" s="58">
        <v>5</v>
      </c>
      <c r="C26" s="133">
        <v>21.709</v>
      </c>
      <c r="D26" s="133">
        <v>21.709</v>
      </c>
    </row>
    <row r="27" spans="2:7" ht="18.75" x14ac:dyDescent="0.25">
      <c r="B27" s="58">
        <v>6</v>
      </c>
      <c r="C27" s="133">
        <v>20.69</v>
      </c>
      <c r="D27" s="133">
        <v>20.69</v>
      </c>
    </row>
    <row r="28" spans="2:7" ht="18.75" x14ac:dyDescent="0.25">
      <c r="B28" s="58">
        <v>7</v>
      </c>
      <c r="C28" s="133">
        <v>22.702999999999999</v>
      </c>
      <c r="D28" s="133">
        <v>22.702999999999999</v>
      </c>
    </row>
    <row r="29" spans="2:7" ht="18.75" x14ac:dyDescent="0.25">
      <c r="B29" s="58">
        <v>8</v>
      </c>
      <c r="C29" s="133">
        <v>23.873000000000001</v>
      </c>
      <c r="D29" s="133">
        <v>23.873000000000001</v>
      </c>
    </row>
    <row r="30" spans="2:7" ht="18.75" x14ac:dyDescent="0.25">
      <c r="B30" s="58">
        <v>9</v>
      </c>
      <c r="C30" s="133">
        <v>23.966999999999999</v>
      </c>
      <c r="D30" s="133">
        <v>23.966999999999999</v>
      </c>
    </row>
    <row r="31" spans="2:7" ht="18.75" x14ac:dyDescent="0.25">
      <c r="B31" s="58">
        <v>10</v>
      </c>
      <c r="C31" s="133">
        <v>23.890999999999998</v>
      </c>
      <c r="D31" s="133">
        <v>23.890999999999998</v>
      </c>
    </row>
    <row r="32" spans="2:7" ht="18.75" x14ac:dyDescent="0.25">
      <c r="B32" s="58">
        <v>11</v>
      </c>
      <c r="C32" s="133">
        <v>22.492999999999999</v>
      </c>
      <c r="D32" s="133">
        <v>22.492999999999999</v>
      </c>
    </row>
    <row r="33" spans="2:4" ht="18.75" x14ac:dyDescent="0.25">
      <c r="B33" s="58">
        <v>12</v>
      </c>
      <c r="C33" s="133">
        <v>23.132999999999999</v>
      </c>
      <c r="D33" s="133">
        <v>23.132999999999999</v>
      </c>
    </row>
    <row r="34" spans="2:4" ht="18.75" x14ac:dyDescent="0.25">
      <c r="B34" s="58">
        <v>13</v>
      </c>
      <c r="C34" s="133">
        <v>22.933</v>
      </c>
      <c r="D34" s="133">
        <v>22.933</v>
      </c>
    </row>
    <row r="35" spans="2:4" ht="18.75" x14ac:dyDescent="0.25">
      <c r="B35" s="58">
        <v>14</v>
      </c>
      <c r="C35" s="133">
        <v>23.306999999999999</v>
      </c>
      <c r="D35" s="133">
        <v>23.306999999999999</v>
      </c>
    </row>
    <row r="36" spans="2:4" ht="18.75" x14ac:dyDescent="0.25">
      <c r="B36" s="58">
        <v>15</v>
      </c>
      <c r="C36" s="133">
        <v>23.588000000000001</v>
      </c>
      <c r="D36" s="133">
        <v>23.588000000000001</v>
      </c>
    </row>
    <row r="37" spans="2:4" ht="18.75" x14ac:dyDescent="0.25">
      <c r="B37" s="58">
        <v>16</v>
      </c>
      <c r="C37" s="133">
        <v>23.844000000000001</v>
      </c>
      <c r="D37" s="133">
        <v>23.844000000000001</v>
      </c>
    </row>
    <row r="38" spans="2:4" ht="18.75" x14ac:dyDescent="0.25">
      <c r="B38" s="58">
        <v>17</v>
      </c>
      <c r="C38" s="133">
        <v>23.614999999999998</v>
      </c>
      <c r="D38" s="133">
        <v>23.614999999999998</v>
      </c>
    </row>
    <row r="39" spans="2:4" ht="18.75" x14ac:dyDescent="0.25">
      <c r="B39" s="58">
        <v>18</v>
      </c>
      <c r="C39" s="133">
        <v>23.667000000000002</v>
      </c>
      <c r="D39" s="133">
        <v>23.667000000000002</v>
      </c>
    </row>
    <row r="40" spans="2:4" ht="18.75" x14ac:dyDescent="0.25">
      <c r="B40" s="58">
        <v>19</v>
      </c>
      <c r="C40" s="133">
        <v>23.690999999999999</v>
      </c>
      <c r="D40" s="133">
        <v>23.690999999999999</v>
      </c>
    </row>
    <row r="41" spans="2:4" ht="18.75" x14ac:dyDescent="0.25">
      <c r="B41" s="58">
        <v>20</v>
      </c>
      <c r="C41" s="133">
        <v>23.666</v>
      </c>
      <c r="D41" s="133">
        <v>23.666</v>
      </c>
    </row>
    <row r="42" spans="2:4" ht="18.75" x14ac:dyDescent="0.25">
      <c r="B42" s="58">
        <v>21</v>
      </c>
      <c r="C42" s="133">
        <v>23.64</v>
      </c>
      <c r="D42" s="133">
        <v>23.64</v>
      </c>
    </row>
    <row r="43" spans="2:4" ht="18.75" x14ac:dyDescent="0.25">
      <c r="B43" s="58">
        <v>22</v>
      </c>
      <c r="C43" s="133">
        <v>23.719000000000001</v>
      </c>
      <c r="D43" s="133">
        <v>23.719000000000001</v>
      </c>
    </row>
    <row r="44" spans="2:4" ht="18.75" x14ac:dyDescent="0.25">
      <c r="B44" s="58">
        <v>23</v>
      </c>
      <c r="C44" s="133">
        <v>23.693999999999999</v>
      </c>
      <c r="D44" s="133">
        <v>23.693999999999999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23.202478260869565</v>
      </c>
      <c r="D46" s="130"/>
    </row>
    <row r="47" spans="2:4" ht="31.5" x14ac:dyDescent="0.25">
      <c r="B47" s="61" t="s">
        <v>46</v>
      </c>
      <c r="C47" s="60">
        <f>_xlfn.STDEV.S(C21:C45)</f>
        <v>0.78531274578708576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sheetPr codeName="Hoja13"/>
  <dimension ref="A1:L50"/>
  <sheetViews>
    <sheetView showGridLines="0" view="pageBreakPreview" topLeftCell="A6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'FOM303-32-Imprimir'!C22</f>
        <v>46065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'FOM303-32-Imprimir'!E22</f>
        <v>46065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23.716000000000001</v>
      </c>
      <c r="D21" s="133">
        <v>23.716000000000001</v>
      </c>
    </row>
    <row r="22" spans="2:7" ht="18.75" x14ac:dyDescent="0.25">
      <c r="B22" s="58">
        <v>1</v>
      </c>
      <c r="C22" s="133">
        <v>23.707999999999998</v>
      </c>
      <c r="D22" s="133">
        <v>23.707999999999998</v>
      </c>
    </row>
    <row r="23" spans="2:7" ht="18.75" x14ac:dyDescent="0.25">
      <c r="B23" s="58">
        <v>2</v>
      </c>
      <c r="C23" s="133">
        <v>23.733000000000001</v>
      </c>
      <c r="D23" s="133">
        <v>23.733000000000001</v>
      </c>
    </row>
    <row r="24" spans="2:7" ht="18.75" x14ac:dyDescent="0.25">
      <c r="B24" s="58">
        <v>3</v>
      </c>
      <c r="C24" s="133">
        <v>23.751999999999999</v>
      </c>
      <c r="D24" s="133">
        <v>23.751999999999999</v>
      </c>
    </row>
    <row r="25" spans="2:7" ht="18.75" x14ac:dyDescent="0.25">
      <c r="B25" s="58">
        <v>4</v>
      </c>
      <c r="C25" s="133">
        <v>23.702000000000002</v>
      </c>
      <c r="D25" s="133">
        <v>23.702000000000002</v>
      </c>
    </row>
    <row r="26" spans="2:7" ht="18.75" x14ac:dyDescent="0.25">
      <c r="B26" s="58">
        <v>5</v>
      </c>
      <c r="C26" s="133">
        <v>23.699000000000002</v>
      </c>
      <c r="D26" s="133">
        <v>23.699000000000002</v>
      </c>
    </row>
    <row r="27" spans="2:7" ht="18.75" x14ac:dyDescent="0.25">
      <c r="B27" s="58">
        <v>6</v>
      </c>
      <c r="C27" s="133">
        <v>23.689</v>
      </c>
      <c r="D27" s="133">
        <v>23.689</v>
      </c>
    </row>
    <row r="28" spans="2:7" ht="18.75" x14ac:dyDescent="0.25">
      <c r="B28" s="58">
        <v>7</v>
      </c>
      <c r="C28" s="133">
        <v>23.696000000000002</v>
      </c>
      <c r="D28" s="133">
        <v>23.696000000000002</v>
      </c>
    </row>
    <row r="29" spans="2:7" ht="18.75" x14ac:dyDescent="0.25">
      <c r="B29" s="58">
        <v>8</v>
      </c>
      <c r="C29" s="133">
        <v>23.67</v>
      </c>
      <c r="D29" s="133">
        <v>23.67</v>
      </c>
    </row>
    <row r="30" spans="2:7" ht="18.75" x14ac:dyDescent="0.25">
      <c r="B30" s="58">
        <v>9</v>
      </c>
      <c r="C30" s="133">
        <v>23.67</v>
      </c>
      <c r="D30" s="133">
        <v>23.67</v>
      </c>
    </row>
    <row r="31" spans="2:7" ht="18.75" x14ac:dyDescent="0.25">
      <c r="B31" s="58">
        <v>10</v>
      </c>
      <c r="C31" s="133">
        <v>23.68</v>
      </c>
      <c r="D31" s="133">
        <v>23.68</v>
      </c>
    </row>
    <row r="32" spans="2:7" ht="18.75" x14ac:dyDescent="0.25">
      <c r="B32" s="58">
        <v>11</v>
      </c>
      <c r="C32" s="133">
        <v>23.635000000000002</v>
      </c>
      <c r="D32" s="133">
        <v>23.635000000000002</v>
      </c>
    </row>
    <row r="33" spans="2:4" ht="18.75" x14ac:dyDescent="0.25">
      <c r="B33" s="58">
        <v>12</v>
      </c>
      <c r="C33" s="133">
        <v>23.603999999999999</v>
      </c>
      <c r="D33" s="133">
        <v>23.603999999999999</v>
      </c>
    </row>
    <row r="34" spans="2:4" ht="18.75" x14ac:dyDescent="0.25">
      <c r="B34" s="58">
        <v>13</v>
      </c>
      <c r="C34" s="133">
        <v>23.59</v>
      </c>
      <c r="D34" s="133">
        <v>23.59</v>
      </c>
    </row>
    <row r="35" spans="2:4" ht="18.75" x14ac:dyDescent="0.25">
      <c r="B35" s="58">
        <v>14</v>
      </c>
      <c r="C35" s="133">
        <v>23.588999999999999</v>
      </c>
      <c r="D35" s="133">
        <v>23.588999999999999</v>
      </c>
    </row>
    <row r="36" spans="2:4" ht="18.75" x14ac:dyDescent="0.25">
      <c r="B36" s="58">
        <v>15</v>
      </c>
      <c r="C36" s="133">
        <v>23.798999999999999</v>
      </c>
      <c r="D36" s="133">
        <v>23.798999999999999</v>
      </c>
    </row>
    <row r="37" spans="2:4" ht="18.75" x14ac:dyDescent="0.25">
      <c r="B37" s="58">
        <v>16</v>
      </c>
      <c r="C37" s="133">
        <v>23.593</v>
      </c>
      <c r="D37" s="133">
        <v>23.593</v>
      </c>
    </row>
    <row r="38" spans="2:4" ht="18.75" x14ac:dyDescent="0.25">
      <c r="B38" s="58">
        <v>17</v>
      </c>
      <c r="C38" s="133">
        <v>23.609000000000002</v>
      </c>
      <c r="D38" s="133">
        <v>23.609000000000002</v>
      </c>
    </row>
    <row r="39" spans="2:4" ht="18.75" x14ac:dyDescent="0.25">
      <c r="B39" s="58">
        <v>18</v>
      </c>
      <c r="C39" s="133">
        <v>23.652999999999999</v>
      </c>
      <c r="D39" s="133">
        <v>23.652999999999999</v>
      </c>
    </row>
    <row r="40" spans="2:4" ht="18.75" x14ac:dyDescent="0.25">
      <c r="B40" s="58">
        <v>19</v>
      </c>
      <c r="C40" s="133">
        <v>23.66</v>
      </c>
      <c r="D40" s="133">
        <v>23.66</v>
      </c>
    </row>
    <row r="41" spans="2:4" ht="18.75" x14ac:dyDescent="0.25">
      <c r="B41" s="58">
        <v>20</v>
      </c>
      <c r="C41" s="133">
        <v>23.600999999999999</v>
      </c>
      <c r="D41" s="133">
        <v>23.600999999999999</v>
      </c>
    </row>
    <row r="42" spans="2:4" ht="18.75" x14ac:dyDescent="0.25">
      <c r="B42" s="58">
        <v>21</v>
      </c>
      <c r="C42" s="133">
        <v>23.652000000000001</v>
      </c>
      <c r="D42" s="133">
        <v>23.652000000000001</v>
      </c>
    </row>
    <row r="43" spans="2:4" ht="18.75" x14ac:dyDescent="0.25">
      <c r="B43" s="58">
        <v>22</v>
      </c>
      <c r="C43" s="133">
        <v>23.655000000000001</v>
      </c>
      <c r="D43" s="133">
        <v>23.655000000000001</v>
      </c>
    </row>
    <row r="44" spans="2:4" ht="18.75" x14ac:dyDescent="0.25">
      <c r="B44" s="58">
        <v>23</v>
      </c>
      <c r="C44" s="133">
        <v>23.673999999999999</v>
      </c>
      <c r="D44" s="133">
        <v>23.673999999999999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23.66578260869565</v>
      </c>
      <c r="D46" s="130"/>
    </row>
    <row r="47" spans="2:4" ht="31.5" x14ac:dyDescent="0.25">
      <c r="B47" s="61" t="s">
        <v>46</v>
      </c>
      <c r="C47" s="60">
        <f>_xlfn.STDEV.S(C21:C45)</f>
        <v>5.4251677994486019E-2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sheetPr codeName="Hoja14"/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'FOM303-32-Imprimir'!C23</f>
        <v>46066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'FOM303-32-Imprimir'!E23</f>
        <v>46066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23.704999999999998</v>
      </c>
      <c r="D21" s="133">
        <v>23.704999999999998</v>
      </c>
    </row>
    <row r="22" spans="2:7" ht="18.75" x14ac:dyDescent="0.25">
      <c r="B22" s="58">
        <v>1</v>
      </c>
      <c r="C22" s="133">
        <v>23.658999999999999</v>
      </c>
      <c r="D22" s="133">
        <v>23.658999999999999</v>
      </c>
    </row>
    <row r="23" spans="2:7" ht="18.75" x14ac:dyDescent="0.25">
      <c r="B23" s="58">
        <v>2</v>
      </c>
      <c r="C23" s="133">
        <v>23.689</v>
      </c>
      <c r="D23" s="133">
        <v>23.689</v>
      </c>
    </row>
    <row r="24" spans="2:7" ht="18.75" x14ac:dyDescent="0.25">
      <c r="B24" s="58">
        <v>3</v>
      </c>
      <c r="C24" s="133">
        <v>23.698</v>
      </c>
      <c r="D24" s="133">
        <v>23.698</v>
      </c>
    </row>
    <row r="25" spans="2:7" ht="18.75" x14ac:dyDescent="0.25">
      <c r="B25" s="58">
        <v>4</v>
      </c>
      <c r="C25" s="133">
        <v>23.709</v>
      </c>
      <c r="D25" s="133">
        <v>23.709</v>
      </c>
    </row>
    <row r="26" spans="2:7" ht="18.75" x14ac:dyDescent="0.25">
      <c r="B26" s="58">
        <v>5</v>
      </c>
      <c r="C26" s="133">
        <v>23.687999999999999</v>
      </c>
      <c r="D26" s="133">
        <v>23.687999999999999</v>
      </c>
    </row>
    <row r="27" spans="2:7" ht="18.75" x14ac:dyDescent="0.25">
      <c r="B27" s="58">
        <v>6</v>
      </c>
      <c r="C27" s="133">
        <v>23.704999999999998</v>
      </c>
      <c r="D27" s="133">
        <v>23.704999999999998</v>
      </c>
    </row>
    <row r="28" spans="2:7" ht="18.75" x14ac:dyDescent="0.25">
      <c r="B28" s="58">
        <v>7</v>
      </c>
      <c r="C28" s="133">
        <v>23.669</v>
      </c>
      <c r="D28" s="133">
        <v>23.669</v>
      </c>
    </row>
    <row r="29" spans="2:7" ht="18.75" x14ac:dyDescent="0.25">
      <c r="B29" s="58">
        <v>8</v>
      </c>
      <c r="C29" s="133">
        <v>23.687999999999999</v>
      </c>
      <c r="D29" s="133">
        <v>23.687999999999999</v>
      </c>
    </row>
    <row r="30" spans="2:7" ht="18.75" x14ac:dyDescent="0.25">
      <c r="B30" s="58">
        <v>9</v>
      </c>
      <c r="C30" s="133">
        <v>23.718</v>
      </c>
      <c r="D30" s="133">
        <v>23.718</v>
      </c>
    </row>
    <row r="31" spans="2:7" ht="18.75" x14ac:dyDescent="0.25">
      <c r="B31" s="58">
        <v>10</v>
      </c>
      <c r="C31" s="133">
        <v>23.629000000000001</v>
      </c>
      <c r="D31" s="133">
        <v>23.629000000000001</v>
      </c>
    </row>
    <row r="32" spans="2:7" ht="18.75" x14ac:dyDescent="0.25">
      <c r="B32" s="58">
        <v>11</v>
      </c>
      <c r="C32" s="133">
        <v>23.646000000000001</v>
      </c>
      <c r="D32" s="133">
        <v>23.646000000000001</v>
      </c>
    </row>
    <row r="33" spans="2:4" ht="18.75" x14ac:dyDescent="0.25">
      <c r="B33" s="58">
        <v>12</v>
      </c>
      <c r="C33" s="133">
        <v>23.600999999999999</v>
      </c>
      <c r="D33" s="133">
        <v>23.600999999999999</v>
      </c>
    </row>
    <row r="34" spans="2:4" ht="18.75" x14ac:dyDescent="0.25">
      <c r="B34" s="58">
        <v>13</v>
      </c>
      <c r="C34" s="133">
        <v>23.83</v>
      </c>
      <c r="D34" s="133">
        <v>23.83</v>
      </c>
    </row>
    <row r="35" spans="2:4" ht="18.75" x14ac:dyDescent="0.25">
      <c r="B35" s="58">
        <v>14</v>
      </c>
      <c r="C35" s="133">
        <v>23.581</v>
      </c>
      <c r="D35" s="133">
        <v>23.581</v>
      </c>
    </row>
    <row r="36" spans="2:4" ht="18.75" x14ac:dyDescent="0.25">
      <c r="B36" s="58">
        <v>15</v>
      </c>
      <c r="C36" s="133">
        <v>23.594999999999999</v>
      </c>
      <c r="D36" s="133">
        <v>23.594999999999999</v>
      </c>
    </row>
    <row r="37" spans="2:4" ht="18.75" x14ac:dyDescent="0.25">
      <c r="B37" s="58">
        <v>16</v>
      </c>
      <c r="C37" s="133">
        <v>23.57</v>
      </c>
      <c r="D37" s="133">
        <v>23.57</v>
      </c>
    </row>
    <row r="38" spans="2:4" ht="18.75" x14ac:dyDescent="0.25">
      <c r="B38" s="58">
        <v>17</v>
      </c>
      <c r="C38" s="133">
        <v>23.66</v>
      </c>
      <c r="D38" s="133">
        <v>23.66</v>
      </c>
    </row>
    <row r="39" spans="2:4" ht="18.75" x14ac:dyDescent="0.25">
      <c r="B39" s="58">
        <v>18</v>
      </c>
      <c r="C39" s="133">
        <v>23.696000000000002</v>
      </c>
      <c r="D39" s="133">
        <v>23.696000000000002</v>
      </c>
    </row>
    <row r="40" spans="2:4" ht="18.75" x14ac:dyDescent="0.25">
      <c r="B40" s="58">
        <v>19</v>
      </c>
      <c r="C40" s="133">
        <v>23.683</v>
      </c>
      <c r="D40" s="133">
        <v>23.683</v>
      </c>
    </row>
    <row r="41" spans="2:4" ht="18.75" x14ac:dyDescent="0.25">
      <c r="B41" s="58">
        <v>20</v>
      </c>
      <c r="C41" s="133">
        <v>23.67</v>
      </c>
      <c r="D41" s="133">
        <v>23.67</v>
      </c>
    </row>
    <row r="42" spans="2:4" ht="18.75" x14ac:dyDescent="0.25">
      <c r="B42" s="58">
        <v>21</v>
      </c>
      <c r="C42" s="133">
        <v>23.640999999999998</v>
      </c>
      <c r="D42" s="133">
        <v>23.640999999999998</v>
      </c>
    </row>
    <row r="43" spans="2:4" ht="18.75" x14ac:dyDescent="0.25">
      <c r="B43" s="58">
        <v>22</v>
      </c>
      <c r="C43" s="133">
        <v>23.898</v>
      </c>
      <c r="D43" s="133">
        <v>23.898</v>
      </c>
    </row>
    <row r="44" spans="2:4" ht="18.75" x14ac:dyDescent="0.25">
      <c r="B44" s="58">
        <v>23</v>
      </c>
      <c r="C44" s="133">
        <v>23.704000000000001</v>
      </c>
      <c r="D44" s="133">
        <v>23.704000000000001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23.679434782608698</v>
      </c>
      <c r="D46" s="130"/>
    </row>
    <row r="47" spans="2:4" ht="31.5" x14ac:dyDescent="0.25">
      <c r="B47" s="61" t="s">
        <v>46</v>
      </c>
      <c r="C47" s="60">
        <f>_xlfn.STDEV.S(C21:C45)</f>
        <v>7.1211259490763471E-2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sheetPr codeName="Hoja15"/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'FOM303-32-Imprimir'!C24</f>
        <v>46067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'FOM303-32-Imprimir'!E24</f>
        <v>46067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ht="12.95" customHeight="1" x14ac:dyDescent="0.25">
      <c r="B17" s="138" t="s">
        <v>43</v>
      </c>
      <c r="C17" s="138" t="s">
        <v>44</v>
      </c>
      <c r="D17" s="138"/>
      <c r="E17" s="38"/>
      <c r="G17" s="38"/>
    </row>
    <row r="18" spans="2:7" ht="12.95" customHeight="1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23.707999999999998</v>
      </c>
      <c r="D21" s="133">
        <v>23.707999999999998</v>
      </c>
    </row>
    <row r="22" spans="2:7" ht="18.75" x14ac:dyDescent="0.25">
      <c r="B22" s="58">
        <v>1</v>
      </c>
      <c r="C22" s="133">
        <v>23.716000000000001</v>
      </c>
      <c r="D22" s="133">
        <v>23.716000000000001</v>
      </c>
    </row>
    <row r="23" spans="2:7" ht="18.75" x14ac:dyDescent="0.25">
      <c r="B23" s="58">
        <v>2</v>
      </c>
      <c r="C23" s="133">
        <v>23.756</v>
      </c>
      <c r="D23" s="133">
        <v>23.756</v>
      </c>
    </row>
    <row r="24" spans="2:7" ht="18.75" x14ac:dyDescent="0.25">
      <c r="B24" s="58">
        <v>3</v>
      </c>
      <c r="C24" s="133">
        <v>23.71</v>
      </c>
      <c r="D24" s="133">
        <v>23.71</v>
      </c>
    </row>
    <row r="25" spans="2:7" ht="18.75" x14ac:dyDescent="0.25">
      <c r="B25" s="58">
        <v>4</v>
      </c>
      <c r="C25" s="133">
        <v>23.738</v>
      </c>
      <c r="D25" s="133">
        <v>23.738</v>
      </c>
    </row>
    <row r="26" spans="2:7" ht="18.75" x14ac:dyDescent="0.25">
      <c r="B26" s="58">
        <v>5</v>
      </c>
      <c r="C26" s="133">
        <v>23.768000000000001</v>
      </c>
      <c r="D26" s="133">
        <v>23.768000000000001</v>
      </c>
    </row>
    <row r="27" spans="2:7" ht="18.75" x14ac:dyDescent="0.25">
      <c r="B27" s="58">
        <v>6</v>
      </c>
      <c r="C27" s="133">
        <v>23.934999999999999</v>
      </c>
      <c r="D27" s="133">
        <v>23.934999999999999</v>
      </c>
    </row>
    <row r="28" spans="2:7" ht="18.75" x14ac:dyDescent="0.25">
      <c r="B28" s="58">
        <v>7</v>
      </c>
      <c r="C28" s="133">
        <v>23.704999999999998</v>
      </c>
      <c r="D28" s="133">
        <v>23.704999999999998</v>
      </c>
    </row>
    <row r="29" spans="2:7" ht="18.75" x14ac:dyDescent="0.25">
      <c r="B29" s="58">
        <v>8</v>
      </c>
      <c r="C29" s="133">
        <v>23.693000000000001</v>
      </c>
      <c r="D29" s="133">
        <v>23.693000000000001</v>
      </c>
    </row>
    <row r="30" spans="2:7" ht="18.75" x14ac:dyDescent="0.25">
      <c r="B30" s="58">
        <v>9</v>
      </c>
      <c r="C30" s="133">
        <v>23.709</v>
      </c>
      <c r="D30" s="133">
        <v>23.709</v>
      </c>
    </row>
    <row r="31" spans="2:7" ht="18.75" x14ac:dyDescent="0.25">
      <c r="B31" s="58">
        <v>10</v>
      </c>
      <c r="C31" s="133">
        <v>23.64</v>
      </c>
      <c r="D31" s="133">
        <v>23.64</v>
      </c>
    </row>
    <row r="32" spans="2:7" ht="18.75" x14ac:dyDescent="0.25">
      <c r="B32" s="58">
        <v>11</v>
      </c>
      <c r="C32" s="133">
        <v>23.61</v>
      </c>
      <c r="D32" s="133">
        <v>23.61</v>
      </c>
    </row>
    <row r="33" spans="2:4" ht="18.75" x14ac:dyDescent="0.25">
      <c r="B33" s="58">
        <v>12</v>
      </c>
      <c r="C33" s="133">
        <v>23.585999999999999</v>
      </c>
      <c r="D33" s="133">
        <v>23.585999999999999</v>
      </c>
    </row>
    <row r="34" spans="2:4" ht="18.75" x14ac:dyDescent="0.25">
      <c r="B34" s="58">
        <v>13</v>
      </c>
      <c r="C34" s="133">
        <v>23.594999999999999</v>
      </c>
      <c r="D34" s="133">
        <v>23.594999999999999</v>
      </c>
    </row>
    <row r="35" spans="2:4" ht="18.75" x14ac:dyDescent="0.25">
      <c r="B35" s="58">
        <v>14</v>
      </c>
      <c r="C35" s="133">
        <v>23.768999999999998</v>
      </c>
      <c r="D35" s="133">
        <v>23.768999999999998</v>
      </c>
    </row>
    <row r="36" spans="2:4" ht="18.75" x14ac:dyDescent="0.25">
      <c r="B36" s="58">
        <v>15</v>
      </c>
      <c r="C36" s="133">
        <v>23.959</v>
      </c>
      <c r="D36" s="133">
        <v>23.959</v>
      </c>
    </row>
    <row r="37" spans="2:4" ht="18.75" x14ac:dyDescent="0.25">
      <c r="B37" s="58">
        <v>16</v>
      </c>
      <c r="C37" s="133">
        <v>23.613</v>
      </c>
      <c r="D37" s="133">
        <v>23.613</v>
      </c>
    </row>
    <row r="38" spans="2:4" ht="18.75" x14ac:dyDescent="0.25">
      <c r="B38" s="58">
        <v>17</v>
      </c>
      <c r="C38" s="133">
        <v>23.585999999999999</v>
      </c>
      <c r="D38" s="133">
        <v>23.585999999999999</v>
      </c>
    </row>
    <row r="39" spans="2:4" ht="18.75" x14ac:dyDescent="0.25">
      <c r="B39" s="58">
        <v>18</v>
      </c>
      <c r="C39" s="133">
        <v>23.64</v>
      </c>
      <c r="D39" s="133">
        <v>23.64</v>
      </c>
    </row>
    <row r="40" spans="2:4" ht="18.75" x14ac:dyDescent="0.25">
      <c r="B40" s="58">
        <v>19</v>
      </c>
      <c r="C40" s="133">
        <v>23.646000000000001</v>
      </c>
      <c r="D40" s="133">
        <v>23.646000000000001</v>
      </c>
    </row>
    <row r="41" spans="2:4" ht="18.75" x14ac:dyDescent="0.25">
      <c r="B41" s="58">
        <v>20</v>
      </c>
      <c r="C41" s="133">
        <v>23.677</v>
      </c>
      <c r="D41" s="133">
        <v>23.677</v>
      </c>
    </row>
    <row r="42" spans="2:4" ht="18.75" x14ac:dyDescent="0.25">
      <c r="B42" s="58">
        <v>21</v>
      </c>
      <c r="C42" s="133">
        <v>23.681000000000001</v>
      </c>
      <c r="D42" s="133">
        <v>23.681000000000001</v>
      </c>
    </row>
    <row r="43" spans="2:4" ht="18.75" x14ac:dyDescent="0.25">
      <c r="B43" s="58">
        <v>22</v>
      </c>
      <c r="C43" s="133">
        <v>23.712</v>
      </c>
      <c r="D43" s="133">
        <v>23.712</v>
      </c>
    </row>
    <row r="44" spans="2:4" ht="18.75" x14ac:dyDescent="0.25">
      <c r="B44" s="58">
        <v>23</v>
      </c>
      <c r="C44" s="133">
        <v>23.702999999999999</v>
      </c>
      <c r="D44" s="133">
        <v>23.702999999999999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23.702043478260872</v>
      </c>
      <c r="D46" s="130"/>
    </row>
    <row r="47" spans="2:4" ht="31.5" x14ac:dyDescent="0.25">
      <c r="B47" s="61" t="s">
        <v>46</v>
      </c>
      <c r="C47" s="60">
        <f>_xlfn.STDEV.S(C21:C45)</f>
        <v>9.3382094534820437E-2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sheetPr codeName="Hoja16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'FOM303-32-Imprimir'!C25</f>
        <v>46068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'FOM303-32-Imprimir'!E25</f>
        <v>46068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23.702000000000002</v>
      </c>
      <c r="D21" s="133">
        <v>23.702000000000002</v>
      </c>
    </row>
    <row r="22" spans="2:7" ht="18.75" x14ac:dyDescent="0.25">
      <c r="B22" s="58">
        <v>1</v>
      </c>
      <c r="C22" s="133">
        <v>23.744</v>
      </c>
      <c r="D22" s="133">
        <v>23.744</v>
      </c>
    </row>
    <row r="23" spans="2:7" ht="18.75" x14ac:dyDescent="0.25">
      <c r="B23" s="58">
        <v>2</v>
      </c>
      <c r="C23" s="133">
        <v>23.715</v>
      </c>
      <c r="D23" s="133">
        <v>23.715</v>
      </c>
    </row>
    <row r="24" spans="2:7" ht="18.75" x14ac:dyDescent="0.25">
      <c r="B24" s="58">
        <v>3</v>
      </c>
      <c r="C24" s="133">
        <v>23.704999999999998</v>
      </c>
      <c r="D24" s="133">
        <v>23.704999999999998</v>
      </c>
    </row>
    <row r="25" spans="2:7" ht="18.75" x14ac:dyDescent="0.25">
      <c r="B25" s="58">
        <v>4</v>
      </c>
      <c r="C25" s="133">
        <v>23.702000000000002</v>
      </c>
      <c r="D25" s="133">
        <v>23.702000000000002</v>
      </c>
    </row>
    <row r="26" spans="2:7" ht="18.75" x14ac:dyDescent="0.25">
      <c r="B26" s="58">
        <v>5</v>
      </c>
      <c r="C26" s="133">
        <v>23.72</v>
      </c>
      <c r="D26" s="133">
        <v>23.72</v>
      </c>
    </row>
    <row r="27" spans="2:7" ht="18.75" x14ac:dyDescent="0.25">
      <c r="B27" s="58">
        <v>6</v>
      </c>
      <c r="C27" s="133">
        <v>23.731000000000002</v>
      </c>
      <c r="D27" s="133">
        <v>23.731000000000002</v>
      </c>
    </row>
    <row r="28" spans="2:7" ht="18.75" x14ac:dyDescent="0.25">
      <c r="B28" s="58">
        <v>7</v>
      </c>
      <c r="C28" s="133">
        <v>23.725000000000001</v>
      </c>
      <c r="D28" s="133">
        <v>23.725000000000001</v>
      </c>
    </row>
    <row r="29" spans="2:7" ht="18.75" x14ac:dyDescent="0.25">
      <c r="B29" s="58">
        <v>8</v>
      </c>
      <c r="C29" s="133">
        <v>23.712</v>
      </c>
      <c r="D29" s="133">
        <v>23.712</v>
      </c>
    </row>
    <row r="30" spans="2:7" ht="18.75" x14ac:dyDescent="0.25">
      <c r="B30" s="58">
        <v>9</v>
      </c>
      <c r="C30" s="133">
        <v>23.672999999999998</v>
      </c>
      <c r="D30" s="133">
        <v>23.672999999999998</v>
      </c>
    </row>
    <row r="31" spans="2:7" ht="18.75" x14ac:dyDescent="0.25">
      <c r="B31" s="58">
        <v>10</v>
      </c>
      <c r="C31" s="133">
        <v>23.617000000000001</v>
      </c>
      <c r="D31" s="133">
        <v>23.617000000000001</v>
      </c>
    </row>
    <row r="32" spans="2:7" ht="18.75" x14ac:dyDescent="0.25">
      <c r="B32" s="58">
        <v>11</v>
      </c>
      <c r="C32" s="133">
        <v>23.619</v>
      </c>
      <c r="D32" s="133">
        <v>23.619</v>
      </c>
    </row>
    <row r="33" spans="2:4" ht="18.75" x14ac:dyDescent="0.25">
      <c r="B33" s="58">
        <v>12</v>
      </c>
      <c r="C33" s="133">
        <v>23.603999999999999</v>
      </c>
      <c r="D33" s="133">
        <v>23.603999999999999</v>
      </c>
    </row>
    <row r="34" spans="2:4" ht="18.75" x14ac:dyDescent="0.25">
      <c r="B34" s="58">
        <v>13</v>
      </c>
      <c r="C34" s="133">
        <v>23.608000000000001</v>
      </c>
      <c r="D34" s="133">
        <v>23.608000000000001</v>
      </c>
    </row>
    <row r="35" spans="2:4" ht="18.75" x14ac:dyDescent="0.25">
      <c r="B35" s="58">
        <v>14</v>
      </c>
      <c r="C35" s="133">
        <v>23.818000000000001</v>
      </c>
      <c r="D35" s="133">
        <v>23.818000000000001</v>
      </c>
    </row>
    <row r="36" spans="2:4" ht="18.75" x14ac:dyDescent="0.25">
      <c r="B36" s="58">
        <v>15</v>
      </c>
      <c r="C36" s="133">
        <v>23.606999999999999</v>
      </c>
      <c r="D36" s="133">
        <v>23.606999999999999</v>
      </c>
    </row>
    <row r="37" spans="2:4" ht="18.75" x14ac:dyDescent="0.25">
      <c r="B37" s="58">
        <v>16</v>
      </c>
      <c r="C37" s="133">
        <v>23.661000000000001</v>
      </c>
      <c r="D37" s="133">
        <v>23.661000000000001</v>
      </c>
    </row>
    <row r="38" spans="2:4" ht="18.75" x14ac:dyDescent="0.25">
      <c r="B38" s="58">
        <v>17</v>
      </c>
      <c r="C38" s="133">
        <v>23.678000000000001</v>
      </c>
      <c r="D38" s="133">
        <v>23.678000000000001</v>
      </c>
    </row>
    <row r="39" spans="2:4" ht="18.75" x14ac:dyDescent="0.25">
      <c r="B39" s="58">
        <v>18</v>
      </c>
      <c r="C39" s="133">
        <v>23.658000000000001</v>
      </c>
      <c r="D39" s="133">
        <v>23.658000000000001</v>
      </c>
    </row>
    <row r="40" spans="2:4" ht="18.75" x14ac:dyDescent="0.25">
      <c r="B40" s="58">
        <v>19</v>
      </c>
      <c r="C40" s="133">
        <v>23.684000000000001</v>
      </c>
      <c r="D40" s="133">
        <v>23.684000000000001</v>
      </c>
    </row>
    <row r="41" spans="2:4" ht="18.75" x14ac:dyDescent="0.25">
      <c r="B41" s="58">
        <v>20</v>
      </c>
      <c r="C41" s="133">
        <v>23.975999999999999</v>
      </c>
      <c r="D41" s="133">
        <v>23.975999999999999</v>
      </c>
    </row>
    <row r="42" spans="2:4" ht="18.75" x14ac:dyDescent="0.25">
      <c r="B42" s="58">
        <v>21</v>
      </c>
      <c r="C42" s="133">
        <v>23.693999999999999</v>
      </c>
      <c r="D42" s="133">
        <v>23.693999999999999</v>
      </c>
    </row>
    <row r="43" spans="2:4" ht="18.75" x14ac:dyDescent="0.25">
      <c r="B43" s="58">
        <v>22</v>
      </c>
      <c r="C43" s="133">
        <v>23.707000000000001</v>
      </c>
      <c r="D43" s="133">
        <v>23.707000000000001</v>
      </c>
    </row>
    <row r="44" spans="2:4" ht="18.75" x14ac:dyDescent="0.25">
      <c r="B44" s="58">
        <v>23</v>
      </c>
      <c r="C44" s="133">
        <v>23.713999999999999</v>
      </c>
      <c r="D44" s="133">
        <v>23.713999999999999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23.698782608695659</v>
      </c>
      <c r="D46" s="130"/>
    </row>
    <row r="47" spans="2:4" ht="31.5" x14ac:dyDescent="0.25">
      <c r="B47" s="61" t="s">
        <v>46</v>
      </c>
      <c r="C47" s="60">
        <f>_xlfn.STDEV.S(C21:C45)</f>
        <v>7.7798466882550793E-2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sheetPr codeName="Hoja17"/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'FOM303-32-Imprimir'!C26</f>
        <v>46069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'FOM303-32-Imprimir'!E26</f>
        <v>46069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>
        <v>23.696000000000002</v>
      </c>
      <c r="D21" s="133">
        <v>23.696000000000002</v>
      </c>
    </row>
    <row r="22" spans="2:7" ht="18.75" x14ac:dyDescent="0.25">
      <c r="B22" s="58">
        <v>1</v>
      </c>
      <c r="C22" s="133">
        <v>23.745999999999999</v>
      </c>
      <c r="D22" s="133">
        <v>23.745999999999999</v>
      </c>
    </row>
    <row r="23" spans="2:7" ht="18.75" x14ac:dyDescent="0.25">
      <c r="B23" s="58">
        <v>2</v>
      </c>
      <c r="C23" s="133">
        <v>23.756</v>
      </c>
      <c r="D23" s="133">
        <v>23.756</v>
      </c>
    </row>
    <row r="24" spans="2:7" ht="18.75" x14ac:dyDescent="0.25">
      <c r="B24" s="58">
        <v>3</v>
      </c>
      <c r="C24" s="133">
        <v>23.72</v>
      </c>
      <c r="D24" s="133">
        <v>23.72</v>
      </c>
    </row>
    <row r="25" spans="2:7" ht="18.75" x14ac:dyDescent="0.25">
      <c r="B25" s="58">
        <v>4</v>
      </c>
      <c r="C25" s="133">
        <v>23.725999999999999</v>
      </c>
      <c r="D25" s="133">
        <v>23.725999999999999</v>
      </c>
    </row>
    <row r="26" spans="2:7" ht="18.75" x14ac:dyDescent="0.25">
      <c r="B26" s="58">
        <v>5</v>
      </c>
      <c r="C26" s="133">
        <v>23.678000000000001</v>
      </c>
      <c r="D26" s="133">
        <v>23.678000000000001</v>
      </c>
    </row>
    <row r="27" spans="2:7" ht="18.75" x14ac:dyDescent="0.25">
      <c r="B27" s="58">
        <v>6</v>
      </c>
      <c r="C27" s="133">
        <v>23.707000000000001</v>
      </c>
      <c r="D27" s="133">
        <v>23.707000000000001</v>
      </c>
    </row>
    <row r="28" spans="2:7" ht="18.75" x14ac:dyDescent="0.25">
      <c r="B28" s="58">
        <v>7</v>
      </c>
      <c r="C28" s="133">
        <v>23.731999999999999</v>
      </c>
      <c r="D28" s="133">
        <v>23.731999999999999</v>
      </c>
    </row>
    <row r="29" spans="2:7" ht="18.75" x14ac:dyDescent="0.25">
      <c r="B29" s="58">
        <v>8</v>
      </c>
      <c r="C29" s="133">
        <v>23.655999999999999</v>
      </c>
      <c r="D29" s="133">
        <v>23.655999999999999</v>
      </c>
    </row>
    <row r="30" spans="2:7" ht="18.75" x14ac:dyDescent="0.25">
      <c r="B30" s="58">
        <v>9</v>
      </c>
      <c r="C30" s="133">
        <v>23.661000000000001</v>
      </c>
      <c r="D30" s="133">
        <v>23.661000000000001</v>
      </c>
    </row>
    <row r="31" spans="2:7" ht="18.75" x14ac:dyDescent="0.25">
      <c r="B31" s="58">
        <v>10</v>
      </c>
      <c r="C31" s="133">
        <v>23.64</v>
      </c>
      <c r="D31" s="133">
        <v>23.64</v>
      </c>
    </row>
    <row r="32" spans="2:7" ht="18.75" x14ac:dyDescent="0.25">
      <c r="B32" s="58">
        <v>11</v>
      </c>
      <c r="C32" s="133">
        <v>23.613</v>
      </c>
      <c r="D32" s="133">
        <v>23.613</v>
      </c>
    </row>
    <row r="33" spans="2:4" ht="18.75" x14ac:dyDescent="0.25">
      <c r="B33" s="58">
        <v>12</v>
      </c>
      <c r="C33" s="133">
        <v>23.577999999999999</v>
      </c>
      <c r="D33" s="133">
        <v>23.577999999999999</v>
      </c>
    </row>
    <row r="34" spans="2:4" ht="18.75" x14ac:dyDescent="0.25">
      <c r="B34" s="58">
        <v>13</v>
      </c>
      <c r="C34" s="133">
        <v>23.643999999999998</v>
      </c>
      <c r="D34" s="133">
        <v>23.643999999999998</v>
      </c>
    </row>
    <row r="35" spans="2:4" ht="18.75" x14ac:dyDescent="0.25">
      <c r="B35" s="58">
        <v>14</v>
      </c>
      <c r="C35" s="133">
        <v>23.667000000000002</v>
      </c>
      <c r="D35" s="133">
        <v>23.667000000000002</v>
      </c>
    </row>
    <row r="36" spans="2:4" ht="18.75" x14ac:dyDescent="0.25">
      <c r="B36" s="58">
        <v>15</v>
      </c>
      <c r="C36" s="133">
        <v>23.942</v>
      </c>
      <c r="D36" s="133">
        <v>23.942</v>
      </c>
    </row>
    <row r="37" spans="2:4" ht="18.75" x14ac:dyDescent="0.25">
      <c r="B37" s="58">
        <v>16</v>
      </c>
      <c r="C37" s="133">
        <v>23.927</v>
      </c>
      <c r="D37" s="133">
        <v>23.927</v>
      </c>
    </row>
    <row r="38" spans="2:4" ht="18.75" x14ac:dyDescent="0.25">
      <c r="B38" s="58">
        <v>17</v>
      </c>
      <c r="C38" s="133">
        <v>23.673999999999999</v>
      </c>
      <c r="D38" s="133">
        <v>23.673999999999999</v>
      </c>
    </row>
    <row r="39" spans="2:4" ht="18.75" x14ac:dyDescent="0.25">
      <c r="B39" s="58">
        <v>18</v>
      </c>
      <c r="C39" s="133">
        <v>23.905999999999999</v>
      </c>
      <c r="D39" s="133">
        <v>23.905999999999999</v>
      </c>
    </row>
    <row r="40" spans="2:4" ht="18.75" x14ac:dyDescent="0.25">
      <c r="B40" s="58">
        <v>19</v>
      </c>
      <c r="C40" s="133">
        <v>23.922000000000001</v>
      </c>
      <c r="D40" s="133">
        <v>23.922000000000001</v>
      </c>
    </row>
    <row r="41" spans="2:4" ht="18.75" x14ac:dyDescent="0.25">
      <c r="B41" s="58">
        <v>20</v>
      </c>
      <c r="C41" s="133">
        <v>23.693000000000001</v>
      </c>
      <c r="D41" s="133">
        <v>23.693000000000001</v>
      </c>
    </row>
    <row r="42" spans="2:4" ht="18.75" x14ac:dyDescent="0.25">
      <c r="B42" s="58">
        <v>21</v>
      </c>
      <c r="C42" s="133">
        <v>23.718</v>
      </c>
      <c r="D42" s="133">
        <v>23.718</v>
      </c>
    </row>
    <row r="43" spans="2:4" ht="18.75" x14ac:dyDescent="0.25">
      <c r="B43" s="58">
        <v>22</v>
      </c>
      <c r="C43" s="133">
        <v>23.706</v>
      </c>
      <c r="D43" s="133">
        <v>23.706</v>
      </c>
    </row>
    <row r="44" spans="2:4" ht="18.75" x14ac:dyDescent="0.25">
      <c r="B44" s="58">
        <v>23</v>
      </c>
      <c r="C44" s="133">
        <v>23.943000000000001</v>
      </c>
      <c r="D44" s="133">
        <v>23.943000000000001</v>
      </c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23.737173913043481</v>
      </c>
      <c r="D46" s="130"/>
    </row>
    <row r="47" spans="2:4" ht="31.5" x14ac:dyDescent="0.25">
      <c r="B47" s="61" t="s">
        <v>46</v>
      </c>
      <c r="C47" s="60">
        <f>_xlfn.STDEV.S(C21:C45)</f>
        <v>0.10902890688359625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sheetPr codeName="Hoja18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'FOM303-32-Imprimir'!C27</f>
        <v>46070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'FOM303-32-Imprimir'!E27</f>
        <v>46070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62">
        <v>23.927</v>
      </c>
      <c r="D21" s="162">
        <v>23.927</v>
      </c>
    </row>
    <row r="22" spans="2:7" ht="18.75" x14ac:dyDescent="0.25">
      <c r="B22" s="58">
        <v>1</v>
      </c>
      <c r="C22" s="162">
        <v>23.753</v>
      </c>
      <c r="D22" s="162">
        <v>23.753</v>
      </c>
    </row>
    <row r="23" spans="2:7" ht="18.75" x14ac:dyDescent="0.25">
      <c r="B23" s="58">
        <v>2</v>
      </c>
      <c r="C23" s="162">
        <v>23.93</v>
      </c>
      <c r="D23" s="162">
        <v>23.93</v>
      </c>
    </row>
    <row r="24" spans="2:7" ht="18.75" x14ac:dyDescent="0.25">
      <c r="B24" s="58">
        <v>3</v>
      </c>
      <c r="C24" s="162">
        <v>23.978999999999999</v>
      </c>
      <c r="D24" s="162">
        <v>23.978999999999999</v>
      </c>
    </row>
    <row r="25" spans="2:7" ht="18.75" x14ac:dyDescent="0.25">
      <c r="B25" s="58">
        <v>4</v>
      </c>
      <c r="C25" s="162">
        <v>23.77</v>
      </c>
      <c r="D25" s="162">
        <v>23.77</v>
      </c>
    </row>
    <row r="26" spans="2:7" ht="18.75" x14ac:dyDescent="0.25">
      <c r="B26" s="58">
        <v>5</v>
      </c>
      <c r="C26" s="162">
        <v>23.949000000000002</v>
      </c>
      <c r="D26" s="162">
        <v>23.949000000000002</v>
      </c>
    </row>
    <row r="27" spans="2:7" ht="18.75" x14ac:dyDescent="0.25">
      <c r="B27" s="58">
        <v>6</v>
      </c>
      <c r="C27" s="162">
        <v>23.963000000000001</v>
      </c>
      <c r="D27" s="162">
        <v>23.963000000000001</v>
      </c>
    </row>
    <row r="28" spans="2:7" ht="18.75" x14ac:dyDescent="0.25">
      <c r="B28" s="58">
        <v>7</v>
      </c>
      <c r="C28" s="162">
        <v>23.72</v>
      </c>
      <c r="D28" s="162">
        <v>23.72</v>
      </c>
    </row>
    <row r="29" spans="2:7" ht="18.75" x14ac:dyDescent="0.25">
      <c r="B29" s="58">
        <v>8</v>
      </c>
      <c r="C29" s="162">
        <v>23.675000000000001</v>
      </c>
      <c r="D29" s="162">
        <v>23.675000000000001</v>
      </c>
    </row>
    <row r="30" spans="2:7" ht="18.75" x14ac:dyDescent="0.25">
      <c r="B30" s="58">
        <v>9</v>
      </c>
      <c r="C30" s="162">
        <v>23.669</v>
      </c>
      <c r="D30" s="162">
        <v>23.669</v>
      </c>
    </row>
    <row r="31" spans="2:7" ht="18.75" x14ac:dyDescent="0.25">
      <c r="B31" s="58">
        <v>10</v>
      </c>
      <c r="C31" s="162">
        <v>23.631</v>
      </c>
      <c r="D31" s="162">
        <v>23.631</v>
      </c>
    </row>
    <row r="32" spans="2:7" ht="18.75" x14ac:dyDescent="0.25">
      <c r="B32" s="58">
        <v>11</v>
      </c>
      <c r="C32" s="162">
        <v>23.632999999999999</v>
      </c>
      <c r="D32" s="162">
        <v>23.632999999999999</v>
      </c>
    </row>
    <row r="33" spans="2:4" ht="18.75" x14ac:dyDescent="0.25">
      <c r="B33" s="58">
        <v>12</v>
      </c>
      <c r="C33" s="162">
        <v>23.873999999999999</v>
      </c>
      <c r="D33" s="162">
        <v>23.873999999999999</v>
      </c>
    </row>
    <row r="34" spans="2:4" ht="18.75" x14ac:dyDescent="0.25">
      <c r="B34" s="58">
        <v>13</v>
      </c>
      <c r="C34" s="162">
        <v>23.603000000000002</v>
      </c>
      <c r="D34" s="162">
        <v>23.603000000000002</v>
      </c>
    </row>
    <row r="35" spans="2:4" ht="18.75" x14ac:dyDescent="0.25">
      <c r="B35" s="58">
        <v>14</v>
      </c>
      <c r="C35" s="162">
        <v>23.565999999999999</v>
      </c>
      <c r="D35" s="162">
        <v>23.565999999999999</v>
      </c>
    </row>
    <row r="36" spans="2:4" ht="18.75" x14ac:dyDescent="0.25">
      <c r="B36" s="58">
        <v>15</v>
      </c>
      <c r="C36" s="162">
        <v>23.779</v>
      </c>
      <c r="D36" s="162">
        <v>23.779</v>
      </c>
    </row>
    <row r="37" spans="2:4" ht="18.75" x14ac:dyDescent="0.25">
      <c r="B37" s="58">
        <v>16</v>
      </c>
      <c r="C37" s="162">
        <v>23.617999999999999</v>
      </c>
      <c r="D37" s="162">
        <v>23.617999999999999</v>
      </c>
    </row>
    <row r="38" spans="2:4" ht="18.75" x14ac:dyDescent="0.25">
      <c r="B38" s="58">
        <v>17</v>
      </c>
      <c r="C38" s="162">
        <v>23.698</v>
      </c>
      <c r="D38" s="162">
        <v>23.698</v>
      </c>
    </row>
    <row r="39" spans="2:4" ht="18.75" x14ac:dyDescent="0.25">
      <c r="B39" s="58">
        <v>18</v>
      </c>
      <c r="C39" s="162">
        <v>23.6</v>
      </c>
      <c r="D39" s="162">
        <v>23.6</v>
      </c>
    </row>
    <row r="40" spans="2:4" ht="18.75" x14ac:dyDescent="0.25">
      <c r="B40" s="58">
        <v>19</v>
      </c>
      <c r="C40" s="162">
        <v>23.661000000000001</v>
      </c>
      <c r="D40" s="162">
        <v>23.661000000000001</v>
      </c>
    </row>
    <row r="41" spans="2:4" ht="18.75" x14ac:dyDescent="0.25">
      <c r="B41" s="58">
        <v>20</v>
      </c>
      <c r="C41" s="162">
        <v>23.675000000000001</v>
      </c>
      <c r="D41" s="162">
        <v>23.675000000000001</v>
      </c>
    </row>
    <row r="42" spans="2:4" ht="18.75" x14ac:dyDescent="0.25">
      <c r="B42" s="58">
        <v>21</v>
      </c>
      <c r="C42" s="162">
        <v>25.503</v>
      </c>
      <c r="D42" s="162">
        <v>25.503</v>
      </c>
    </row>
    <row r="43" spans="2:4" ht="18.75" x14ac:dyDescent="0.25">
      <c r="B43" s="58">
        <v>22</v>
      </c>
      <c r="C43" s="162">
        <v>25.738</v>
      </c>
      <c r="D43" s="162">
        <v>25.738</v>
      </c>
    </row>
    <row r="44" spans="2:4" ht="18.75" x14ac:dyDescent="0.25">
      <c r="B44" s="58">
        <v>23</v>
      </c>
      <c r="C44" s="162">
        <v>26.109000000000002</v>
      </c>
      <c r="D44" s="162">
        <v>26.109000000000002</v>
      </c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30">
        <f>AVERAGE(C22:C45)</f>
        <v>24.004173913043484</v>
      </c>
      <c r="D46" s="130"/>
    </row>
    <row r="47" spans="2:4" ht="31.5" x14ac:dyDescent="0.25">
      <c r="B47" s="61" t="s">
        <v>46</v>
      </c>
      <c r="C47" s="60">
        <f>_xlfn.STDEV.S(C21:C45)</f>
        <v>0.70553257584587148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sheetPr codeName="Hoja19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'FOM303-32-Imprimir'!C28</f>
        <v>46071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'FOM303-32-Imprimir'!E28</f>
        <v>46071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ht="12.95" customHeight="1" x14ac:dyDescent="0.25">
      <c r="B17" s="138" t="s">
        <v>43</v>
      </c>
      <c r="C17" s="138" t="s">
        <v>44</v>
      </c>
      <c r="D17" s="138"/>
      <c r="E17" s="38"/>
      <c r="G17" s="38"/>
    </row>
    <row r="18" spans="2:7" ht="12.95" customHeight="1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  <c r="F21" s="57"/>
    </row>
    <row r="22" spans="2:7" ht="18.75" x14ac:dyDescent="0.25">
      <c r="B22" s="58">
        <v>1</v>
      </c>
      <c r="C22" s="133"/>
      <c r="D22" s="133"/>
      <c r="F22" s="57"/>
    </row>
    <row r="23" spans="2:7" ht="18.75" x14ac:dyDescent="0.25">
      <c r="B23" s="58">
        <v>2</v>
      </c>
      <c r="C23" s="133"/>
      <c r="D23" s="133"/>
      <c r="F23" s="57"/>
    </row>
    <row r="24" spans="2:7" ht="18.75" x14ac:dyDescent="0.25">
      <c r="B24" s="58">
        <v>3</v>
      </c>
      <c r="C24" s="133"/>
      <c r="D24" s="133"/>
      <c r="F24" s="57"/>
    </row>
    <row r="25" spans="2:7" ht="18.75" x14ac:dyDescent="0.25">
      <c r="B25" s="58">
        <v>4</v>
      </c>
      <c r="C25" s="133"/>
      <c r="D25" s="133"/>
      <c r="F25" s="57"/>
    </row>
    <row r="26" spans="2:7" ht="18.75" x14ac:dyDescent="0.25">
      <c r="B26" s="58">
        <v>5</v>
      </c>
      <c r="C26" s="133"/>
      <c r="D26" s="133"/>
      <c r="F26" s="57"/>
    </row>
    <row r="27" spans="2:7" ht="18.75" x14ac:dyDescent="0.25">
      <c r="B27" s="58">
        <v>6</v>
      </c>
      <c r="C27" s="133"/>
      <c r="D27" s="133"/>
      <c r="F27" s="57"/>
    </row>
    <row r="28" spans="2:7" ht="18.75" x14ac:dyDescent="0.25">
      <c r="B28" s="58">
        <v>7</v>
      </c>
      <c r="C28" s="133"/>
      <c r="D28" s="133"/>
      <c r="F28" s="57"/>
    </row>
    <row r="29" spans="2:7" ht="18.75" x14ac:dyDescent="0.25">
      <c r="B29" s="58">
        <v>8</v>
      </c>
      <c r="C29" s="133"/>
      <c r="D29" s="133"/>
      <c r="F29" s="56"/>
    </row>
    <row r="30" spans="2:7" ht="18.75" x14ac:dyDescent="0.25">
      <c r="B30" s="58">
        <v>9</v>
      </c>
      <c r="C30" s="133"/>
      <c r="D30" s="133"/>
      <c r="F30" s="57"/>
    </row>
    <row r="31" spans="2:7" ht="18.75" x14ac:dyDescent="0.25">
      <c r="B31" s="58">
        <v>10</v>
      </c>
      <c r="C31" s="133"/>
      <c r="D31" s="133"/>
      <c r="F31" s="57"/>
    </row>
    <row r="32" spans="2:7" ht="18.75" x14ac:dyDescent="0.25">
      <c r="B32" s="58">
        <v>11</v>
      </c>
      <c r="C32" s="133"/>
      <c r="D32" s="133"/>
      <c r="F32" s="57"/>
    </row>
    <row r="33" spans="2:6" ht="18.75" x14ac:dyDescent="0.25">
      <c r="B33" s="58">
        <v>12</v>
      </c>
      <c r="C33" s="133"/>
      <c r="D33" s="133"/>
      <c r="F33" s="57"/>
    </row>
    <row r="34" spans="2:6" ht="18.75" x14ac:dyDescent="0.25">
      <c r="B34" s="58">
        <v>13</v>
      </c>
      <c r="C34" s="133"/>
      <c r="D34" s="133"/>
      <c r="F34" s="57"/>
    </row>
    <row r="35" spans="2:6" ht="18.75" x14ac:dyDescent="0.25">
      <c r="B35" s="58">
        <v>14</v>
      </c>
      <c r="C35" s="133"/>
      <c r="D35" s="133"/>
      <c r="F35" s="57"/>
    </row>
    <row r="36" spans="2:6" ht="18.75" x14ac:dyDescent="0.25">
      <c r="B36" s="58">
        <v>15</v>
      </c>
      <c r="C36" s="133"/>
      <c r="D36" s="133"/>
      <c r="F36" s="56"/>
    </row>
    <row r="37" spans="2:6" ht="18.75" x14ac:dyDescent="0.25">
      <c r="B37" s="58">
        <v>16</v>
      </c>
      <c r="C37" s="133"/>
      <c r="D37" s="133"/>
      <c r="F37" s="57"/>
    </row>
    <row r="38" spans="2:6" ht="18.75" x14ac:dyDescent="0.25">
      <c r="B38" s="58">
        <v>17</v>
      </c>
      <c r="C38" s="133"/>
      <c r="D38" s="133"/>
      <c r="F38" s="57"/>
    </row>
    <row r="39" spans="2:6" ht="18.75" x14ac:dyDescent="0.25">
      <c r="B39" s="58">
        <v>18</v>
      </c>
      <c r="C39" s="133"/>
      <c r="D39" s="133"/>
      <c r="F39" s="57"/>
    </row>
    <row r="40" spans="2:6" ht="18.75" x14ac:dyDescent="0.25">
      <c r="B40" s="58">
        <v>19</v>
      </c>
      <c r="C40" s="133"/>
      <c r="D40" s="133"/>
      <c r="F40" s="57"/>
    </row>
    <row r="41" spans="2:6" ht="18.75" x14ac:dyDescent="0.25">
      <c r="B41" s="58">
        <v>20</v>
      </c>
      <c r="C41" s="133"/>
      <c r="D41" s="133"/>
      <c r="F41" s="57"/>
    </row>
    <row r="42" spans="2:6" ht="18.75" x14ac:dyDescent="0.25">
      <c r="B42" s="58">
        <v>21</v>
      </c>
      <c r="C42" s="133"/>
      <c r="D42" s="133"/>
      <c r="F42" s="57"/>
    </row>
    <row r="43" spans="2:6" ht="18.75" x14ac:dyDescent="0.25">
      <c r="B43" s="58">
        <v>22</v>
      </c>
      <c r="C43" s="133"/>
      <c r="D43" s="133"/>
      <c r="F43" s="57"/>
    </row>
    <row r="44" spans="2:6" ht="18.75" x14ac:dyDescent="0.25">
      <c r="B44" s="58">
        <v>23</v>
      </c>
      <c r="C44" s="133"/>
      <c r="D44" s="133"/>
      <c r="F44" s="57"/>
    </row>
    <row r="45" spans="2:6" ht="18.75" x14ac:dyDescent="0.25">
      <c r="B45" s="58">
        <v>24</v>
      </c>
      <c r="C45" s="133"/>
      <c r="D45" s="133"/>
    </row>
    <row r="46" spans="2:6" ht="33.75" customHeight="1" x14ac:dyDescent="0.25">
      <c r="B46" s="59" t="s">
        <v>45</v>
      </c>
      <c r="C46" s="130" t="e">
        <f>AVERAGE(C22:C45)</f>
        <v>#DIV/0!</v>
      </c>
      <c r="D46" s="130"/>
    </row>
    <row r="47" spans="2:6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6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sheetPr codeName="Hoja20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'FOM303-32-Imprimir'!C29</f>
        <v>46072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'FOM303-32-Imprimir'!E29</f>
        <v>46072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62"/>
      <c r="D21" s="162"/>
    </row>
    <row r="22" spans="2:7" ht="18.75" x14ac:dyDescent="0.25">
      <c r="B22" s="58">
        <v>1</v>
      </c>
      <c r="C22" s="162"/>
      <c r="D22" s="162"/>
    </row>
    <row r="23" spans="2:7" ht="18.75" x14ac:dyDescent="0.25">
      <c r="B23" s="58">
        <v>2</v>
      </c>
      <c r="C23" s="162"/>
      <c r="D23" s="162"/>
    </row>
    <row r="24" spans="2:7" ht="18.75" x14ac:dyDescent="0.25">
      <c r="B24" s="58">
        <v>3</v>
      </c>
      <c r="C24" s="162"/>
      <c r="D24" s="162"/>
    </row>
    <row r="25" spans="2:7" ht="18.75" x14ac:dyDescent="0.25">
      <c r="B25" s="58">
        <v>4</v>
      </c>
      <c r="C25" s="162"/>
      <c r="D25" s="162"/>
    </row>
    <row r="26" spans="2:7" ht="18.75" x14ac:dyDescent="0.25">
      <c r="B26" s="58">
        <v>5</v>
      </c>
      <c r="C26" s="162"/>
      <c r="D26" s="162"/>
    </row>
    <row r="27" spans="2:7" ht="18.75" x14ac:dyDescent="0.25">
      <c r="B27" s="58">
        <v>6</v>
      </c>
      <c r="C27" s="162"/>
      <c r="D27" s="162"/>
    </row>
    <row r="28" spans="2:7" ht="18.75" x14ac:dyDescent="0.25">
      <c r="B28" s="58">
        <v>7</v>
      </c>
      <c r="C28" s="162"/>
      <c r="D28" s="162"/>
    </row>
    <row r="29" spans="2:7" ht="18.75" x14ac:dyDescent="0.25">
      <c r="B29" s="58">
        <v>8</v>
      </c>
      <c r="C29" s="162"/>
      <c r="D29" s="162"/>
    </row>
    <row r="30" spans="2:7" ht="18.75" x14ac:dyDescent="0.25">
      <c r="B30" s="58">
        <v>9</v>
      </c>
      <c r="C30" s="162"/>
      <c r="D30" s="162"/>
    </row>
    <row r="31" spans="2:7" ht="18.75" x14ac:dyDescent="0.25">
      <c r="B31" s="58">
        <v>10</v>
      </c>
      <c r="C31" s="162"/>
      <c r="D31" s="162"/>
    </row>
    <row r="32" spans="2:7" ht="18.75" x14ac:dyDescent="0.25">
      <c r="B32" s="58">
        <v>11</v>
      </c>
      <c r="C32" s="162"/>
      <c r="D32" s="162"/>
    </row>
    <row r="33" spans="2:4" ht="18.75" x14ac:dyDescent="0.25">
      <c r="B33" s="58">
        <v>12</v>
      </c>
      <c r="C33" s="162"/>
      <c r="D33" s="162"/>
    </row>
    <row r="34" spans="2:4" ht="18.75" x14ac:dyDescent="0.25">
      <c r="B34" s="58">
        <v>13</v>
      </c>
      <c r="C34" s="162"/>
      <c r="D34" s="162"/>
    </row>
    <row r="35" spans="2:4" ht="18.75" x14ac:dyDescent="0.25">
      <c r="B35" s="58">
        <v>14</v>
      </c>
      <c r="C35" s="162"/>
      <c r="D35" s="162"/>
    </row>
    <row r="36" spans="2:4" ht="18.75" x14ac:dyDescent="0.25">
      <c r="B36" s="58">
        <v>15</v>
      </c>
      <c r="C36" s="162"/>
      <c r="D36" s="162"/>
    </row>
    <row r="37" spans="2:4" ht="18.75" x14ac:dyDescent="0.25">
      <c r="B37" s="58">
        <v>16</v>
      </c>
      <c r="C37" s="162"/>
      <c r="D37" s="162"/>
    </row>
    <row r="38" spans="2:4" ht="18.75" x14ac:dyDescent="0.25">
      <c r="B38" s="58">
        <v>17</v>
      </c>
      <c r="C38" s="162"/>
      <c r="D38" s="162"/>
    </row>
    <row r="39" spans="2:4" ht="18.75" x14ac:dyDescent="0.25">
      <c r="B39" s="58">
        <v>18</v>
      </c>
      <c r="C39" s="162"/>
      <c r="D39" s="162"/>
    </row>
    <row r="40" spans="2:4" ht="18.75" x14ac:dyDescent="0.25">
      <c r="B40" s="58">
        <v>19</v>
      </c>
      <c r="C40" s="162"/>
      <c r="D40" s="162"/>
    </row>
    <row r="41" spans="2:4" ht="18.75" x14ac:dyDescent="0.25">
      <c r="B41" s="58">
        <v>20</v>
      </c>
      <c r="C41" s="162"/>
      <c r="D41" s="162"/>
    </row>
    <row r="42" spans="2:4" ht="18.75" x14ac:dyDescent="0.25">
      <c r="B42" s="58">
        <v>21</v>
      </c>
      <c r="C42" s="162"/>
      <c r="D42" s="162"/>
    </row>
    <row r="43" spans="2:4" ht="18.75" x14ac:dyDescent="0.25">
      <c r="B43" s="58">
        <v>22</v>
      </c>
      <c r="C43" s="162"/>
      <c r="D43" s="162"/>
    </row>
    <row r="44" spans="2:4" ht="18.75" x14ac:dyDescent="0.25">
      <c r="B44" s="58">
        <v>23</v>
      </c>
      <c r="C44" s="162"/>
      <c r="D44" s="162"/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sheetPr codeName="Hoja21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'FOM303-32-Imprimir'!C30</f>
        <v>46073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'FOM303-32-Imprimir'!E30</f>
        <v>46073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63"/>
      <c r="D21" s="164"/>
    </row>
    <row r="22" spans="2:7" ht="18.75" x14ac:dyDescent="0.25">
      <c r="B22" s="58">
        <v>1</v>
      </c>
      <c r="C22" s="163"/>
      <c r="D22" s="164"/>
    </row>
    <row r="23" spans="2:7" ht="18.75" x14ac:dyDescent="0.25">
      <c r="B23" s="58">
        <v>2</v>
      </c>
      <c r="C23" s="163"/>
      <c r="D23" s="164"/>
    </row>
    <row r="24" spans="2:7" ht="18.75" x14ac:dyDescent="0.25">
      <c r="B24" s="58">
        <v>3</v>
      </c>
      <c r="C24" s="163"/>
      <c r="D24" s="164"/>
    </row>
    <row r="25" spans="2:7" ht="18.75" x14ac:dyDescent="0.25">
      <c r="B25" s="58">
        <v>4</v>
      </c>
      <c r="C25" s="163"/>
      <c r="D25" s="164"/>
    </row>
    <row r="26" spans="2:7" ht="18.75" x14ac:dyDescent="0.25">
      <c r="B26" s="58">
        <v>5</v>
      </c>
      <c r="C26" s="163"/>
      <c r="D26" s="164"/>
    </row>
    <row r="27" spans="2:7" ht="18.75" x14ac:dyDescent="0.25">
      <c r="B27" s="58">
        <v>6</v>
      </c>
      <c r="C27" s="163"/>
      <c r="D27" s="164"/>
    </row>
    <row r="28" spans="2:7" ht="18.75" x14ac:dyDescent="0.25">
      <c r="B28" s="58">
        <v>7</v>
      </c>
      <c r="C28" s="163"/>
      <c r="D28" s="164"/>
    </row>
    <row r="29" spans="2:7" ht="18.75" x14ac:dyDescent="0.25">
      <c r="B29" s="58">
        <v>8</v>
      </c>
      <c r="C29" s="163"/>
      <c r="D29" s="164"/>
    </row>
    <row r="30" spans="2:7" ht="18.75" x14ac:dyDescent="0.25">
      <c r="B30" s="58">
        <v>9</v>
      </c>
      <c r="C30" s="163"/>
      <c r="D30" s="164"/>
    </row>
    <row r="31" spans="2:7" ht="18.75" x14ac:dyDescent="0.25">
      <c r="B31" s="58">
        <v>10</v>
      </c>
      <c r="C31" s="163"/>
      <c r="D31" s="164"/>
    </row>
    <row r="32" spans="2:7" ht="18.75" x14ac:dyDescent="0.25">
      <c r="B32" s="58">
        <v>11</v>
      </c>
      <c r="C32" s="163"/>
      <c r="D32" s="164"/>
    </row>
    <row r="33" spans="2:4" ht="18.75" x14ac:dyDescent="0.25">
      <c r="B33" s="58">
        <v>12</v>
      </c>
      <c r="C33" s="163"/>
      <c r="D33" s="164"/>
    </row>
    <row r="34" spans="2:4" ht="18.75" x14ac:dyDescent="0.25">
      <c r="B34" s="58">
        <v>13</v>
      </c>
      <c r="C34" s="163"/>
      <c r="D34" s="164"/>
    </row>
    <row r="35" spans="2:4" ht="18.75" x14ac:dyDescent="0.25">
      <c r="B35" s="58">
        <v>14</v>
      </c>
      <c r="C35" s="163"/>
      <c r="D35" s="164"/>
    </row>
    <row r="36" spans="2:4" ht="18.75" x14ac:dyDescent="0.25">
      <c r="B36" s="58">
        <v>15</v>
      </c>
      <c r="C36" s="163"/>
      <c r="D36" s="164"/>
    </row>
    <row r="37" spans="2:4" ht="18.75" x14ac:dyDescent="0.25">
      <c r="B37" s="58">
        <v>16</v>
      </c>
      <c r="C37" s="163"/>
      <c r="D37" s="164"/>
    </row>
    <row r="38" spans="2:4" ht="18.75" x14ac:dyDescent="0.25">
      <c r="B38" s="58">
        <v>17</v>
      </c>
      <c r="C38" s="163"/>
      <c r="D38" s="164"/>
    </row>
    <row r="39" spans="2:4" ht="18.75" x14ac:dyDescent="0.25">
      <c r="B39" s="58">
        <v>18</v>
      </c>
      <c r="C39" s="163"/>
      <c r="D39" s="164"/>
    </row>
    <row r="40" spans="2:4" ht="18.75" x14ac:dyDescent="0.25">
      <c r="B40" s="58">
        <v>19</v>
      </c>
      <c r="C40" s="163"/>
      <c r="D40" s="164"/>
    </row>
    <row r="41" spans="2:4" ht="18.75" x14ac:dyDescent="0.25">
      <c r="B41" s="58">
        <v>20</v>
      </c>
      <c r="C41" s="163"/>
      <c r="D41" s="164"/>
    </row>
    <row r="42" spans="2:4" ht="18.75" x14ac:dyDescent="0.25">
      <c r="B42" s="58">
        <v>21</v>
      </c>
      <c r="C42" s="163"/>
      <c r="D42" s="164"/>
    </row>
    <row r="43" spans="2:4" ht="18.75" x14ac:dyDescent="0.25">
      <c r="B43" s="58">
        <v>22</v>
      </c>
      <c r="C43" s="163"/>
      <c r="D43" s="164"/>
    </row>
    <row r="44" spans="2:4" ht="18.75" x14ac:dyDescent="0.25">
      <c r="B44" s="58">
        <v>23</v>
      </c>
      <c r="C44" s="163"/>
      <c r="D44" s="164"/>
    </row>
    <row r="45" spans="2:4" ht="18.75" x14ac:dyDescent="0.25">
      <c r="B45" s="58">
        <v>24</v>
      </c>
      <c r="C45" s="163"/>
      <c r="D45" s="164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sheetPr codeName="Hoja22"/>
  <dimension ref="A1:L50"/>
  <sheetViews>
    <sheetView showGridLines="0" view="pageBreakPreview" topLeftCell="A7" zoomScale="90" zoomScaleNormal="85" zoomScaleSheetLayoutView="9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'FOM303-32-Imprimir'!C31</f>
        <v>46074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'FOM303-32-Imprimir'!E31</f>
        <v>46074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62"/>
      <c r="D21" s="162"/>
    </row>
    <row r="22" spans="2:7" ht="18.75" x14ac:dyDescent="0.25">
      <c r="B22" s="58">
        <v>1</v>
      </c>
      <c r="C22" s="162"/>
      <c r="D22" s="162"/>
    </row>
    <row r="23" spans="2:7" ht="18.75" x14ac:dyDescent="0.25">
      <c r="B23" s="58">
        <v>2</v>
      </c>
      <c r="C23" s="162"/>
      <c r="D23" s="162"/>
    </row>
    <row r="24" spans="2:7" ht="18.75" x14ac:dyDescent="0.25">
      <c r="B24" s="58">
        <v>3</v>
      </c>
      <c r="C24" s="162"/>
      <c r="D24" s="162"/>
    </row>
    <row r="25" spans="2:7" ht="18.75" x14ac:dyDescent="0.25">
      <c r="B25" s="58">
        <v>4</v>
      </c>
      <c r="C25" s="162"/>
      <c r="D25" s="162"/>
    </row>
    <row r="26" spans="2:7" ht="18.75" x14ac:dyDescent="0.25">
      <c r="B26" s="58">
        <v>5</v>
      </c>
      <c r="C26" s="162"/>
      <c r="D26" s="162"/>
    </row>
    <row r="27" spans="2:7" ht="18.75" x14ac:dyDescent="0.25">
      <c r="B27" s="58">
        <v>6</v>
      </c>
      <c r="C27" s="162"/>
      <c r="D27" s="162"/>
    </row>
    <row r="28" spans="2:7" ht="18.75" x14ac:dyDescent="0.25">
      <c r="B28" s="58">
        <v>7</v>
      </c>
      <c r="C28" s="162"/>
      <c r="D28" s="162"/>
    </row>
    <row r="29" spans="2:7" ht="18.75" x14ac:dyDescent="0.25">
      <c r="B29" s="58">
        <v>8</v>
      </c>
      <c r="C29" s="162"/>
      <c r="D29" s="162"/>
    </row>
    <row r="30" spans="2:7" ht="18.75" x14ac:dyDescent="0.25">
      <c r="B30" s="58">
        <v>9</v>
      </c>
      <c r="C30" s="162"/>
      <c r="D30" s="162"/>
    </row>
    <row r="31" spans="2:7" ht="18.75" x14ac:dyDescent="0.25">
      <c r="B31" s="58">
        <v>10</v>
      </c>
      <c r="C31" s="162"/>
      <c r="D31" s="162"/>
    </row>
    <row r="32" spans="2:7" ht="18.75" x14ac:dyDescent="0.25">
      <c r="B32" s="58">
        <v>11</v>
      </c>
      <c r="C32" s="162"/>
      <c r="D32" s="162"/>
    </row>
    <row r="33" spans="2:4" ht="18.75" x14ac:dyDescent="0.25">
      <c r="B33" s="58">
        <v>12</v>
      </c>
      <c r="C33" s="162"/>
      <c r="D33" s="162"/>
    </row>
    <row r="34" spans="2:4" ht="18.75" x14ac:dyDescent="0.25">
      <c r="B34" s="58">
        <v>13</v>
      </c>
      <c r="C34" s="162"/>
      <c r="D34" s="162"/>
    </row>
    <row r="35" spans="2:4" ht="18.75" x14ac:dyDescent="0.25">
      <c r="B35" s="58">
        <v>14</v>
      </c>
      <c r="C35" s="162"/>
      <c r="D35" s="162"/>
    </row>
    <row r="36" spans="2:4" ht="18.75" x14ac:dyDescent="0.25">
      <c r="B36" s="58">
        <v>15</v>
      </c>
      <c r="C36" s="162"/>
      <c r="D36" s="162"/>
    </row>
    <row r="37" spans="2:4" ht="18.75" x14ac:dyDescent="0.25">
      <c r="B37" s="58">
        <v>16</v>
      </c>
      <c r="C37" s="162"/>
      <c r="D37" s="162"/>
    </row>
    <row r="38" spans="2:4" ht="18.75" x14ac:dyDescent="0.25">
      <c r="B38" s="58">
        <v>17</v>
      </c>
      <c r="C38" s="162"/>
      <c r="D38" s="162"/>
    </row>
    <row r="39" spans="2:4" ht="18.75" x14ac:dyDescent="0.25">
      <c r="B39" s="58">
        <v>18</v>
      </c>
      <c r="C39" s="162"/>
      <c r="D39" s="162"/>
    </row>
    <row r="40" spans="2:4" ht="18.75" x14ac:dyDescent="0.25">
      <c r="B40" s="58">
        <v>19</v>
      </c>
      <c r="C40" s="162"/>
      <c r="D40" s="162"/>
    </row>
    <row r="41" spans="2:4" ht="18.75" x14ac:dyDescent="0.25">
      <c r="B41" s="58">
        <v>20</v>
      </c>
      <c r="C41" s="162"/>
      <c r="D41" s="162"/>
    </row>
    <row r="42" spans="2:4" ht="18.75" x14ac:dyDescent="0.25">
      <c r="B42" s="58">
        <v>21</v>
      </c>
      <c r="C42" s="162"/>
      <c r="D42" s="162"/>
    </row>
    <row r="43" spans="2:4" ht="18.75" x14ac:dyDescent="0.25">
      <c r="B43" s="58">
        <v>22</v>
      </c>
      <c r="C43" s="162"/>
      <c r="D43" s="162"/>
    </row>
    <row r="44" spans="2:4" ht="18.75" x14ac:dyDescent="0.25">
      <c r="B44" s="58">
        <v>23</v>
      </c>
      <c r="C44" s="162"/>
      <c r="D44" s="162"/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sheetPr codeName="Hoja23"/>
  <dimension ref="A1:L50"/>
  <sheetViews>
    <sheetView showGridLines="0" view="pageBreakPreview" zoomScale="85" zoomScaleNormal="85" zoomScaleSheetLayoutView="85" workbookViewId="0">
      <selection activeCell="C21" sqref="C21:D3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'FOM303-32-Imprimir'!C32</f>
        <v>46075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'FOM303-32-Imprimir'!E32</f>
        <v>46075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>
        <v>24.350999999999999</v>
      </c>
      <c r="D35" s="133"/>
    </row>
    <row r="36" spans="2:4" ht="18.75" x14ac:dyDescent="0.25">
      <c r="B36" s="58">
        <v>15</v>
      </c>
      <c r="C36" s="133">
        <v>23.75</v>
      </c>
      <c r="D36" s="133"/>
    </row>
    <row r="37" spans="2:4" ht="18.75" x14ac:dyDescent="0.25">
      <c r="B37" s="58">
        <v>16</v>
      </c>
      <c r="C37" s="133">
        <v>22.818000000000001</v>
      </c>
      <c r="D37" s="133"/>
    </row>
    <row r="38" spans="2:4" ht="18.75" x14ac:dyDescent="0.25">
      <c r="B38" s="58">
        <v>17</v>
      </c>
      <c r="C38" s="133">
        <v>21.99</v>
      </c>
      <c r="D38" s="133"/>
    </row>
    <row r="39" spans="2:4" ht="18.75" x14ac:dyDescent="0.25">
      <c r="B39" s="58">
        <v>18</v>
      </c>
      <c r="C39" s="133">
        <v>21.100999999999999</v>
      </c>
      <c r="D39" s="133"/>
    </row>
    <row r="40" spans="2:4" ht="18.75" x14ac:dyDescent="0.25">
      <c r="B40" s="58">
        <v>19</v>
      </c>
      <c r="C40" s="133">
        <v>21.088000000000001</v>
      </c>
      <c r="D40" s="133"/>
    </row>
    <row r="41" spans="2:4" ht="18.75" x14ac:dyDescent="0.25">
      <c r="B41" s="58">
        <v>20</v>
      </c>
      <c r="C41" s="133">
        <v>20.966000000000001</v>
      </c>
      <c r="D41" s="133"/>
    </row>
    <row r="42" spans="2:4" ht="18.75" x14ac:dyDescent="0.25">
      <c r="B42" s="58">
        <v>21</v>
      </c>
      <c r="C42" s="133">
        <v>20.797999999999998</v>
      </c>
      <c r="D42" s="133"/>
    </row>
    <row r="43" spans="2:4" ht="18.75" x14ac:dyDescent="0.25">
      <c r="B43" s="58">
        <v>22</v>
      </c>
      <c r="C43" s="133">
        <v>20.561</v>
      </c>
      <c r="D43" s="133"/>
    </row>
    <row r="44" spans="2:4" ht="18.75" x14ac:dyDescent="0.25">
      <c r="B44" s="58">
        <v>23</v>
      </c>
      <c r="C44" s="133">
        <v>20.396000000000001</v>
      </c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>
        <f>AVERAGE(C22:C45)</f>
        <v>21.7819</v>
      </c>
      <c r="D46" s="130"/>
    </row>
    <row r="47" spans="2:4" ht="31.5" x14ac:dyDescent="0.25">
      <c r="B47" s="61" t="s">
        <v>46</v>
      </c>
      <c r="C47" s="60">
        <f>_xlfn.STDEV.S(C21:C45)</f>
        <v>1.3976444826922187</v>
      </c>
      <c r="D47" s="62" t="s">
        <v>47</v>
      </c>
    </row>
    <row r="48" spans="2:4" ht="15.75" x14ac:dyDescent="0.25">
      <c r="B48" s="59" t="s">
        <v>48</v>
      </c>
      <c r="C48" s="131" t="str">
        <f>IF(ABS(C47)&gt;=2.5,"NO CUMPLE CON DS T°C DEL SHELTER"," CUMPLE CON DS T°C DEL SHELTER")</f>
        <v xml:space="preserve"> CUMPLE CON DS T°C DEL SHELTER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sheetPr codeName="Hoja24"/>
  <dimension ref="A1:L50"/>
  <sheetViews>
    <sheetView showGridLines="0" view="pageBreakPreview" topLeftCell="A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'FOM303-32-Imprimir'!C33</f>
        <v>46076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'FOM303-32-Imprimir'!E33</f>
        <v>46076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62"/>
      <c r="D21" s="162"/>
    </row>
    <row r="22" spans="2:7" ht="18.75" x14ac:dyDescent="0.25">
      <c r="B22" s="58">
        <v>1</v>
      </c>
      <c r="C22" s="162"/>
      <c r="D22" s="162"/>
    </row>
    <row r="23" spans="2:7" ht="18.75" x14ac:dyDescent="0.25">
      <c r="B23" s="58">
        <v>2</v>
      </c>
      <c r="C23" s="162"/>
      <c r="D23" s="162"/>
    </row>
    <row r="24" spans="2:7" ht="18.75" x14ac:dyDescent="0.25">
      <c r="B24" s="58">
        <v>3</v>
      </c>
      <c r="C24" s="162"/>
      <c r="D24" s="162"/>
    </row>
    <row r="25" spans="2:7" ht="18.75" x14ac:dyDescent="0.25">
      <c r="B25" s="58">
        <v>4</v>
      </c>
      <c r="C25" s="162"/>
      <c r="D25" s="162"/>
    </row>
    <row r="26" spans="2:7" ht="18.75" x14ac:dyDescent="0.25">
      <c r="B26" s="58">
        <v>5</v>
      </c>
      <c r="C26" s="162"/>
      <c r="D26" s="162"/>
    </row>
    <row r="27" spans="2:7" ht="18.75" x14ac:dyDescent="0.25">
      <c r="B27" s="58">
        <v>6</v>
      </c>
      <c r="C27" s="162"/>
      <c r="D27" s="162"/>
    </row>
    <row r="28" spans="2:7" ht="18.75" x14ac:dyDescent="0.25">
      <c r="B28" s="58">
        <v>7</v>
      </c>
      <c r="C28" s="162"/>
      <c r="D28" s="162"/>
    </row>
    <row r="29" spans="2:7" ht="18.75" x14ac:dyDescent="0.25">
      <c r="B29" s="58">
        <v>8</v>
      </c>
      <c r="C29" s="162"/>
      <c r="D29" s="162"/>
    </row>
    <row r="30" spans="2:7" ht="18.75" x14ac:dyDescent="0.25">
      <c r="B30" s="58">
        <v>9</v>
      </c>
      <c r="C30" s="162"/>
      <c r="D30" s="162"/>
    </row>
    <row r="31" spans="2:7" ht="18.75" x14ac:dyDescent="0.25">
      <c r="B31" s="58">
        <v>10</v>
      </c>
      <c r="C31" s="162"/>
      <c r="D31" s="162"/>
    </row>
    <row r="32" spans="2:7" ht="18.75" x14ac:dyDescent="0.25">
      <c r="B32" s="58">
        <v>11</v>
      </c>
      <c r="C32" s="162"/>
      <c r="D32" s="162"/>
    </row>
    <row r="33" spans="2:4" ht="18.75" x14ac:dyDescent="0.25">
      <c r="B33" s="58">
        <v>12</v>
      </c>
      <c r="C33" s="162"/>
      <c r="D33" s="162"/>
    </row>
    <row r="34" spans="2:4" ht="18.75" x14ac:dyDescent="0.25">
      <c r="B34" s="58">
        <v>13</v>
      </c>
      <c r="C34" s="162"/>
      <c r="D34" s="162"/>
    </row>
    <row r="35" spans="2:4" ht="18.75" x14ac:dyDescent="0.25">
      <c r="B35" s="58">
        <v>14</v>
      </c>
      <c r="C35" s="162"/>
      <c r="D35" s="162"/>
    </row>
    <row r="36" spans="2:4" ht="18.75" x14ac:dyDescent="0.25">
      <c r="B36" s="58">
        <v>15</v>
      </c>
      <c r="C36" s="162"/>
      <c r="D36" s="162"/>
    </row>
    <row r="37" spans="2:4" ht="18.75" x14ac:dyDescent="0.25">
      <c r="B37" s="58">
        <v>16</v>
      </c>
      <c r="C37" s="162"/>
      <c r="D37" s="162"/>
    </row>
    <row r="38" spans="2:4" ht="18.75" x14ac:dyDescent="0.25">
      <c r="B38" s="58">
        <v>17</v>
      </c>
      <c r="C38" s="162"/>
      <c r="D38" s="162"/>
    </row>
    <row r="39" spans="2:4" ht="18.75" x14ac:dyDescent="0.25">
      <c r="B39" s="58">
        <v>18</v>
      </c>
      <c r="C39" s="162"/>
      <c r="D39" s="162"/>
    </row>
    <row r="40" spans="2:4" ht="18.75" x14ac:dyDescent="0.25">
      <c r="B40" s="58">
        <v>19</v>
      </c>
      <c r="C40" s="162"/>
      <c r="D40" s="162"/>
    </row>
    <row r="41" spans="2:4" ht="18.75" x14ac:dyDescent="0.25">
      <c r="B41" s="58">
        <v>20</v>
      </c>
      <c r="C41" s="162"/>
      <c r="D41" s="162"/>
    </row>
    <row r="42" spans="2:4" ht="18.75" x14ac:dyDescent="0.25">
      <c r="B42" s="58">
        <v>21</v>
      </c>
      <c r="C42" s="162"/>
      <c r="D42" s="162"/>
    </row>
    <row r="43" spans="2:4" ht="18.75" x14ac:dyDescent="0.25">
      <c r="B43" s="58">
        <v>22</v>
      </c>
      <c r="C43" s="162"/>
      <c r="D43" s="162"/>
    </row>
    <row r="44" spans="2:4" ht="18.75" x14ac:dyDescent="0.25">
      <c r="B44" s="58">
        <v>23</v>
      </c>
      <c r="C44" s="162"/>
      <c r="D44" s="162"/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sheetPr codeName="Hoja25"/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'FOM303-32-Imprimir'!C34</f>
        <v>46077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'FOM303-32-Imprimir'!E34</f>
        <v>46077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/>
      <c r="D35" s="133"/>
    </row>
    <row r="36" spans="2:4" ht="18.75" x14ac:dyDescent="0.25">
      <c r="B36" s="58">
        <v>15</v>
      </c>
      <c r="C36" s="133"/>
      <c r="D36" s="133"/>
    </row>
    <row r="37" spans="2:4" ht="18.75" x14ac:dyDescent="0.25">
      <c r="B37" s="58">
        <v>16</v>
      </c>
      <c r="C37" s="133"/>
      <c r="D37" s="133"/>
    </row>
    <row r="38" spans="2:4" ht="18.75" x14ac:dyDescent="0.25">
      <c r="B38" s="58">
        <v>17</v>
      </c>
      <c r="C38" s="133"/>
      <c r="D38" s="133"/>
    </row>
    <row r="39" spans="2:4" ht="18.75" x14ac:dyDescent="0.25">
      <c r="B39" s="58">
        <v>18</v>
      </c>
      <c r="C39" s="133"/>
      <c r="D39" s="133"/>
    </row>
    <row r="40" spans="2:4" ht="18.75" x14ac:dyDescent="0.25">
      <c r="B40" s="58">
        <v>19</v>
      </c>
      <c r="C40" s="133"/>
      <c r="D40" s="133"/>
    </row>
    <row r="41" spans="2:4" ht="18.75" x14ac:dyDescent="0.25">
      <c r="B41" s="58">
        <v>20</v>
      </c>
      <c r="C41" s="133"/>
      <c r="D41" s="133"/>
    </row>
    <row r="42" spans="2:4" ht="18.75" x14ac:dyDescent="0.25">
      <c r="B42" s="58">
        <v>21</v>
      </c>
      <c r="C42" s="133"/>
      <c r="D42" s="133"/>
    </row>
    <row r="43" spans="2:4" ht="18.75" x14ac:dyDescent="0.25">
      <c r="B43" s="58">
        <v>22</v>
      </c>
      <c r="C43" s="133"/>
      <c r="D43" s="133"/>
    </row>
    <row r="44" spans="2:4" ht="18.75" x14ac:dyDescent="0.25">
      <c r="B44" s="58">
        <v>23</v>
      </c>
      <c r="C44" s="133"/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sheetPr codeName="Hoja26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'FOM303-32-Imprimir'!C35</f>
        <v>46078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'FOM303-32-Imprimir'!E35</f>
        <v>46078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/>
      <c r="D35" s="133"/>
    </row>
    <row r="36" spans="2:4" ht="18.75" x14ac:dyDescent="0.25">
      <c r="B36" s="58">
        <v>15</v>
      </c>
      <c r="C36" s="133"/>
      <c r="D36" s="133"/>
    </row>
    <row r="37" spans="2:4" ht="18.75" x14ac:dyDescent="0.25">
      <c r="B37" s="58">
        <v>16</v>
      </c>
      <c r="C37" s="133"/>
      <c r="D37" s="133"/>
    </row>
    <row r="38" spans="2:4" ht="18.75" x14ac:dyDescent="0.25">
      <c r="B38" s="58">
        <v>17</v>
      </c>
      <c r="C38" s="133"/>
      <c r="D38" s="133"/>
    </row>
    <row r="39" spans="2:4" ht="18.75" x14ac:dyDescent="0.25">
      <c r="B39" s="58">
        <v>18</v>
      </c>
      <c r="C39" s="133"/>
      <c r="D39" s="133"/>
    </row>
    <row r="40" spans="2:4" ht="18.75" x14ac:dyDescent="0.25">
      <c r="B40" s="58">
        <v>19</v>
      </c>
      <c r="C40" s="133"/>
      <c r="D40" s="133"/>
    </row>
    <row r="41" spans="2:4" ht="18.75" x14ac:dyDescent="0.25">
      <c r="B41" s="58">
        <v>20</v>
      </c>
      <c r="C41" s="133"/>
      <c r="D41" s="133"/>
    </row>
    <row r="42" spans="2:4" ht="18.75" x14ac:dyDescent="0.25">
      <c r="B42" s="58">
        <v>21</v>
      </c>
      <c r="C42" s="133"/>
      <c r="D42" s="133"/>
    </row>
    <row r="43" spans="2:4" ht="18.75" x14ac:dyDescent="0.25">
      <c r="B43" s="58">
        <v>22</v>
      </c>
      <c r="C43" s="133"/>
      <c r="D43" s="133"/>
    </row>
    <row r="44" spans="2:4" ht="18.75" x14ac:dyDescent="0.25">
      <c r="B44" s="58">
        <v>23</v>
      </c>
      <c r="C44" s="133"/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sheetPr codeName="Hoja27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'FOM303-32-Imprimir'!C36</f>
        <v>46079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'FOM303-32-Imprimir'!E36</f>
        <v>46079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/>
      <c r="D35" s="133"/>
    </row>
    <row r="36" spans="2:4" ht="18.75" x14ac:dyDescent="0.25">
      <c r="B36" s="58">
        <v>15</v>
      </c>
      <c r="C36" s="133"/>
      <c r="D36" s="133"/>
    </row>
    <row r="37" spans="2:4" ht="18.75" x14ac:dyDescent="0.25">
      <c r="B37" s="58">
        <v>16</v>
      </c>
      <c r="C37" s="133"/>
      <c r="D37" s="133"/>
    </row>
    <row r="38" spans="2:4" ht="18.75" x14ac:dyDescent="0.25">
      <c r="B38" s="58">
        <v>17</v>
      </c>
      <c r="C38" s="133"/>
      <c r="D38" s="133"/>
    </row>
    <row r="39" spans="2:4" ht="18.75" x14ac:dyDescent="0.25">
      <c r="B39" s="58">
        <v>18</v>
      </c>
      <c r="C39" s="133"/>
      <c r="D39" s="133"/>
    </row>
    <row r="40" spans="2:4" ht="18.75" x14ac:dyDescent="0.25">
      <c r="B40" s="58">
        <v>19</v>
      </c>
      <c r="C40" s="133"/>
      <c r="D40" s="133"/>
    </row>
    <row r="41" spans="2:4" ht="18.75" x14ac:dyDescent="0.25">
      <c r="B41" s="58">
        <v>20</v>
      </c>
      <c r="C41" s="133"/>
      <c r="D41" s="133"/>
    </row>
    <row r="42" spans="2:4" ht="18.75" x14ac:dyDescent="0.25">
      <c r="B42" s="58">
        <v>21</v>
      </c>
      <c r="C42" s="133"/>
      <c r="D42" s="133"/>
    </row>
    <row r="43" spans="2:4" ht="18.75" x14ac:dyDescent="0.25">
      <c r="B43" s="58">
        <v>22</v>
      </c>
      <c r="C43" s="133"/>
      <c r="D43" s="133"/>
    </row>
    <row r="44" spans="2:4" ht="18.75" x14ac:dyDescent="0.25">
      <c r="B44" s="58">
        <v>23</v>
      </c>
      <c r="C44" s="133"/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sheetPr codeName="Hoja28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'FOM303-32-Imprimir'!C37</f>
        <v>46080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'FOM303-32-Imprimir'!E37</f>
        <v>46080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/>
      <c r="D35" s="133"/>
    </row>
    <row r="36" spans="2:4" ht="18.75" x14ac:dyDescent="0.25">
      <c r="B36" s="58">
        <v>15</v>
      </c>
      <c r="C36" s="133"/>
      <c r="D36" s="133"/>
    </row>
    <row r="37" spans="2:4" ht="18.75" x14ac:dyDescent="0.25">
      <c r="B37" s="58">
        <v>16</v>
      </c>
      <c r="C37" s="133"/>
      <c r="D37" s="133"/>
    </row>
    <row r="38" spans="2:4" ht="18.75" x14ac:dyDescent="0.25">
      <c r="B38" s="58">
        <v>17</v>
      </c>
      <c r="C38" s="133"/>
      <c r="D38" s="133"/>
    </row>
    <row r="39" spans="2:4" ht="18.75" x14ac:dyDescent="0.25">
      <c r="B39" s="58">
        <v>18</v>
      </c>
      <c r="C39" s="133"/>
      <c r="D39" s="133"/>
    </row>
    <row r="40" spans="2:4" ht="18.75" x14ac:dyDescent="0.25">
      <c r="B40" s="58">
        <v>19</v>
      </c>
      <c r="C40" s="133"/>
      <c r="D40" s="133"/>
    </row>
    <row r="41" spans="2:4" ht="18.75" x14ac:dyDescent="0.25">
      <c r="B41" s="58">
        <v>20</v>
      </c>
      <c r="C41" s="133"/>
      <c r="D41" s="133"/>
    </row>
    <row r="42" spans="2:4" ht="18.75" x14ac:dyDescent="0.25">
      <c r="B42" s="58">
        <v>21</v>
      </c>
      <c r="C42" s="133"/>
      <c r="D42" s="133"/>
    </row>
    <row r="43" spans="2:4" ht="18.75" x14ac:dyDescent="0.25">
      <c r="B43" s="58">
        <v>22</v>
      </c>
      <c r="C43" s="133"/>
      <c r="D43" s="133"/>
    </row>
    <row r="44" spans="2:4" ht="18.75" x14ac:dyDescent="0.25">
      <c r="B44" s="58">
        <v>23</v>
      </c>
      <c r="C44" s="133"/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sheetPr codeName="Hoja29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'FOM303-32-Imprimir'!C38</f>
        <v>46081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'FOM303-32-Imprimir'!E38</f>
        <v>46081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/>
      <c r="D35" s="133"/>
    </row>
    <row r="36" spans="2:4" ht="18.75" x14ac:dyDescent="0.25">
      <c r="B36" s="58">
        <v>15</v>
      </c>
      <c r="C36" s="133"/>
      <c r="D36" s="133"/>
    </row>
    <row r="37" spans="2:4" ht="18.75" x14ac:dyDescent="0.25">
      <c r="B37" s="58">
        <v>16</v>
      </c>
      <c r="C37" s="133"/>
      <c r="D37" s="133"/>
    </row>
    <row r="38" spans="2:4" ht="18.75" x14ac:dyDescent="0.25">
      <c r="B38" s="58">
        <v>17</v>
      </c>
      <c r="C38" s="133"/>
      <c r="D38" s="133"/>
    </row>
    <row r="39" spans="2:4" ht="18.75" x14ac:dyDescent="0.25">
      <c r="B39" s="58">
        <v>18</v>
      </c>
      <c r="C39" s="133"/>
      <c r="D39" s="133"/>
    </row>
    <row r="40" spans="2:4" ht="18.75" x14ac:dyDescent="0.25">
      <c r="B40" s="58">
        <v>19</v>
      </c>
      <c r="C40" s="133"/>
      <c r="D40" s="133"/>
    </row>
    <row r="41" spans="2:4" ht="18.75" x14ac:dyDescent="0.25">
      <c r="B41" s="58">
        <v>20</v>
      </c>
      <c r="C41" s="133"/>
      <c r="D41" s="133"/>
    </row>
    <row r="42" spans="2:4" ht="18.75" x14ac:dyDescent="0.25">
      <c r="B42" s="58">
        <v>21</v>
      </c>
      <c r="C42" s="133"/>
      <c r="D42" s="133"/>
    </row>
    <row r="43" spans="2:4" ht="18.75" x14ac:dyDescent="0.25">
      <c r="B43" s="58">
        <v>22</v>
      </c>
      <c r="C43" s="133"/>
      <c r="D43" s="133"/>
    </row>
    <row r="44" spans="2:4" ht="18.75" x14ac:dyDescent="0.25">
      <c r="B44" s="58">
        <v>23</v>
      </c>
      <c r="C44" s="133"/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sheetPr codeName="Hoja30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'FOM303-32-Imprimir'!C39</f>
        <v>0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'FOM303-32-Imprimir'!E39</f>
        <v>0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ht="12.95" customHeight="1" x14ac:dyDescent="0.25">
      <c r="B17" s="138" t="s">
        <v>43</v>
      </c>
      <c r="C17" s="138" t="s">
        <v>44</v>
      </c>
      <c r="D17" s="138"/>
      <c r="E17" s="38"/>
      <c r="G17" s="38"/>
    </row>
    <row r="18" spans="2:7" ht="12.95" customHeight="1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/>
      <c r="D35" s="133"/>
    </row>
    <row r="36" spans="2:4" ht="18.75" x14ac:dyDescent="0.25">
      <c r="B36" s="58">
        <v>15</v>
      </c>
      <c r="C36" s="133"/>
      <c r="D36" s="133"/>
    </row>
    <row r="37" spans="2:4" ht="18.75" x14ac:dyDescent="0.25">
      <c r="B37" s="58">
        <v>16</v>
      </c>
      <c r="C37" s="133"/>
      <c r="D37" s="133"/>
    </row>
    <row r="38" spans="2:4" ht="18.75" x14ac:dyDescent="0.25">
      <c r="B38" s="58">
        <v>17</v>
      </c>
      <c r="C38" s="133"/>
      <c r="D38" s="133"/>
    </row>
    <row r="39" spans="2:4" ht="18.75" x14ac:dyDescent="0.25">
      <c r="B39" s="58">
        <v>18</v>
      </c>
      <c r="C39" s="133"/>
      <c r="D39" s="133"/>
    </row>
    <row r="40" spans="2:4" ht="18.75" x14ac:dyDescent="0.25">
      <c r="B40" s="58">
        <v>19</v>
      </c>
      <c r="C40" s="133"/>
      <c r="D40" s="133"/>
    </row>
    <row r="41" spans="2:4" ht="18.75" x14ac:dyDescent="0.25">
      <c r="B41" s="58">
        <v>20</v>
      </c>
      <c r="C41" s="133"/>
      <c r="D41" s="133"/>
    </row>
    <row r="42" spans="2:4" ht="18.75" x14ac:dyDescent="0.25">
      <c r="B42" s="58">
        <v>21</v>
      </c>
      <c r="C42" s="133"/>
      <c r="D42" s="133"/>
    </row>
    <row r="43" spans="2:4" ht="18.75" x14ac:dyDescent="0.25">
      <c r="B43" s="58">
        <v>22</v>
      </c>
      <c r="C43" s="133"/>
      <c r="D43" s="133"/>
    </row>
    <row r="44" spans="2:4" ht="18.75" x14ac:dyDescent="0.25">
      <c r="B44" s="58">
        <v>23</v>
      </c>
      <c r="C44" s="133"/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sheetPr codeName="Hoja31"/>
  <dimension ref="A1:L50"/>
  <sheetViews>
    <sheetView showGridLines="0" tabSelected="1" view="pageBreakPreview" topLeftCell="A3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'FOM303-32-Imprimir'!C40</f>
        <v>0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'FOM303-32-Imprimir'!E40</f>
        <v>0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x14ac:dyDescent="0.25"/>
    <row r="17" spans="2:7" x14ac:dyDescent="0.25">
      <c r="B17" s="138" t="s">
        <v>43</v>
      </c>
      <c r="C17" s="138" t="s">
        <v>44</v>
      </c>
      <c r="D17" s="138"/>
      <c r="E17" s="38"/>
      <c r="G17" s="38"/>
    </row>
    <row r="18" spans="2:7" x14ac:dyDescent="0.25">
      <c r="B18" s="138"/>
      <c r="C18" s="138"/>
      <c r="D18" s="138"/>
      <c r="E18" s="38"/>
      <c r="G18" s="38"/>
    </row>
    <row r="19" spans="2:7" ht="18.75" customHeight="1" x14ac:dyDescent="0.25">
      <c r="B19" s="138"/>
      <c r="C19" s="138"/>
      <c r="D19" s="138"/>
    </row>
    <row r="20" spans="2:7" x14ac:dyDescent="0.25">
      <c r="B20" s="138"/>
      <c r="C20" s="138"/>
      <c r="D20" s="138"/>
    </row>
    <row r="21" spans="2:7" ht="18.75" x14ac:dyDescent="0.25">
      <c r="B21" s="58">
        <v>0</v>
      </c>
      <c r="C21" s="133"/>
      <c r="D21" s="133"/>
    </row>
    <row r="22" spans="2:7" ht="18.75" x14ac:dyDescent="0.25">
      <c r="B22" s="58">
        <v>1</v>
      </c>
      <c r="C22" s="133"/>
      <c r="D22" s="133"/>
    </row>
    <row r="23" spans="2:7" ht="18.75" x14ac:dyDescent="0.25">
      <c r="B23" s="58">
        <v>2</v>
      </c>
      <c r="C23" s="133"/>
      <c r="D23" s="133"/>
    </row>
    <row r="24" spans="2:7" ht="18.75" x14ac:dyDescent="0.25">
      <c r="B24" s="58">
        <v>3</v>
      </c>
      <c r="C24" s="133"/>
      <c r="D24" s="133"/>
    </row>
    <row r="25" spans="2:7" ht="18.75" x14ac:dyDescent="0.25">
      <c r="B25" s="58">
        <v>4</v>
      </c>
      <c r="C25" s="133"/>
      <c r="D25" s="133"/>
    </row>
    <row r="26" spans="2:7" ht="18.75" x14ac:dyDescent="0.25">
      <c r="B26" s="58">
        <v>5</v>
      </c>
      <c r="C26" s="133"/>
      <c r="D26" s="133"/>
    </row>
    <row r="27" spans="2:7" ht="18.75" x14ac:dyDescent="0.25">
      <c r="B27" s="58">
        <v>6</v>
      </c>
      <c r="C27" s="133"/>
      <c r="D27" s="133"/>
    </row>
    <row r="28" spans="2:7" ht="18.75" x14ac:dyDescent="0.25">
      <c r="B28" s="58">
        <v>7</v>
      </c>
      <c r="C28" s="133"/>
      <c r="D28" s="133"/>
    </row>
    <row r="29" spans="2:7" ht="18.75" x14ac:dyDescent="0.25">
      <c r="B29" s="58">
        <v>8</v>
      </c>
      <c r="C29" s="133"/>
      <c r="D29" s="133"/>
    </row>
    <row r="30" spans="2:7" ht="18.75" x14ac:dyDescent="0.25">
      <c r="B30" s="58">
        <v>9</v>
      </c>
      <c r="C30" s="133"/>
      <c r="D30" s="133"/>
    </row>
    <row r="31" spans="2:7" ht="18.75" x14ac:dyDescent="0.25">
      <c r="B31" s="58">
        <v>10</v>
      </c>
      <c r="C31" s="133"/>
      <c r="D31" s="133"/>
    </row>
    <row r="32" spans="2:7" ht="18.75" x14ac:dyDescent="0.25">
      <c r="B32" s="58">
        <v>11</v>
      </c>
      <c r="C32" s="133"/>
      <c r="D32" s="133"/>
    </row>
    <row r="33" spans="2:4" ht="18.75" x14ac:dyDescent="0.25">
      <c r="B33" s="58">
        <v>12</v>
      </c>
      <c r="C33" s="133"/>
      <c r="D33" s="133"/>
    </row>
    <row r="34" spans="2:4" ht="18.75" x14ac:dyDescent="0.25">
      <c r="B34" s="58">
        <v>13</v>
      </c>
      <c r="C34" s="133"/>
      <c r="D34" s="133"/>
    </row>
    <row r="35" spans="2:4" ht="18.75" x14ac:dyDescent="0.25">
      <c r="B35" s="58">
        <v>14</v>
      </c>
      <c r="C35" s="133"/>
      <c r="D35" s="133"/>
    </row>
    <row r="36" spans="2:4" ht="18.75" x14ac:dyDescent="0.25">
      <c r="B36" s="58">
        <v>15</v>
      </c>
      <c r="C36" s="133"/>
      <c r="D36" s="133"/>
    </row>
    <row r="37" spans="2:4" ht="18.75" x14ac:dyDescent="0.25">
      <c r="B37" s="58">
        <v>16</v>
      </c>
      <c r="C37" s="133"/>
      <c r="D37" s="133"/>
    </row>
    <row r="38" spans="2:4" ht="18.75" x14ac:dyDescent="0.25">
      <c r="B38" s="58">
        <v>17</v>
      </c>
      <c r="C38" s="133"/>
      <c r="D38" s="133"/>
    </row>
    <row r="39" spans="2:4" ht="18.75" x14ac:dyDescent="0.25">
      <c r="B39" s="58">
        <v>18</v>
      </c>
      <c r="C39" s="133"/>
      <c r="D39" s="133"/>
    </row>
    <row r="40" spans="2:4" ht="18.75" x14ac:dyDescent="0.25">
      <c r="B40" s="58">
        <v>19</v>
      </c>
      <c r="C40" s="133"/>
      <c r="D40" s="133"/>
    </row>
    <row r="41" spans="2:4" ht="18.75" x14ac:dyDescent="0.25">
      <c r="B41" s="58">
        <v>20</v>
      </c>
      <c r="C41" s="133"/>
      <c r="D41" s="133"/>
    </row>
    <row r="42" spans="2:4" ht="18.75" x14ac:dyDescent="0.25">
      <c r="B42" s="58">
        <v>21</v>
      </c>
      <c r="C42" s="133"/>
      <c r="D42" s="133"/>
    </row>
    <row r="43" spans="2:4" ht="18.75" x14ac:dyDescent="0.25">
      <c r="B43" s="58">
        <v>22</v>
      </c>
      <c r="C43" s="133"/>
      <c r="D43" s="133"/>
    </row>
    <row r="44" spans="2:4" ht="18.75" x14ac:dyDescent="0.25">
      <c r="B44" s="58">
        <v>23</v>
      </c>
      <c r="C44" s="133"/>
      <c r="D44" s="133"/>
    </row>
    <row r="45" spans="2:4" ht="18.75" x14ac:dyDescent="0.25">
      <c r="B45" s="58">
        <v>24</v>
      </c>
      <c r="C45" s="133"/>
      <c r="D45" s="133"/>
    </row>
    <row r="46" spans="2:4" ht="33.75" customHeight="1" x14ac:dyDescent="0.25">
      <c r="B46" s="59" t="s">
        <v>45</v>
      </c>
      <c r="C46" s="130" t="e">
        <f>AVERAGE(C22:C45)</f>
        <v>#DIV/0!</v>
      </c>
      <c r="D46" s="130"/>
    </row>
    <row r="47" spans="2:4" ht="31.5" x14ac:dyDescent="0.25">
      <c r="B47" s="61" t="s">
        <v>46</v>
      </c>
      <c r="C47" s="60" t="e">
        <f>_xlfn.STDEV.S(C21:C45)</f>
        <v>#DIV/0!</v>
      </c>
      <c r="D47" s="62" t="s">
        <v>47</v>
      </c>
    </row>
    <row r="48" spans="2:4" ht="15.75" x14ac:dyDescent="0.25">
      <c r="B48" s="59" t="s">
        <v>48</v>
      </c>
      <c r="C48" s="131" t="e">
        <f>IF(ABS(C47)&gt;=2.5,"NO CUMPLE CON DS T°C DEL SHELTER"," CUMPLE CON DS T°C DEL SHELTER")</f>
        <v>#DIV/0!</v>
      </c>
      <c r="D48" s="131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875-66BB-450E-BBB4-DC0FE3B42EFF}">
  <sheetPr codeName="Hoja32"/>
  <dimension ref="A1:L50"/>
  <sheetViews>
    <sheetView showGridLines="0" view="pageBreakPreview" topLeftCell="A3" zoomScale="85" zoomScaleNormal="85" zoomScaleSheetLayoutView="85" workbookViewId="0">
      <selection activeCell="C22" sqref="C22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43" t="s">
        <v>0</v>
      </c>
      <c r="C1" s="144"/>
      <c r="D1" s="144"/>
      <c r="E1" s="145"/>
      <c r="F1" s="146" t="s">
        <v>33</v>
      </c>
      <c r="G1" s="14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52" t="s">
        <v>2</v>
      </c>
      <c r="C2" s="153"/>
      <c r="D2" s="153"/>
      <c r="E2" s="154"/>
      <c r="F2" s="148"/>
      <c r="G2" s="14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55"/>
      <c r="C3" s="156"/>
      <c r="D3" s="156"/>
      <c r="E3" s="157"/>
      <c r="F3" s="150"/>
      <c r="G3" s="15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9" t="str" cm="1">
        <f t="array" ref="B7">'Dia 1'!B7:B7</f>
        <v>Aerocivil</v>
      </c>
      <c r="C7" s="140"/>
      <c r="D7" s="33" t="s">
        <v>5</v>
      </c>
      <c r="E7" s="141" t="str" cm="1">
        <f t="array" ref="E7">'Dia 1'!E7:E7</f>
        <v>Bogotá</v>
      </c>
      <c r="F7" s="141"/>
      <c r="G7" s="141"/>
    </row>
    <row r="8" spans="1:12" ht="15.75" x14ac:dyDescent="0.25">
      <c r="A8" s="33" t="s">
        <v>34</v>
      </c>
      <c r="B8" s="139" t="str" cm="1">
        <f t="array" ref="B8">'Dia 1'!B8:B8</f>
        <v>CA1 Engativa</v>
      </c>
      <c r="C8" s="140"/>
      <c r="D8" s="34" t="s">
        <v>10</v>
      </c>
      <c r="E8" s="141" t="str" cm="1">
        <f t="array" ref="E8">'Dia 1'!E8:E8</f>
        <v>Distrito Capital</v>
      </c>
      <c r="F8" s="141"/>
      <c r="G8" s="141"/>
    </row>
    <row r="9" spans="1:12" ht="15.75" x14ac:dyDescent="0.25">
      <c r="A9" s="33" t="s">
        <v>9</v>
      </c>
      <c r="B9" s="139" cm="1">
        <f t="array" ref="B9">'Dia 1'!B9:B9</f>
        <v>2077821.666</v>
      </c>
      <c r="C9" s="140"/>
      <c r="D9" s="34" t="s">
        <v>13</v>
      </c>
      <c r="E9" s="141" cm="1">
        <f t="array" ref="E9">'Dia 1'!E9:E9</f>
        <v>4874451.25</v>
      </c>
      <c r="F9" s="141"/>
      <c r="G9" s="141"/>
    </row>
    <row r="10" spans="1:12" ht="15.75" x14ac:dyDescent="0.25">
      <c r="A10" s="33" t="s">
        <v>35</v>
      </c>
      <c r="B10" s="139" t="str" cm="1">
        <f t="array" ref="B10">'Dia 1'!B10:B10</f>
        <v>Leonardo Pérez</v>
      </c>
      <c r="C10" s="140"/>
      <c r="D10" s="33" t="s">
        <v>37</v>
      </c>
      <c r="E10" s="141" cm="1">
        <f t="array" ref="E10">'Dia 1'!E10:E10</f>
        <v>2551</v>
      </c>
      <c r="F10" s="141"/>
      <c r="G10" s="141"/>
    </row>
    <row r="11" spans="1:12" ht="15.75" x14ac:dyDescent="0.25">
      <c r="A11" s="35" t="s">
        <v>38</v>
      </c>
      <c r="B11" s="134">
        <f>'FOM303-32-Imprimir'!C41</f>
        <v>0</v>
      </c>
      <c r="C11" s="135"/>
      <c r="D11" s="36" t="s">
        <v>39</v>
      </c>
      <c r="E11" s="136" cm="1">
        <f t="array" ref="E11">'Dia 1'!E11:E11</f>
        <v>0</v>
      </c>
      <c r="F11" s="136"/>
      <c r="G11" s="136"/>
    </row>
    <row r="12" spans="1:12" ht="15.75" x14ac:dyDescent="0.25">
      <c r="A12" s="35" t="s">
        <v>40</v>
      </c>
      <c r="B12" s="134">
        <f>'FOM303-32-Imprimir'!E41</f>
        <v>0</v>
      </c>
      <c r="C12" s="135"/>
      <c r="D12" s="35" t="s">
        <v>41</v>
      </c>
      <c r="E12" s="136" cm="1">
        <f t="array" ref="E12">'Dia 1'!E12:E12</f>
        <v>0.95833333333333337</v>
      </c>
      <c r="F12" s="136"/>
      <c r="G12" s="136"/>
    </row>
    <row r="15" spans="1:12" x14ac:dyDescent="0.25">
      <c r="B15" s="137" t="s">
        <v>42</v>
      </c>
      <c r="C15" s="137"/>
      <c r="D15" s="137"/>
      <c r="E15" s="37"/>
    </row>
    <row r="16" spans="1:12" ht="12.75" customHeight="1" thickBot="1" x14ac:dyDescent="0.3"/>
    <row r="17" spans="2:7" x14ac:dyDescent="0.25">
      <c r="B17" s="173" t="s">
        <v>43</v>
      </c>
      <c r="C17" s="173" t="s">
        <v>44</v>
      </c>
      <c r="D17" s="175"/>
      <c r="E17" s="38"/>
      <c r="G17" s="38"/>
    </row>
    <row r="18" spans="2:7" x14ac:dyDescent="0.25">
      <c r="B18" s="174"/>
      <c r="C18" s="174"/>
      <c r="D18" s="176"/>
      <c r="E18" s="38"/>
      <c r="G18" s="38"/>
    </row>
    <row r="19" spans="2:7" ht="18.75" customHeight="1" x14ac:dyDescent="0.25">
      <c r="B19" s="174"/>
      <c r="C19" s="174"/>
      <c r="D19" s="176"/>
    </row>
    <row r="20" spans="2:7" x14ac:dyDescent="0.25">
      <c r="B20" s="174"/>
      <c r="C20" s="174"/>
      <c r="D20" s="176"/>
    </row>
    <row r="21" spans="2:7" ht="18.75" x14ac:dyDescent="0.25">
      <c r="B21" s="18">
        <v>0</v>
      </c>
      <c r="C21" s="177"/>
      <c r="D21" s="178"/>
    </row>
    <row r="22" spans="2:7" ht="18.75" x14ac:dyDescent="0.25">
      <c r="B22" s="19">
        <v>1</v>
      </c>
      <c r="C22" s="169"/>
      <c r="D22" s="170"/>
    </row>
    <row r="23" spans="2:7" ht="18.75" x14ac:dyDescent="0.25">
      <c r="B23" s="19">
        <v>2</v>
      </c>
      <c r="C23" s="169"/>
      <c r="D23" s="170"/>
    </row>
    <row r="24" spans="2:7" ht="18.75" x14ac:dyDescent="0.25">
      <c r="B24" s="20">
        <v>3</v>
      </c>
      <c r="C24" s="169"/>
      <c r="D24" s="170"/>
    </row>
    <row r="25" spans="2:7" ht="18.75" x14ac:dyDescent="0.25">
      <c r="B25" s="19">
        <v>4</v>
      </c>
      <c r="C25" s="169"/>
      <c r="D25" s="170"/>
    </row>
    <row r="26" spans="2:7" ht="18.75" x14ac:dyDescent="0.25">
      <c r="B26" s="19">
        <v>5</v>
      </c>
      <c r="C26" s="169"/>
      <c r="D26" s="170"/>
    </row>
    <row r="27" spans="2:7" ht="18.75" x14ac:dyDescent="0.25">
      <c r="B27" s="19">
        <v>6</v>
      </c>
      <c r="C27" s="169"/>
      <c r="D27" s="170"/>
    </row>
    <row r="28" spans="2:7" ht="18.75" x14ac:dyDescent="0.25">
      <c r="B28" s="20">
        <v>7</v>
      </c>
      <c r="C28" s="169"/>
      <c r="D28" s="170"/>
    </row>
    <row r="29" spans="2:7" ht="18.75" x14ac:dyDescent="0.25">
      <c r="B29" s="19">
        <v>8</v>
      </c>
      <c r="C29" s="169"/>
      <c r="D29" s="170"/>
    </row>
    <row r="30" spans="2:7" ht="18.75" x14ac:dyDescent="0.25">
      <c r="B30" s="19">
        <v>9</v>
      </c>
      <c r="C30" s="169"/>
      <c r="D30" s="170"/>
    </row>
    <row r="31" spans="2:7" ht="18.75" x14ac:dyDescent="0.25">
      <c r="B31" s="20">
        <v>10</v>
      </c>
      <c r="C31" s="169"/>
      <c r="D31" s="170"/>
    </row>
    <row r="32" spans="2:7" ht="18.75" x14ac:dyDescent="0.25">
      <c r="B32" s="19">
        <v>11</v>
      </c>
      <c r="C32" s="169"/>
      <c r="D32" s="170"/>
    </row>
    <row r="33" spans="2:4" ht="18.75" x14ac:dyDescent="0.25">
      <c r="B33" s="19">
        <v>12</v>
      </c>
      <c r="C33" s="169"/>
      <c r="D33" s="170"/>
    </row>
    <row r="34" spans="2:4" ht="18.75" x14ac:dyDescent="0.25">
      <c r="B34" s="20">
        <v>13</v>
      </c>
      <c r="C34" s="169"/>
      <c r="D34" s="170"/>
    </row>
    <row r="35" spans="2:4" ht="18.75" x14ac:dyDescent="0.25">
      <c r="B35" s="19">
        <v>14</v>
      </c>
      <c r="C35" s="169"/>
      <c r="D35" s="170"/>
    </row>
    <row r="36" spans="2:4" ht="18.75" x14ac:dyDescent="0.25">
      <c r="B36" s="19">
        <v>15</v>
      </c>
      <c r="C36" s="169"/>
      <c r="D36" s="170"/>
    </row>
    <row r="37" spans="2:4" ht="18.75" x14ac:dyDescent="0.25">
      <c r="B37" s="20">
        <v>16</v>
      </c>
      <c r="C37" s="169"/>
      <c r="D37" s="170"/>
    </row>
    <row r="38" spans="2:4" ht="18.75" x14ac:dyDescent="0.25">
      <c r="B38" s="19">
        <v>17</v>
      </c>
      <c r="C38" s="169"/>
      <c r="D38" s="170"/>
    </row>
    <row r="39" spans="2:4" ht="18.75" x14ac:dyDescent="0.25">
      <c r="B39" s="19">
        <v>18</v>
      </c>
      <c r="C39" s="169"/>
      <c r="D39" s="170"/>
    </row>
    <row r="40" spans="2:4" ht="18.75" x14ac:dyDescent="0.25">
      <c r="B40" s="20">
        <v>19</v>
      </c>
      <c r="C40" s="169"/>
      <c r="D40" s="170"/>
    </row>
    <row r="41" spans="2:4" ht="18.75" x14ac:dyDescent="0.25">
      <c r="B41" s="19">
        <v>20</v>
      </c>
      <c r="C41" s="169"/>
      <c r="D41" s="170"/>
    </row>
    <row r="42" spans="2:4" ht="18.75" x14ac:dyDescent="0.25">
      <c r="B42" s="19">
        <v>21</v>
      </c>
      <c r="C42" s="169"/>
      <c r="D42" s="170"/>
    </row>
    <row r="43" spans="2:4" ht="18.75" x14ac:dyDescent="0.25">
      <c r="B43" s="20">
        <v>22</v>
      </c>
      <c r="C43" s="169"/>
      <c r="D43" s="170"/>
    </row>
    <row r="44" spans="2:4" ht="18.75" x14ac:dyDescent="0.25">
      <c r="B44" s="19">
        <v>23</v>
      </c>
      <c r="C44" s="169"/>
      <c r="D44" s="170"/>
    </row>
    <row r="45" spans="2:4" ht="18.75" x14ac:dyDescent="0.25">
      <c r="B45" s="21">
        <v>24</v>
      </c>
      <c r="C45" s="171"/>
      <c r="D45" s="172"/>
    </row>
    <row r="46" spans="2:4" ht="33.75" customHeight="1" x14ac:dyDescent="0.25">
      <c r="B46" s="23" t="s">
        <v>45</v>
      </c>
      <c r="C46" s="165" t="e">
        <f>AVERAGE(C22:C45)</f>
        <v>#DIV/0!</v>
      </c>
      <c r="D46" s="166"/>
    </row>
    <row r="47" spans="2:4" ht="31.5" x14ac:dyDescent="0.25">
      <c r="B47" s="28" t="s">
        <v>46</v>
      </c>
      <c r="C47" s="30" t="e">
        <f>_xlfn.STDEV.S(C21:C45)</f>
        <v>#DIV/0!</v>
      </c>
      <c r="D47" s="22" t="s">
        <v>47</v>
      </c>
    </row>
    <row r="48" spans="2:4" ht="16.5" thickBot="1" x14ac:dyDescent="0.3">
      <c r="B48" s="24" t="s">
        <v>48</v>
      </c>
      <c r="C48" s="167" t="e">
        <f>IF(ABS(C47)&gt;=2.5,"NO CUMPLE CON DS T°C DEL SHELTER"," CUMPLE CON DS T°C DEL SHELTER")</f>
        <v>#DIV/0!</v>
      </c>
      <c r="D48" s="168"/>
    </row>
    <row r="50" spans="1:5" ht="15.75" x14ac:dyDescent="0.25">
      <c r="A50" s="132"/>
      <c r="B50" s="132"/>
      <c r="C50" s="132"/>
      <c r="D50" s="132"/>
      <c r="E50" s="132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sheetPr codeName="Hoja33"/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40" customWidth="1"/>
    <col min="3" max="3" width="67.5703125" style="40" customWidth="1"/>
    <col min="4" max="16384" width="11.42578125" style="40"/>
  </cols>
  <sheetData>
    <row r="2" spans="1:3" ht="15" x14ac:dyDescent="0.25">
      <c r="A2" s="39" t="s">
        <v>49</v>
      </c>
    </row>
    <row r="4" spans="1:3" ht="15" x14ac:dyDescent="0.25">
      <c r="A4" s="41" t="s">
        <v>50</v>
      </c>
      <c r="B4" s="41" t="s">
        <v>51</v>
      </c>
      <c r="C4" s="41" t="s">
        <v>52</v>
      </c>
    </row>
    <row r="5" spans="1:3" x14ac:dyDescent="0.2">
      <c r="A5" s="42">
        <v>44278</v>
      </c>
      <c r="B5" s="43">
        <v>6</v>
      </c>
      <c r="C5" s="44" t="s">
        <v>53</v>
      </c>
    </row>
    <row r="6" spans="1:3" x14ac:dyDescent="0.2">
      <c r="A6" s="42">
        <v>45439</v>
      </c>
      <c r="B6" s="43">
        <v>7</v>
      </c>
      <c r="C6" s="44" t="s">
        <v>54</v>
      </c>
    </row>
    <row r="7" spans="1:3" x14ac:dyDescent="0.2">
      <c r="A7" s="42"/>
      <c r="B7" s="43"/>
      <c r="C7" s="44"/>
    </row>
    <row r="8" spans="1:3" x14ac:dyDescent="0.2">
      <c r="A8" s="42"/>
      <c r="B8" s="43"/>
      <c r="C8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2026-02-18T13:35:53Z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