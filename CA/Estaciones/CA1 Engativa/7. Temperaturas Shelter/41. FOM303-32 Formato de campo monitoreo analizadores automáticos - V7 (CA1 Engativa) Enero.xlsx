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1 Engativa\7. Temperaturas Shelter\"/>
    </mc:Choice>
  </mc:AlternateContent>
  <xr:revisionPtr revIDLastSave="0" documentId="8_{A16CD607-E8B2-46D4-B5C9-27A5163EF6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M303-32-Imprimir" sheetId="1" r:id="rId1"/>
    <sheet name="Dia 1" sheetId="5" r:id="rId2"/>
    <sheet name="Dia 2" sheetId="3" r:id="rId3"/>
    <sheet name="Dia 3" sheetId="6" r:id="rId4"/>
    <sheet name="Dia 4" sheetId="7" r:id="rId5"/>
    <sheet name="Dia 5" sheetId="8" r:id="rId6"/>
    <sheet name="Dia 6" sheetId="9" r:id="rId7"/>
    <sheet name="Dia 7" sheetId="10" r:id="rId8"/>
    <sheet name="Dia 8" sheetId="11" r:id="rId9"/>
    <sheet name="Dia 9" sheetId="12" r:id="rId10"/>
    <sheet name="Dia 10" sheetId="13" r:id="rId11"/>
    <sheet name="Dia 11" sheetId="14" r:id="rId12"/>
    <sheet name="Dia 12" sheetId="15" r:id="rId13"/>
    <sheet name="Dia 13" sheetId="16" r:id="rId14"/>
    <sheet name="Dia 14" sheetId="17" r:id="rId15"/>
    <sheet name="Dia 15" sheetId="18" r:id="rId16"/>
    <sheet name="Dia 16" sheetId="19" r:id="rId17"/>
    <sheet name="Dia 17" sheetId="20" r:id="rId18"/>
    <sheet name="Dia 18" sheetId="21" r:id="rId19"/>
    <sheet name="Dia 19" sheetId="22" r:id="rId20"/>
    <sheet name="Dia 20" sheetId="23" r:id="rId21"/>
    <sheet name="Dia 21" sheetId="24" r:id="rId22"/>
    <sheet name="Dia 22" sheetId="25" r:id="rId23"/>
    <sheet name="Dia 23" sheetId="26" r:id="rId24"/>
    <sheet name="Dia 24" sheetId="27" r:id="rId25"/>
    <sheet name="Dia 25" sheetId="28" r:id="rId26"/>
    <sheet name="Dia 26" sheetId="29" r:id="rId27"/>
    <sheet name="Dia 27" sheetId="30" r:id="rId28"/>
    <sheet name="Dia 28" sheetId="31" r:id="rId29"/>
    <sheet name="Dia 29" sheetId="32" r:id="rId30"/>
    <sheet name="Dia 30" sheetId="33" r:id="rId31"/>
    <sheet name="Dia 31" sheetId="34" r:id="rId32"/>
    <sheet name="Cambios" sheetId="4" r:id="rId33"/>
  </sheets>
  <externalReferences>
    <externalReference r:id="rId34"/>
    <externalReference r:id="rId35"/>
    <externalReference r:id="rId36"/>
    <externalReference r:id="rId37"/>
  </externalReferences>
  <definedNames>
    <definedName name="_xlnm.Print_Area" localSheetId="1">'Dia 1'!$A$1:$H$49</definedName>
    <definedName name="_xlnm.Print_Area" localSheetId="10">'Dia 10'!$A$1:$H$49</definedName>
    <definedName name="_xlnm.Print_Area" localSheetId="11">'Dia 11'!$A$1:$H$49</definedName>
    <definedName name="_xlnm.Print_Area" localSheetId="12">'Dia 12'!$A$1:$H$49</definedName>
    <definedName name="_xlnm.Print_Area" localSheetId="13">'Dia 13'!$A$1:$H$49</definedName>
    <definedName name="_xlnm.Print_Area" localSheetId="14">'Dia 14'!$A$1:$H$49</definedName>
    <definedName name="_xlnm.Print_Area" localSheetId="15">'Dia 15'!$A$1:$H$49</definedName>
    <definedName name="_xlnm.Print_Area" localSheetId="16">'Dia 16'!$A$1:$H$49</definedName>
    <definedName name="_xlnm.Print_Area" localSheetId="17">'Dia 17'!$A$1:$H$49</definedName>
    <definedName name="_xlnm.Print_Area" localSheetId="18">'Dia 18'!$A$1:$H$49</definedName>
    <definedName name="_xlnm.Print_Area" localSheetId="19">'Dia 19'!$A$1:$H$49</definedName>
    <definedName name="_xlnm.Print_Area" localSheetId="2">'Dia 2'!$A$1:$H$49</definedName>
    <definedName name="_xlnm.Print_Area" localSheetId="20">'Dia 20'!$A$1:$H$49</definedName>
    <definedName name="_xlnm.Print_Area" localSheetId="21">'Dia 21'!$A$1:$H$49</definedName>
    <definedName name="_xlnm.Print_Area" localSheetId="22">'Dia 22'!$A$1:$H$49</definedName>
    <definedName name="_xlnm.Print_Area" localSheetId="23">'Dia 23'!$A$1:$H$49</definedName>
    <definedName name="_xlnm.Print_Area" localSheetId="24">'Dia 24'!$A$1:$H$49</definedName>
    <definedName name="_xlnm.Print_Area" localSheetId="25">'Dia 25'!$A$1:$H$49</definedName>
    <definedName name="_xlnm.Print_Area" localSheetId="26">'Dia 26'!$A$1:$H$49</definedName>
    <definedName name="_xlnm.Print_Area" localSheetId="27">'Dia 27'!$A$1:$H$49</definedName>
    <definedName name="_xlnm.Print_Area" localSheetId="28">'Dia 28'!$A$1:$H$49</definedName>
    <definedName name="_xlnm.Print_Area" localSheetId="29">'Dia 29'!$A$1:$H$49</definedName>
    <definedName name="_xlnm.Print_Area" localSheetId="3">'Dia 3'!$A$1:$H$49</definedName>
    <definedName name="_xlnm.Print_Area" localSheetId="30">'Dia 30'!$A$1:$H$49</definedName>
    <definedName name="_xlnm.Print_Area" localSheetId="31">'Dia 31'!$A$1:$H$49</definedName>
    <definedName name="_xlnm.Print_Area" localSheetId="4">'Dia 4'!$A$1:$H$49</definedName>
    <definedName name="_xlnm.Print_Area" localSheetId="5">'Dia 5'!$A$1:$H$49</definedName>
    <definedName name="_xlnm.Print_Area" localSheetId="6">'Dia 6'!$A$1:$H$49</definedName>
    <definedName name="_xlnm.Print_Area" localSheetId="7">'Dia 7'!$A$1:$H$49</definedName>
    <definedName name="_xlnm.Print_Area" localSheetId="8">'Dia 8'!$A$1:$H$49</definedName>
    <definedName name="_xlnm.Print_Area" localSheetId="9">'Dia 9'!$A$1:$H$49</definedName>
    <definedName name="_xlnm.Print_Area" localSheetId="0">'FOM303-32-Imprimir'!$A$1:$I$46</definedName>
    <definedName name="Calibration_Date">[1]Calibration!$L$10</definedName>
    <definedName name="Calibration_Technician">[1]Calibration!$H$10</definedName>
    <definedName name="Circ_Fractions_Table">'[2]Fraction of Diameter'!$A$10:$G$21</definedName>
    <definedName name="Circ_Stack?">'[3]Title Page'!$D$20</definedName>
    <definedName name="Circ_Stack_Diam">'[3]Method 1 - Circular'!$E$16</definedName>
    <definedName name="Console_Model_Num">[1]Calibration!$D$4</definedName>
    <definedName name="Console_Serial_Num">[1]Calibration!$H$4</definedName>
    <definedName name="High_Flow_Orifice_Model">[1]Calibration!$H$7</definedName>
    <definedName name="Low_Flow_Orifice_Model">[1]Calibration!$L$7</definedName>
    <definedName name="M5R1_Dna">'[3]Method 5 - Run 1'!$M$16</definedName>
    <definedName name="Manufacture_Date">[1]Calibration!$L$4</definedName>
    <definedName name="Rect_Equiv_Diam">'[3]Method 1 - Rectangular'!$E$18</definedName>
    <definedName name="Rect_Stack?">'[3]Title Page'!$D$21</definedName>
    <definedName name="Totalizer_Model">[1]Calibration!$D$6</definedName>
    <definedName name="Totalizer_Scale_Factor">[1]Calibration!$H$6</definedName>
    <definedName name="ubiog">'[4]U. Biogeografica'!$E$2:$E$18</definedName>
    <definedName name="Yavg">[1]Calibration!$K$44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4" l="1"/>
  <c r="B11" i="33"/>
  <c r="B11" i="32"/>
  <c r="B11" i="31"/>
  <c r="B11" i="30"/>
  <c r="B11" i="29"/>
  <c r="B11" i="28"/>
  <c r="B11" i="27"/>
  <c r="B11" i="26"/>
  <c r="B11" i="25"/>
  <c r="B11" i="24"/>
  <c r="B11" i="23"/>
  <c r="B11" i="22"/>
  <c r="B11" i="21"/>
  <c r="B11" i="20"/>
  <c r="B11" i="19"/>
  <c r="B11" i="18"/>
  <c r="B11" i="17"/>
  <c r="B11" i="16"/>
  <c r="B11" i="15"/>
  <c r="B11" i="14"/>
  <c r="B11" i="13"/>
  <c r="B11" i="12"/>
  <c r="B11" i="11"/>
  <c r="B11" i="10"/>
  <c r="B11" i="9"/>
  <c r="B11" i="8"/>
  <c r="B11" i="7"/>
  <c r="B11" i="6"/>
  <c r="B11" i="3"/>
  <c r="B11" i="5"/>
  <c r="E41" i="1" l="1"/>
  <c r="B12" i="34" s="1"/>
  <c r="E12" i="34" a="1"/>
  <c r="E12" i="34" s="1"/>
  <c r="E11" i="34" a="1"/>
  <c r="E11" i="34" s="1"/>
  <c r="E10" i="34" a="1"/>
  <c r="E10" i="34" s="1"/>
  <c r="E8" i="34" a="1"/>
  <c r="E8" i="34" s="1"/>
  <c r="E7" i="34" a="1"/>
  <c r="E7" i="34" s="1"/>
  <c r="B10" i="34" a="1"/>
  <c r="B10" i="34" s="1"/>
  <c r="B8" i="34" a="1"/>
  <c r="B8" i="34" s="1"/>
  <c r="E12" i="33" a="1"/>
  <c r="E12" i="33" s="1"/>
  <c r="E11" i="33" a="1"/>
  <c r="E11" i="33" s="1"/>
  <c r="E10" i="33" a="1"/>
  <c r="E10" i="33" s="1"/>
  <c r="E8" i="33" a="1"/>
  <c r="E8" i="33" s="1"/>
  <c r="E7" i="33" a="1"/>
  <c r="E7" i="33" s="1"/>
  <c r="E12" i="32" a="1"/>
  <c r="E12" i="32" s="1"/>
  <c r="E11" i="32" a="1"/>
  <c r="E11" i="32" s="1"/>
  <c r="E10" i="32" a="1"/>
  <c r="E10" i="32" s="1"/>
  <c r="E8" i="32" a="1"/>
  <c r="E8" i="32" s="1"/>
  <c r="E7" i="32" a="1"/>
  <c r="E7" i="32" s="1"/>
  <c r="E12" i="31" a="1"/>
  <c r="E12" i="31" s="1"/>
  <c r="E11" i="31" a="1"/>
  <c r="E11" i="31" s="1"/>
  <c r="E10" i="31" a="1"/>
  <c r="E10" i="31" s="1"/>
  <c r="E8" i="31" a="1"/>
  <c r="E8" i="31" s="1"/>
  <c r="E7" i="31" a="1"/>
  <c r="E7" i="31" s="1"/>
  <c r="E12" i="30" a="1"/>
  <c r="E12" i="30" s="1"/>
  <c r="E11" i="30" a="1"/>
  <c r="E11" i="30" s="1"/>
  <c r="E10" i="30" a="1"/>
  <c r="E10" i="30" s="1"/>
  <c r="E8" i="30" a="1"/>
  <c r="E8" i="30" s="1"/>
  <c r="E7" i="30" a="1"/>
  <c r="E7" i="30" s="1"/>
  <c r="E12" i="29" a="1"/>
  <c r="E12" i="29" s="1"/>
  <c r="E11" i="29" a="1"/>
  <c r="E11" i="29" s="1"/>
  <c r="E10" i="29" a="1"/>
  <c r="E10" i="29" s="1"/>
  <c r="E8" i="29" a="1"/>
  <c r="E8" i="29" s="1"/>
  <c r="E7" i="29" a="1"/>
  <c r="E7" i="29" s="1"/>
  <c r="E12" i="28" a="1"/>
  <c r="E12" i="28" s="1"/>
  <c r="E11" i="28" a="1"/>
  <c r="E11" i="28" s="1"/>
  <c r="E10" i="28" a="1"/>
  <c r="E10" i="28" s="1"/>
  <c r="E8" i="28" a="1"/>
  <c r="E8" i="28" s="1"/>
  <c r="E7" i="28" a="1"/>
  <c r="E7" i="28" s="1"/>
  <c r="E12" i="27" a="1"/>
  <c r="E12" i="27" s="1"/>
  <c r="E11" i="27" a="1"/>
  <c r="E11" i="27" s="1"/>
  <c r="E10" i="27" a="1"/>
  <c r="E10" i="27" s="1"/>
  <c r="E8" i="27" a="1"/>
  <c r="E8" i="27" s="1"/>
  <c r="E7" i="27" a="1"/>
  <c r="E7" i="27" s="1"/>
  <c r="E12" i="26" a="1"/>
  <c r="E12" i="26" s="1"/>
  <c r="E11" i="26" a="1"/>
  <c r="E11" i="26" s="1"/>
  <c r="E10" i="26" a="1"/>
  <c r="E10" i="26" s="1"/>
  <c r="E8" i="26" a="1"/>
  <c r="E8" i="26" s="1"/>
  <c r="E7" i="26" a="1"/>
  <c r="E7" i="26" s="1"/>
  <c r="E12" i="25" a="1"/>
  <c r="E12" i="25" s="1"/>
  <c r="E11" i="25"/>
  <c r="E11" i="25" a="1"/>
  <c r="E10" i="25" a="1"/>
  <c r="E10" i="25" s="1"/>
  <c r="E8" i="25" a="1"/>
  <c r="E8" i="25" s="1"/>
  <c r="E7" i="25" a="1"/>
  <c r="E7" i="25" s="1"/>
  <c r="E12" i="24" a="1"/>
  <c r="E12" i="24" s="1"/>
  <c r="E11" i="24" a="1"/>
  <c r="E11" i="24" s="1"/>
  <c r="E10" i="24" a="1"/>
  <c r="E10" i="24" s="1"/>
  <c r="E8" i="24" a="1"/>
  <c r="E8" i="24" s="1"/>
  <c r="E7" i="24" a="1"/>
  <c r="E7" i="24" s="1"/>
  <c r="E12" i="23" a="1"/>
  <c r="E12" i="23" s="1"/>
  <c r="E11" i="23" a="1"/>
  <c r="E11" i="23" s="1"/>
  <c r="E10" i="23" a="1"/>
  <c r="E10" i="23" s="1"/>
  <c r="E8" i="23" a="1"/>
  <c r="E8" i="23" s="1"/>
  <c r="E7" i="23" a="1"/>
  <c r="E7" i="23" s="1"/>
  <c r="E12" i="22"/>
  <c r="E12" i="22" a="1"/>
  <c r="E11" i="22" a="1"/>
  <c r="E11" i="22" s="1"/>
  <c r="E10" i="22" a="1"/>
  <c r="E10" i="22" s="1"/>
  <c r="E8" i="22" a="1"/>
  <c r="E8" i="22" s="1"/>
  <c r="E7" i="22" a="1"/>
  <c r="E7" i="22" s="1"/>
  <c r="E12" i="21" a="1"/>
  <c r="E12" i="21" s="1"/>
  <c r="E11" i="21" a="1"/>
  <c r="E11" i="21" s="1"/>
  <c r="E10" i="21" a="1"/>
  <c r="E10" i="21" s="1"/>
  <c r="E8" i="21" a="1"/>
  <c r="E8" i="21" s="1"/>
  <c r="E7" i="21" a="1"/>
  <c r="E7" i="21" s="1"/>
  <c r="E12" i="20" a="1"/>
  <c r="E12" i="20" s="1"/>
  <c r="E11" i="20" a="1"/>
  <c r="E11" i="20" s="1"/>
  <c r="E10" i="20" a="1"/>
  <c r="E10" i="20" s="1"/>
  <c r="E8" i="20" a="1"/>
  <c r="E8" i="20" s="1"/>
  <c r="E7" i="20" a="1"/>
  <c r="E7" i="20" s="1"/>
  <c r="B10" i="33" a="1"/>
  <c r="B10" i="33" s="1"/>
  <c r="B8" i="33" a="1"/>
  <c r="B8" i="33" s="1"/>
  <c r="B10" i="32" a="1"/>
  <c r="B10" i="32" s="1"/>
  <c r="B8" i="32" a="1"/>
  <c r="B8" i="32" s="1"/>
  <c r="B10" i="31" a="1"/>
  <c r="B10" i="31" s="1"/>
  <c r="B8" i="31" a="1"/>
  <c r="B8" i="31" s="1"/>
  <c r="B10" i="30" a="1"/>
  <c r="B10" i="30" s="1"/>
  <c r="B8" i="30" a="1"/>
  <c r="B8" i="30" s="1"/>
  <c r="B10" i="29" a="1"/>
  <c r="B10" i="29" s="1"/>
  <c r="B8" i="29" a="1"/>
  <c r="B8" i="29" s="1"/>
  <c r="B10" i="28" a="1"/>
  <c r="B10" i="28" s="1"/>
  <c r="B8" i="28" a="1"/>
  <c r="B8" i="28" s="1"/>
  <c r="B10" i="27" a="1"/>
  <c r="B10" i="27" s="1"/>
  <c r="B8" i="27" a="1"/>
  <c r="B8" i="27" s="1"/>
  <c r="B10" i="26" a="1"/>
  <c r="B10" i="26" s="1"/>
  <c r="B8" i="26" a="1"/>
  <c r="B8" i="26" s="1"/>
  <c r="B10" i="25" a="1"/>
  <c r="B10" i="25" s="1"/>
  <c r="B8" i="25" a="1"/>
  <c r="B8" i="25" s="1"/>
  <c r="B10" i="24" a="1"/>
  <c r="B10" i="24" s="1"/>
  <c r="B8" i="24" a="1"/>
  <c r="B8" i="24" s="1"/>
  <c r="B10" i="23" a="1"/>
  <c r="B10" i="23" s="1"/>
  <c r="B8" i="23" a="1"/>
  <c r="B8" i="23" s="1"/>
  <c r="B10" i="22" a="1"/>
  <c r="B10" i="22" s="1"/>
  <c r="B8" i="22" a="1"/>
  <c r="B8" i="22" s="1"/>
  <c r="B10" i="21" a="1"/>
  <c r="B10" i="21" s="1"/>
  <c r="B8" i="21" a="1"/>
  <c r="B8" i="21" s="1"/>
  <c r="B10" i="20" a="1"/>
  <c r="B10" i="20" s="1"/>
  <c r="B8" i="20" a="1"/>
  <c r="B8" i="20" s="1"/>
  <c r="E8" i="19" a="1"/>
  <c r="E8" i="19" s="1"/>
  <c r="E10" i="19" a="1"/>
  <c r="E10" i="19" s="1"/>
  <c r="E11" i="19" a="1"/>
  <c r="E11" i="19" s="1"/>
  <c r="E12" i="19" a="1"/>
  <c r="E12" i="19" s="1"/>
  <c r="E7" i="19" a="1"/>
  <c r="E7" i="19" s="1"/>
  <c r="B8" i="19" a="1"/>
  <c r="B8" i="19" s="1"/>
  <c r="B10" i="19" a="1"/>
  <c r="B10" i="19" s="1"/>
  <c r="E8" i="18" a="1"/>
  <c r="E8" i="18" s="1"/>
  <c r="E10" i="18" a="1"/>
  <c r="E10" i="18" s="1"/>
  <c r="E11" i="18" a="1"/>
  <c r="E11" i="18" s="1"/>
  <c r="E12" i="18" a="1"/>
  <c r="E12" i="18" s="1"/>
  <c r="E7" i="18" a="1"/>
  <c r="E7" i="18" s="1"/>
  <c r="B8" i="18" a="1"/>
  <c r="B8" i="18" s="1"/>
  <c r="B10" i="18" a="1"/>
  <c r="B10" i="18" s="1"/>
  <c r="E8" i="17" a="1"/>
  <c r="E8" i="17" s="1"/>
  <c r="E10" i="17" a="1"/>
  <c r="E10" i="17"/>
  <c r="E11" i="17" a="1"/>
  <c r="E11" i="17" s="1"/>
  <c r="E12" i="17" a="1"/>
  <c r="E12" i="17" s="1"/>
  <c r="E7" i="17" a="1"/>
  <c r="E7" i="17" s="1"/>
  <c r="B8" i="17" a="1"/>
  <c r="B8" i="17"/>
  <c r="B10" i="17" a="1"/>
  <c r="B10" i="17" s="1"/>
  <c r="E8" i="16" a="1"/>
  <c r="E8" i="16" s="1"/>
  <c r="E10" i="16" a="1"/>
  <c r="E10" i="16" s="1"/>
  <c r="E11" i="16" a="1"/>
  <c r="E11" i="16"/>
  <c r="E12" i="16" a="1"/>
  <c r="E12" i="16" s="1"/>
  <c r="E7" i="16" a="1"/>
  <c r="E7" i="16" s="1"/>
  <c r="B8" i="16" a="1"/>
  <c r="B8" i="16" s="1"/>
  <c r="B10" i="16" a="1"/>
  <c r="B10" i="16" s="1"/>
  <c r="E8" i="15" a="1"/>
  <c r="E8" i="15" s="1"/>
  <c r="E10" i="15" a="1"/>
  <c r="E10" i="15" s="1"/>
  <c r="E11" i="15" a="1"/>
  <c r="E11" i="15"/>
  <c r="E12" i="15" a="1"/>
  <c r="E12" i="15" s="1"/>
  <c r="E7" i="15" a="1"/>
  <c r="E7" i="15" s="1"/>
  <c r="B8" i="15" a="1"/>
  <c r="B8" i="15" s="1"/>
  <c r="B10" i="15" a="1"/>
  <c r="B10" i="15"/>
  <c r="E8" i="14" a="1"/>
  <c r="E8" i="14" s="1"/>
  <c r="E10" i="14" a="1"/>
  <c r="E10" i="14" s="1"/>
  <c r="E11" i="14" a="1"/>
  <c r="E11" i="14" s="1"/>
  <c r="E12" i="14" a="1"/>
  <c r="E12" i="14" s="1"/>
  <c r="E7" i="14" a="1"/>
  <c r="E7" i="14" s="1"/>
  <c r="B8" i="14" a="1"/>
  <c r="B8" i="14" s="1"/>
  <c r="B10" i="14" a="1"/>
  <c r="B10" i="14"/>
  <c r="E8" i="13" a="1"/>
  <c r="E8" i="13" s="1"/>
  <c r="E10" i="13" a="1"/>
  <c r="E10" i="13" s="1"/>
  <c r="E11" i="13" a="1"/>
  <c r="E11" i="13" s="1"/>
  <c r="E12" i="13" a="1"/>
  <c r="E12" i="13" s="1"/>
  <c r="E7" i="13" a="1"/>
  <c r="E7" i="13" s="1"/>
  <c r="B8" i="13" a="1"/>
  <c r="B8" i="13" s="1"/>
  <c r="B10" i="13" a="1"/>
  <c r="B10" i="13" s="1"/>
  <c r="E8" i="12" a="1"/>
  <c r="E8" i="12" s="1"/>
  <c r="E10" i="12" a="1"/>
  <c r="E10" i="12" s="1"/>
  <c r="E11" i="12" a="1"/>
  <c r="E11" i="12" s="1"/>
  <c r="E12" i="12" a="1"/>
  <c r="E12" i="12" s="1"/>
  <c r="E7" i="12" a="1"/>
  <c r="E7" i="12" s="1"/>
  <c r="B8" i="12" a="1"/>
  <c r="B8" i="12" s="1"/>
  <c r="B10" i="12" a="1"/>
  <c r="B10" i="12" s="1"/>
  <c r="E8" i="11" a="1"/>
  <c r="E8" i="11" s="1"/>
  <c r="E10" i="11" a="1"/>
  <c r="E10" i="11"/>
  <c r="E11" i="11" a="1"/>
  <c r="E11" i="11"/>
  <c r="E12" i="11" a="1"/>
  <c r="E12" i="11" s="1"/>
  <c r="E7" i="11" a="1"/>
  <c r="E7" i="11" s="1"/>
  <c r="B8" i="11" a="1"/>
  <c r="B8" i="11" s="1"/>
  <c r="B10" i="11" a="1"/>
  <c r="B10" i="11" s="1"/>
  <c r="E8" i="10" a="1"/>
  <c r="E8" i="10" s="1"/>
  <c r="E10" i="10" a="1"/>
  <c r="E10" i="10" s="1"/>
  <c r="E11" i="10" a="1"/>
  <c r="E11" i="10"/>
  <c r="E12" i="10" a="1"/>
  <c r="E12" i="10" s="1"/>
  <c r="E7" i="10" a="1"/>
  <c r="E7" i="10" s="1"/>
  <c r="B8" i="10" a="1"/>
  <c r="B8" i="10" s="1"/>
  <c r="B10" i="10" a="1"/>
  <c r="B10" i="10"/>
  <c r="E8" i="9" a="1"/>
  <c r="E8" i="9" s="1"/>
  <c r="E10" i="9" a="1"/>
  <c r="E10" i="9" s="1"/>
  <c r="E11" i="9" a="1"/>
  <c r="E11" i="9" s="1"/>
  <c r="E12" i="9" a="1"/>
  <c r="E12" i="9" s="1"/>
  <c r="E7" i="9" a="1"/>
  <c r="E7" i="9"/>
  <c r="B8" i="9" a="1"/>
  <c r="B8" i="9" s="1"/>
  <c r="B10" i="9" a="1"/>
  <c r="B10" i="9" s="1"/>
  <c r="E8" i="8" a="1"/>
  <c r="E8" i="8" s="1"/>
  <c r="E10" i="8" a="1"/>
  <c r="E10" i="8" s="1"/>
  <c r="E11" i="8" a="1"/>
  <c r="E11" i="8" s="1"/>
  <c r="E12" i="8" a="1"/>
  <c r="E12" i="8" s="1"/>
  <c r="E7" i="8" a="1"/>
  <c r="E7" i="8" s="1"/>
  <c r="B8" i="8" a="1"/>
  <c r="B8" i="8" s="1"/>
  <c r="B10" i="8" a="1"/>
  <c r="B10" i="8" s="1"/>
  <c r="E8" i="7" a="1"/>
  <c r="E8" i="7" s="1"/>
  <c r="E10" i="7" a="1"/>
  <c r="E10" i="7" s="1"/>
  <c r="E11" i="7" a="1"/>
  <c r="E11" i="7" s="1"/>
  <c r="E12" i="7" a="1"/>
  <c r="E12" i="7" s="1"/>
  <c r="E7" i="7" a="1"/>
  <c r="E7" i="7" s="1"/>
  <c r="B8" i="7" a="1"/>
  <c r="B8" i="7"/>
  <c r="B10" i="7" a="1"/>
  <c r="B10" i="7"/>
  <c r="E8" i="6" a="1"/>
  <c r="E8" i="6" s="1"/>
  <c r="E10" i="6" a="1"/>
  <c r="E10" i="6"/>
  <c r="E11" i="6" a="1"/>
  <c r="E11" i="6" s="1"/>
  <c r="E12" i="6" a="1"/>
  <c r="E12" i="6" s="1"/>
  <c r="E7" i="6" a="1"/>
  <c r="E7" i="6" s="1"/>
  <c r="B8" i="6" a="1"/>
  <c r="B8" i="6" s="1"/>
  <c r="B10" i="6" a="1"/>
  <c r="B10" i="6" s="1"/>
  <c r="E8" i="3" a="1"/>
  <c r="E8" i="3" s="1"/>
  <c r="E10" i="3" a="1"/>
  <c r="E10" i="3" s="1"/>
  <c r="E11" i="3" a="1"/>
  <c r="E11" i="3" s="1"/>
  <c r="E12" i="3" a="1"/>
  <c r="E12" i="3" s="1"/>
  <c r="E7" i="3" a="1"/>
  <c r="E7" i="3" s="1"/>
  <c r="B8" i="3" a="1"/>
  <c r="B8" i="3" s="1"/>
  <c r="B10" i="3" a="1"/>
  <c r="B10" i="3" s="1"/>
  <c r="G41" i="1"/>
  <c r="E9" i="5" l="1" a="1"/>
  <c r="E9" i="5" s="1"/>
  <c r="B9" i="5" a="1"/>
  <c r="B9" i="5" s="1"/>
  <c r="B7" i="5" a="1"/>
  <c r="B7" i="5" s="1"/>
  <c r="C47" i="34"/>
  <c r="C48" i="34" s="1"/>
  <c r="C46" i="34"/>
  <c r="E40" i="1"/>
  <c r="B12" i="33" s="1"/>
  <c r="E12" i="1"/>
  <c r="B12" i="3" s="1"/>
  <c r="E13" i="1"/>
  <c r="B12" i="6" s="1"/>
  <c r="E14" i="1"/>
  <c r="B12" i="7" s="1"/>
  <c r="E15" i="1"/>
  <c r="B12" i="8" s="1"/>
  <c r="E16" i="1"/>
  <c r="B12" i="9" s="1"/>
  <c r="E17" i="1"/>
  <c r="B12" i="10" s="1"/>
  <c r="E18" i="1"/>
  <c r="B12" i="11" s="1"/>
  <c r="E19" i="1"/>
  <c r="B12" i="12" s="1"/>
  <c r="E20" i="1"/>
  <c r="B12" i="13" s="1"/>
  <c r="E21" i="1"/>
  <c r="B12" i="14" s="1"/>
  <c r="E22" i="1"/>
  <c r="B12" i="15" s="1"/>
  <c r="E23" i="1"/>
  <c r="B12" i="16" s="1"/>
  <c r="E24" i="1"/>
  <c r="B12" i="17" s="1"/>
  <c r="E25" i="1"/>
  <c r="B12" i="18" s="1"/>
  <c r="E26" i="1"/>
  <c r="B12" i="19" s="1"/>
  <c r="E27" i="1"/>
  <c r="B12" i="20" s="1"/>
  <c r="E28" i="1"/>
  <c r="B12" i="21" s="1"/>
  <c r="E29" i="1"/>
  <c r="B12" i="22" s="1"/>
  <c r="E30" i="1"/>
  <c r="B12" i="23" s="1"/>
  <c r="E31" i="1"/>
  <c r="B12" i="24" s="1"/>
  <c r="E32" i="1"/>
  <c r="B12" i="25" s="1"/>
  <c r="E33" i="1"/>
  <c r="B12" i="26" s="1"/>
  <c r="E34" i="1"/>
  <c r="B12" i="27" s="1"/>
  <c r="E35" i="1"/>
  <c r="B12" i="28" s="1"/>
  <c r="E36" i="1"/>
  <c r="B12" i="29" s="1"/>
  <c r="E37" i="1"/>
  <c r="B12" i="30" s="1"/>
  <c r="E38" i="1"/>
  <c r="B12" i="31" s="1"/>
  <c r="E39" i="1"/>
  <c r="B12" i="32" s="1"/>
  <c r="E11" i="1"/>
  <c r="B12" i="5" s="1"/>
  <c r="C47" i="33"/>
  <c r="C48" i="33" s="1"/>
  <c r="C46" i="33"/>
  <c r="C47" i="32"/>
  <c r="C48" i="32" s="1"/>
  <c r="C46" i="32"/>
  <c r="C47" i="31"/>
  <c r="C48" i="31" s="1"/>
  <c r="C46" i="31"/>
  <c r="C47" i="30"/>
  <c r="C48" i="30" s="1"/>
  <c r="C46" i="30"/>
  <c r="C47" i="29"/>
  <c r="C48" i="29" s="1"/>
  <c r="C46" i="29"/>
  <c r="C47" i="28"/>
  <c r="C48" i="28" s="1"/>
  <c r="C46" i="28"/>
  <c r="C47" i="27"/>
  <c r="C48" i="27" s="1"/>
  <c r="C46" i="27"/>
  <c r="C47" i="26"/>
  <c r="C48" i="26" s="1"/>
  <c r="C46" i="26"/>
  <c r="C47" i="25"/>
  <c r="C48" i="25" s="1"/>
  <c r="C46" i="25"/>
  <c r="C47" i="24"/>
  <c r="C48" i="24" s="1"/>
  <c r="C46" i="24"/>
  <c r="C47" i="23"/>
  <c r="C48" i="23" s="1"/>
  <c r="C46" i="23"/>
  <c r="C47" i="22"/>
  <c r="C48" i="22" s="1"/>
  <c r="C46" i="22"/>
  <c r="C47" i="21"/>
  <c r="C48" i="21" s="1"/>
  <c r="C46" i="21"/>
  <c r="C47" i="20"/>
  <c r="C48" i="20" s="1"/>
  <c r="C46" i="20"/>
  <c r="C47" i="19"/>
  <c r="C48" i="19" s="1"/>
  <c r="C46" i="19"/>
  <c r="C47" i="18"/>
  <c r="C48" i="18" s="1"/>
  <c r="C46" i="18"/>
  <c r="C47" i="17"/>
  <c r="C48" i="17" s="1"/>
  <c r="C46" i="17"/>
  <c r="C47" i="16"/>
  <c r="C48" i="16" s="1"/>
  <c r="C46" i="16"/>
  <c r="C47" i="15"/>
  <c r="C48" i="15" s="1"/>
  <c r="C46" i="15"/>
  <c r="C47" i="14"/>
  <c r="C48" i="14" s="1"/>
  <c r="C46" i="14"/>
  <c r="C47" i="13"/>
  <c r="C48" i="13" s="1"/>
  <c r="C46" i="13"/>
  <c r="C47" i="12"/>
  <c r="C48" i="12" s="1"/>
  <c r="C46" i="12"/>
  <c r="C47" i="11"/>
  <c r="C48" i="11" s="1"/>
  <c r="C46" i="11"/>
  <c r="C47" i="10"/>
  <c r="C48" i="10" s="1"/>
  <c r="C46" i="10"/>
  <c r="C47" i="9"/>
  <c r="C48" i="9" s="1"/>
  <c r="C46" i="9"/>
  <c r="C47" i="8"/>
  <c r="C48" i="8" s="1"/>
  <c r="C46" i="8"/>
  <c r="C47" i="7"/>
  <c r="C48" i="7" s="1"/>
  <c r="C46" i="7"/>
  <c r="C47" i="6"/>
  <c r="C48" i="6" s="1"/>
  <c r="C46" i="6"/>
  <c r="C47" i="5"/>
  <c r="C48" i="5" s="1"/>
  <c r="C46" i="5"/>
  <c r="C46" i="3"/>
  <c r="C47" i="3"/>
  <c r="C48" i="3" s="1"/>
  <c r="H41" i="1" a="1"/>
  <c r="G35" i="1"/>
  <c r="G36" i="1"/>
  <c r="G26" i="1"/>
  <c r="G11" i="1"/>
  <c r="G38" i="1"/>
  <c r="G30" i="1"/>
  <c r="G28" i="1"/>
  <c r="G39" i="1"/>
  <c r="G34" i="1"/>
  <c r="G32" i="1"/>
  <c r="G25" i="1"/>
  <c r="G24" i="1"/>
  <c r="G21" i="1"/>
  <c r="G40" i="1"/>
  <c r="G18" i="1"/>
  <c r="G29" i="1"/>
  <c r="G16" i="1"/>
  <c r="G22" i="1"/>
  <c r="G19" i="1"/>
  <c r="G13" i="1"/>
  <c r="G15" i="1"/>
  <c r="G14" i="1"/>
  <c r="G31" i="1"/>
  <c r="G17" i="1"/>
  <c r="G37" i="1"/>
  <c r="G23" i="1"/>
  <c r="G33" i="1"/>
  <c r="G27" i="1"/>
  <c r="G20" i="1"/>
  <c r="G12" i="1"/>
  <c r="H41" i="1" l="1"/>
  <c r="B7" i="33" a="1"/>
  <c r="B7" i="33" s="1"/>
  <c r="B7" i="31" a="1"/>
  <c r="B7" i="31" s="1"/>
  <c r="B7" i="29" a="1"/>
  <c r="B7" i="29" s="1"/>
  <c r="B7" i="27" a="1"/>
  <c r="B7" i="27" s="1"/>
  <c r="B7" i="25" a="1"/>
  <c r="B7" i="25" s="1"/>
  <c r="B7" i="23" a="1"/>
  <c r="B7" i="23" s="1"/>
  <c r="B7" i="21" a="1"/>
  <c r="B7" i="21" s="1"/>
  <c r="B7" i="9" a="1"/>
  <c r="B7" i="9" s="1"/>
  <c r="B7" i="11" a="1"/>
  <c r="B7" i="11" s="1"/>
  <c r="B7" i="20" a="1"/>
  <c r="B7" i="20" s="1"/>
  <c r="B7" i="18" a="1"/>
  <c r="B7" i="18" s="1"/>
  <c r="B7" i="17" a="1"/>
  <c r="B7" i="17" s="1"/>
  <c r="B7" i="13" a="1"/>
  <c r="B7" i="13" s="1"/>
  <c r="B7" i="34" a="1"/>
  <c r="B7" i="34" s="1"/>
  <c r="B7" i="8" a="1"/>
  <c r="B7" i="8" s="1"/>
  <c r="B7" i="6" a="1"/>
  <c r="B7" i="6" s="1"/>
  <c r="B7" i="32" a="1"/>
  <c r="B7" i="32" s="1"/>
  <c r="B7" i="24" a="1"/>
  <c r="B7" i="24" s="1"/>
  <c r="B7" i="30" a="1"/>
  <c r="B7" i="30" s="1"/>
  <c r="B7" i="28" a="1"/>
  <c r="B7" i="28" s="1"/>
  <c r="B7" i="26" a="1"/>
  <c r="B7" i="26" s="1"/>
  <c r="B7" i="15" a="1"/>
  <c r="B7" i="15" s="1"/>
  <c r="B7" i="22" a="1"/>
  <c r="B7" i="22" s="1"/>
  <c r="B7" i="12" a="1"/>
  <c r="B7" i="12" s="1"/>
  <c r="B7" i="10" a="1"/>
  <c r="B7" i="10" s="1"/>
  <c r="B7" i="16" a="1"/>
  <c r="B7" i="16" s="1"/>
  <c r="B7" i="3" a="1"/>
  <c r="B7" i="3" s="1"/>
  <c r="B7" i="19" a="1"/>
  <c r="B7" i="19" s="1"/>
  <c r="B7" i="14" a="1"/>
  <c r="B7" i="14" s="1"/>
  <c r="B7" i="7" a="1"/>
  <c r="B7" i="7" s="1"/>
  <c r="B9" i="34" a="1"/>
  <c r="B9" i="34" s="1"/>
  <c r="B9" i="8" a="1"/>
  <c r="B9" i="8" s="1"/>
  <c r="B9" i="6" a="1"/>
  <c r="B9" i="6" s="1"/>
  <c r="B9" i="15" a="1"/>
  <c r="B9" i="15" s="1"/>
  <c r="B9" i="32" a="1"/>
  <c r="B9" i="32" s="1"/>
  <c r="B9" i="30" a="1"/>
  <c r="B9" i="30" s="1"/>
  <c r="B9" i="28" a="1"/>
  <c r="B9" i="28" s="1"/>
  <c r="B9" i="26" a="1"/>
  <c r="B9" i="26" s="1"/>
  <c r="B9" i="24" a="1"/>
  <c r="B9" i="24" s="1"/>
  <c r="B9" i="22" a="1"/>
  <c r="B9" i="22" s="1"/>
  <c r="B9" i="20" a="1"/>
  <c r="B9" i="20" s="1"/>
  <c r="B9" i="16" a="1"/>
  <c r="B9" i="16" s="1"/>
  <c r="B9" i="10" a="1"/>
  <c r="B9" i="10" s="1"/>
  <c r="B9" i="3" a="1"/>
  <c r="B9" i="3" s="1"/>
  <c r="B9" i="14" a="1"/>
  <c r="B9" i="14" s="1"/>
  <c r="B9" i="12" a="1"/>
  <c r="B9" i="12" s="1"/>
  <c r="B9" i="19" a="1"/>
  <c r="B9" i="19" s="1"/>
  <c r="B9" i="7" a="1"/>
  <c r="B9" i="7" s="1"/>
  <c r="B9" i="17" a="1"/>
  <c r="B9" i="17" s="1"/>
  <c r="B9" i="33" a="1"/>
  <c r="B9" i="33" s="1"/>
  <c r="B9" i="31" a="1"/>
  <c r="B9" i="31" s="1"/>
  <c r="B9" i="29" a="1"/>
  <c r="B9" i="29" s="1"/>
  <c r="B9" i="27" a="1"/>
  <c r="B9" i="27" s="1"/>
  <c r="B9" i="25" a="1"/>
  <c r="B9" i="25" s="1"/>
  <c r="B9" i="23" a="1"/>
  <c r="B9" i="23" s="1"/>
  <c r="B9" i="21" a="1"/>
  <c r="B9" i="21" s="1"/>
  <c r="B9" i="18" a="1"/>
  <c r="B9" i="18" s="1"/>
  <c r="B9" i="13" a="1"/>
  <c r="B9" i="13" s="1"/>
  <c r="B9" i="11" a="1"/>
  <c r="B9" i="11" s="1"/>
  <c r="B9" i="9" a="1"/>
  <c r="B9" i="9" s="1"/>
  <c r="E9" i="28" a="1"/>
  <c r="E9" i="28" s="1"/>
  <c r="E9" i="18" a="1"/>
  <c r="E9" i="18" s="1"/>
  <c r="E9" i="15" a="1"/>
  <c r="E9" i="15" s="1"/>
  <c r="E9" i="6" a="1"/>
  <c r="E9" i="6" s="1"/>
  <c r="E9" i="24" a="1"/>
  <c r="E9" i="24" s="1"/>
  <c r="E9" i="13" a="1"/>
  <c r="E9" i="13" s="1"/>
  <c r="E9" i="29" a="1"/>
  <c r="E9" i="29" s="1"/>
  <c r="E9" i="20" a="1"/>
  <c r="E9" i="20" s="1"/>
  <c r="E9" i="8" a="1"/>
  <c r="E9" i="8" s="1"/>
  <c r="E9" i="7" a="1"/>
  <c r="E9" i="7" s="1"/>
  <c r="E9" i="30" a="1"/>
  <c r="E9" i="30" s="1"/>
  <c r="E9" i="25" a="1"/>
  <c r="E9" i="25" s="1"/>
  <c r="E9" i="17" a="1"/>
  <c r="E9" i="17" s="1"/>
  <c r="E9" i="16" a="1"/>
  <c r="E9" i="16" s="1"/>
  <c r="E9" i="12" a="1"/>
  <c r="E9" i="12" s="1"/>
  <c r="E9" i="10" a="1"/>
  <c r="E9" i="10" s="1"/>
  <c r="E9" i="21" a="1"/>
  <c r="E9" i="21" s="1"/>
  <c r="E9" i="34" a="1"/>
  <c r="E9" i="34" s="1"/>
  <c r="E9" i="26" a="1"/>
  <c r="E9" i="26" s="1"/>
  <c r="E9" i="31" a="1"/>
  <c r="E9" i="31" s="1"/>
  <c r="E9" i="3" a="1"/>
  <c r="E9" i="3" s="1"/>
  <c r="E9" i="14" a="1"/>
  <c r="E9" i="14" s="1"/>
  <c r="E9" i="32" a="1"/>
  <c r="E9" i="32" s="1"/>
  <c r="E9" i="27" a="1"/>
  <c r="E9" i="27" s="1"/>
  <c r="E9" i="22" a="1"/>
  <c r="E9" i="22" s="1"/>
  <c r="E9" i="19" a="1"/>
  <c r="E9" i="19" s="1"/>
  <c r="E9" i="33" a="1"/>
  <c r="E9" i="33" s="1"/>
  <c r="E9" i="23" a="1"/>
  <c r="E9" i="23" s="1"/>
  <c r="E9" i="11" a="1"/>
  <c r="E9" i="11" s="1"/>
  <c r="E9" i="9" a="1"/>
  <c r="E9" i="9" s="1"/>
  <c r="H40" i="1" a="1"/>
  <c r="H39" i="1" a="1"/>
  <c r="H38" i="1" a="1"/>
  <c r="H26" i="1" a="1"/>
  <c r="H19" i="1" a="1"/>
  <c r="H37" i="1" a="1"/>
  <c r="H32" i="1" a="1"/>
  <c r="H14" i="1" a="1"/>
  <c r="H17" i="1" a="1"/>
  <c r="H31" i="1" a="1"/>
  <c r="H34" i="1" a="1"/>
  <c r="H15" i="1" a="1"/>
  <c r="H36" i="1" a="1"/>
  <c r="H29" i="1" a="1"/>
  <c r="H12" i="1" a="1"/>
  <c r="H13" i="1" a="1"/>
  <c r="H33" i="1" a="1"/>
  <c r="H11" i="1" a="1"/>
  <c r="H30" i="1" a="1"/>
  <c r="H21" i="1" a="1"/>
  <c r="H18" i="1" a="1"/>
  <c r="H20" i="1" a="1"/>
  <c r="H22" i="1" a="1"/>
  <c r="H23" i="1" a="1"/>
  <c r="H35" i="1" a="1"/>
  <c r="H28" i="1" a="1"/>
  <c r="H25" i="1" a="1"/>
  <c r="H27" i="1" a="1"/>
  <c r="H16" i="1" a="1"/>
  <c r="H24" i="1" a="1"/>
  <c r="H40" i="1" l="1"/>
  <c r="H39" i="1"/>
  <c r="H32" i="1"/>
  <c r="H33" i="1"/>
  <c r="H38" i="1"/>
  <c r="H35" i="1"/>
  <c r="H28" i="1"/>
  <c r="H31" i="1"/>
  <c r="H29" i="1"/>
  <c r="H22" i="1"/>
  <c r="H30" i="1"/>
  <c r="H20" i="1"/>
  <c r="H11" i="1"/>
  <c r="H21" i="1"/>
  <c r="H37" i="1"/>
  <c r="H13" i="1"/>
  <c r="H12" i="1"/>
  <c r="H27" i="1"/>
  <c r="H25" i="1"/>
  <c r="H24" i="1"/>
  <c r="H36" i="1"/>
  <c r="H18" i="1"/>
  <c r="H15" i="1"/>
  <c r="H16" i="1"/>
  <c r="H34" i="1"/>
  <c r="H17" i="1"/>
  <c r="H23" i="1"/>
  <c r="H26" i="1"/>
  <c r="H19" i="1"/>
  <c r="H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EEFCA65-CA0B-4485-8573-9AB11D243B5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45DC5B9-D2DA-4542-A9A3-39EE8284F14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5C1D9E-55C4-442D-9E06-D8FCB33C7CE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268D1C-1FD1-48E7-B05C-FD87E40493B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E0AE09-E822-466B-898A-067F0E3A161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5B66C6E-5F1D-40C2-B8D5-C76BE83D1AC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00BD799-3CF1-4DFB-AB1F-D0FBA87AC1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A11" authorId="0" shapeId="0" xr:uid="{C53A7FE8-34B5-4F5B-9FE6-431BC84703F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2007B5C-B0F0-4FC3-9C0E-EAAA1D95E68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A44C7CA-F2D4-4C17-8733-1F753AB0A4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42FD548-E9FD-487A-85E9-0A4511D20E5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5827749-C4E9-4FB1-BD37-B843F4EE814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CE07CC9-748F-4E8F-89F0-25238BCA7C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1BD2A21-1CAA-4CF8-B136-239D0401B3D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7E27C5E-D7A0-4DA8-88B9-EDF27A7D625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EB99EB6-CF5D-465D-B212-8129BE939F8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36CB89-B593-4E9F-9080-0AA100C8AEB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CC8BA1C-BF06-4243-82FF-19AE41AADC0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DB68A39-4169-4178-8277-80DCF8152F0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728EB0E6-6F55-4799-AF86-7C0156A93C5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2D24FFF-1EEF-44CA-8DDB-32DF60D0BFD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D7FF371-6074-41BB-BB63-A98E996A48E2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8A725FD9-B1D5-4B6D-8F9D-428087373EF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CB89CDA-BCA5-4401-8F7B-9ABF9D751B7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BE3470D6-66B2-4DBD-BFAC-567F2577C76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A064DD1-243B-439A-BA8A-BF15F194D5B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CF180AB-C504-4188-BCE1-24AC1BDDCE3C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BE10669-7D19-42A8-B465-47CAAF1DC10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425B9C9-B1C6-44D8-AB30-B8C27BB7025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C488F2C-DA6B-4493-8911-97FFFEC1E63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DC858BA-635C-46C4-ABC7-3B3A5521DE1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50CA52E-ACD5-4FD4-AFC1-6B20B17C75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837C8DC-D0DC-4F71-BDF4-8FDB7326601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8F3B7-E495-4E6F-BF12-370A5BD97BE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D70111B-1877-4E85-9B9F-5D5BBF7C2B0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D632229-8808-466B-8A5E-330C13214F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707BAA9-75E4-4505-BF1D-04054A61B95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4F73EE3-5BDE-4833-B7B2-1E015DF14C8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EF9269A-5388-428C-B283-9073F124BE1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5675A96-2D7D-403B-899A-8BF9840C55F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CC5DFDB-6DA6-4234-872E-6A0C08233F6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4DFFE63-947D-4EE1-AB79-09980A201AD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870B4CB-BA90-4BCB-8A98-9A7E976D9B2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3987E74-B403-4D12-A942-EA5D2E27793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23C14C-6BB0-45F1-A29D-E2F46C0C489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745AF32-E568-4EC5-8C38-13DFD4A1B3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B0D30E06-7735-4771-9E33-B5163F4FFA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BE5397-8234-4624-8F89-929F215F122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35C71A7-3671-4728-B4A7-A2FDB4829F1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3023BC6-63BD-4EC8-894B-6C58A0C1F56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28F6D3A-33ED-4EDB-A283-0236CD6076F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AB94BD8-57FC-4516-B7FE-A29FB37E40C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0D4BE68-60D0-4FC6-B4C8-621C895D4B7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908CC9E-1D88-4331-82BA-6A5F48DC1E8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7FA5BC4-7505-478B-81A5-111090D78EE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5F12E61-5E65-4C6F-A5BA-71469F2A30E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24FFE8D-74DD-4BBD-A82C-D09EBAF04D1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10C829F-142C-452D-9A78-3F67E50001A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1C2BD95B-D668-4F9B-A699-F672E37D27F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F7D47D8C-2CA2-4A24-8381-B72C11B16C6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916B9FD1-A6FC-421B-875C-057499B1AA8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CB641D3-3335-4FC5-964A-5E958B36505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45AB87B-9C36-4D49-8EFC-9CC07D8C9F9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1014A994-8D55-47C5-ABAE-DBD44E5E115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3EF8385-A1D8-4324-AB76-16A63ED2DE0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1D029FE-A0FA-4317-B935-AD866D64D2C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E1C0C48E-1158-4F17-BFFA-632854E92DA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D080292-643B-4725-966A-60173C1D583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F84CB01-2C56-41D7-8C63-59E82E7B5D1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DD25E06-4210-42F9-8D66-55C9D7D908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115AB87-45FB-4E46-87B5-40DD5CFDDBC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2052420-9A6D-48C5-8F1D-8F359F38113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227A443-7A24-4431-87C5-ACDDFB90A38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F43633-7F45-4EBB-9718-D4D321D7801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9317570-F5FA-4C11-8D91-3A32B20FDE4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092E14C-A14D-4E78-A16D-4FE0B81B5B4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2013D8-55BB-4B78-9C39-BD62A249B67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B4C1B87-C23D-408A-BB08-1D7C21CCCC3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33545E5-B1BA-48B6-9E18-66D8DF9F7B3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DA2B8E22-9618-4E7A-88FA-3C3E8598B4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FF2E08-0D1B-4DF7-AE22-2D9DCBEBF9C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2AC7D93-6513-47E4-AEF8-7396CF8C864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475E9DA-5718-43DF-A7E7-3570AFED10B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6CF250E-9D7C-48BA-A5F7-ACB10608FE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A2601EA4-772C-4ADD-AED7-FB84B75A89A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6D4040F-CF03-4DB0-9459-0CA6321480D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AF4032C-3233-4149-B0FD-4A97B358CB7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83CA4D6-EC99-418C-873E-D376C7750A7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67DE177-5AFA-4A3D-A456-85DF45E02FB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467F01C-2008-41B6-B4D9-BCF80F9E5DC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9C320AB-8503-4A98-8740-53252A8146D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3B01B06-BDB4-40BA-A427-C96711076B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5FAF9F1-6C07-4F5E-8620-F32864ABDCF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5EC58C8-6E76-4D73-A2D2-2FA5275ED57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C486E59-217E-45E3-A644-CD5DC57696EC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F840016-0D70-4359-AB37-D43F49446A7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DFCF1333-9878-46A3-AAE6-613772307102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A6AC86F-BD30-42A7-A674-13EECE5DE10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BB3EDA7-5DA4-4DE8-B1CC-1931A6F3951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4E434BC-C1AC-4391-80D6-27CA4FC0063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82F0FA4-5414-4286-8CF9-48530ED1ABA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A335B57-C0DD-4D73-B991-14AD07FD6E9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2A4A79D-3833-4C2E-A532-D30118C9DE4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C3A1CD7B-D179-4749-B1E2-A69F0417F8A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F9FB7B4-4F20-4255-8249-9C6BB3D7B6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0AC9811-C06B-488B-BB3C-EDAAEB1FF62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E4B35EE-DF0D-4DF8-9D00-EC748E43C62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94C9441-79A6-4DAE-80BC-5DE66827F2E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9067E41-922D-4DC7-A4E4-8A53DADEA7EB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B447FA1-71DB-43EF-A000-7CA62FD24E4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F5F9F76-3918-4971-AFF2-28E264CD093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5701FE1-4645-402F-99C1-A7BA0B6FF67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437176F-FD42-4F8F-BA55-8A56DA410F2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4E660CC-3712-4FAF-AC6E-8C21A4A5952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22F4AA1-CD51-40EA-B598-7A100803229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BB4F0DE-D7C9-4AB0-9A13-D5BA977E79C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AC7B3E4-7625-4FA2-9C21-C37FAAC3175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C164A00-7DDE-4C61-B677-D0A1CA9EE41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99FC5DD5-7AC3-40C9-A8C9-5AC41DFA434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9511229-44C9-4B1C-BF90-4DE02BAFD6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62DC945-D7A0-4749-9084-5D192DE2686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2F38C02-15F7-4C50-A9AA-3908E91B90C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A9CF1190-D0A6-41AD-85D8-2DC39CFCCBE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A443D6C-6B4B-4A0E-BE05-CD221C83E64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22CA6EA-0EEE-4EDA-85CE-E10D2685D7A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DEC9268-D046-4259-B0D2-B6A734A27FB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1CC8BAA-7708-478A-A131-DC9A5FB95F9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2AD1895-DDD4-4C4E-B321-558049BDAEB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5A38D37-EBCD-47F1-BFC2-A81667A1C5E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CD05738-F38D-4607-A21D-0A2D64EA0E5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4CC1196-B932-418D-A136-1277E108623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E2889D-2CA0-410A-B1B2-CC9AF2F88D3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CF0B1B0-8A80-4AB1-B55A-8D663A75D79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40EAE3C-85FC-453B-8DCB-F5C9EAD7540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EF425C9-5887-4665-B645-CC95199B369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F7A47CE-F915-4490-B6FD-315BF759929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BD05F83-E190-4B5F-9EC0-85B3701BAF3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D077BD65-9461-473D-8915-D03E015128D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3A953-0647-4275-8576-6357F54A057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9B88E0B0-614D-40F5-AD80-9D2D24EBB16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3A04804-7661-40DF-9FBA-4812C59321D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951ECB4-CAA6-4BFC-B4F1-FCC13068A97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FAA1C00-919A-4EEB-BE26-AC6E28E033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168FE8C-9DE5-4D73-BFB4-A199D57F67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C706EB18-F8AC-4A91-906A-B349EAE677D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9EC14F72-A117-4285-AD4A-379CBC86F97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012526C-F1CC-4BC3-AAD2-54E5BE4F4C4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5D68D20-B038-428D-9E05-FDB9B2D395F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7F44615-373E-4C3F-83DD-42731577B03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BF2D8E3-910A-4FA3-B804-4AA46B0BE1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14DE4B6-9829-43D9-A973-B0FC70AEB6D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E3B0A9B-A7FA-4A1D-AE40-8B21319F8E5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DC9D991-E249-4696-AB38-3D6ACF08A27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95C6B59D-0AA7-436F-8530-5167D82FBD72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A59DA47-313C-4EA9-9C80-7C56BC64519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5CBE560-EA68-41A1-968D-C3E08AF5C97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79D9D3-14AC-43AC-A8C4-6F912B2A3D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A2265D5-2465-4F0A-BCF5-840FEAB41A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22106A1-ACE3-43F0-8095-BCFE8AE672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4662D57-CDAF-4ECC-8204-1DDD9DDE44C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319A5F7F-9D01-4F28-AF97-94EB29A1E47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41C13FE-E99C-4711-B3B0-94B855F1B9C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DADB78D-0C71-45A0-92CC-BE00B272BD3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CA84202A-A69A-4C7D-A1C4-67244AE32E9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B2A9D4C-07E0-4E91-8071-82FF59A9DCA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9A2FD5B-59D1-43B9-8D24-32E67887DBB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24F8348-1264-457B-84B5-F9FA14DCAF2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DBEEF690-42D2-4F22-9597-D82C36C1E41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825AA79-4996-4841-AADD-E7B951420A6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716E91F-4A95-4AF0-AF27-B39D577063D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6B1A475-4E4D-4548-A8D4-0EA9DF1F495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794FC1D-7ABD-467E-BEA0-C9670A916A5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296C5AD-2123-4D08-9F8E-A26D5CC1F7A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305BFC1-86E0-4B56-826E-5A291CC95B3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B6B2931-D105-437E-B530-D9AFE09E424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ED2E195-7F4B-4CA4-8BAB-7529CD2B9AE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8DCCE04-A963-4E48-8537-873EF9897D2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509977C-D90F-427A-AE0A-A3C12F28754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0D820D0-8D5E-4C61-A304-C4ADE2AC06D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19C115B-7A34-42A1-B720-FBBCDFAC63E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D092519-9D3D-4D1B-960F-6555884FEC6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DF6AF873-25FC-4A4D-ADEC-A36450D0ADD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03CD9B7-40E1-4331-B317-4D0659A0D69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C042C81-4A96-4FC7-9040-8276947C1E8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B5E0AE5-882F-4D04-805B-3D8331DB1F9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44DC4E74-E034-4F61-B4BC-6F0E6211B64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EA7AC8A0-6727-4A7A-A01C-28EFE8D40A1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AA18ACE-E9F6-4E9D-8DF7-BB373F607EC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D9BE50E8-4833-4897-A0D4-C96763DFCB3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FB70BFA-A93D-4CA0-8C49-029ACAAA2D7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6A2C435-9941-404D-A511-C8A152D4B4D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0EE82DB-34A5-4E3C-BCEA-DC8A5D4C7E4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2B5131-C3D2-4521-A346-2B528F7C09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265052E-A35A-4173-970B-58EBFF4AF33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976F216-5D59-4A56-A467-9FFBD25CD523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BBFA1CB0-AAB4-4E2E-9ED4-C0E4B9F50DB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5ED3C35-A03E-4D58-9FCF-E407EEFEF18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F084031-558B-41BF-93BC-F3BEE0ACC7D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16BA6B6-0E81-43F5-82C9-F6D992281AB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DEF5A4-D793-4500-BCF7-08FB0E02D2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D047839-A984-42E9-9FFB-5D615A3693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0263FC6-CF89-4BE5-82DB-9EF2187F4CC9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75F25909-5F26-4644-8860-0B4591501E8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26DA37D-8760-4050-B190-AB51E1C14E9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5D103B2-809C-4BE6-862B-7210DF05C27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28276EA2-8F5E-4371-8486-4C1DF9E0384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D7DE3002-3D14-4AEA-8FA4-E480AEBF850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C206DF4-61C4-4BD8-BA2B-8FB8C08F3CD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22EAD974-947D-4354-92DE-FD1DCE432F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D8E956CE-59E7-4342-B338-A6162624BD7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1AD50ED2-F760-4983-B846-EAABAB6C0DA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05A99D4-575E-4F9D-B63D-918CA9EB5BD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8EBEE8E-AD79-40FD-B867-95F480A8E08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F223775F-8F60-4764-9C69-D4A0110E13D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2274957-8000-41D2-88AB-40F41D76B2F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1C8E5BC-4ED6-4EE2-995F-DAD3D5EB46F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<sst xmlns="http://schemas.openxmlformats.org/spreadsheetml/2006/main" count="757" uniqueCount="55">
  <si>
    <t>K2 INGENIERÍA S.A.S</t>
  </si>
  <si>
    <r>
      <rPr>
        <b/>
        <sz val="12"/>
        <rFont val="Arial"/>
        <family val="2"/>
      </rPr>
      <t>Versión N.07</t>
    </r>
    <r>
      <rPr>
        <sz val="8"/>
        <rFont val="Arial"/>
        <family val="2"/>
      </rPr>
      <t xml:space="preserve">
</t>
    </r>
    <r>
      <rPr>
        <sz val="10"/>
        <rFont val="Arial"/>
        <family val="2"/>
      </rPr>
      <t>2024-05-27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FOM303-32</t>
    </r>
  </si>
  <si>
    <t>FORMATO DE CAMPO MONITOREO ANALIZADORES AUTOMÁTICOS</t>
  </si>
  <si>
    <t>PROYECTO:</t>
  </si>
  <si>
    <t>Aerocivil</t>
  </si>
  <si>
    <t>MUNICIPIO:</t>
  </si>
  <si>
    <t>Bogotá</t>
  </si>
  <si>
    <t>EQUIPO UTILIZADO:</t>
  </si>
  <si>
    <t>Cabina</t>
  </si>
  <si>
    <t>COORDENADA NORTE:</t>
  </si>
  <si>
    <t>DEPARTAMENTO:</t>
  </si>
  <si>
    <t>Distrito Capital</t>
  </si>
  <si>
    <t>S/N:</t>
  </si>
  <si>
    <t>COORDENADA OESTE:</t>
  </si>
  <si>
    <t>Estación de muestreo</t>
  </si>
  <si>
    <t>INICIO</t>
  </si>
  <si>
    <t>FINAL</t>
  </si>
  <si>
    <t>Tiempo de exposición</t>
  </si>
  <si>
    <t>DS T°C Shelter
(&lt; 2,1)</t>
  </si>
  <si>
    <t>Observaciones</t>
  </si>
  <si>
    <t>Fecha</t>
  </si>
  <si>
    <t>Hora</t>
  </si>
  <si>
    <t>CA1 Engativa</t>
  </si>
  <si>
    <t>Elaboró:</t>
  </si>
  <si>
    <t>Alexander Diaz H.</t>
  </si>
  <si>
    <t xml:space="preserve">Revisó </t>
  </si>
  <si>
    <t>Verificó:</t>
  </si>
  <si>
    <t>Leonardo Perez D.</t>
  </si>
  <si>
    <t>Técnico de campo</t>
  </si>
  <si>
    <t xml:space="preserve">Coordinador </t>
  </si>
  <si>
    <t>Consultor</t>
  </si>
  <si>
    <t>Nota :</t>
  </si>
  <si>
    <t>Los datos consignados en este documento son válidos únicamente para el proyecto y/o estaciones relacionadas. Cualquier reproducción parcial requiere de la autorización de K2 Ingeniería S.A.S.</t>
  </si>
  <si>
    <r>
      <rPr>
        <b/>
        <sz val="12"/>
        <rFont val="Arial"/>
        <family val="2"/>
      </rPr>
      <t>Versión N.07</t>
    </r>
    <r>
      <rPr>
        <sz val="10"/>
        <rFont val="Arial"/>
        <family val="2"/>
      </rPr>
      <t xml:space="preserve">
2024-05-27
</t>
    </r>
    <r>
      <rPr>
        <b/>
        <sz val="12"/>
        <rFont val="Arial"/>
        <family val="2"/>
      </rPr>
      <t>FOM303-32</t>
    </r>
  </si>
  <si>
    <t>ESTACION DE MUESTREO:</t>
  </si>
  <si>
    <t>RESPONSABLE DEL MUESTREO</t>
  </si>
  <si>
    <t>Leonardo Pérez</t>
  </si>
  <si>
    <t>ALTURA MSNM:</t>
  </si>
  <si>
    <t>FECHA INICIO:</t>
  </si>
  <si>
    <t>HORA INICIO:</t>
  </si>
  <si>
    <t>FECHA FINAL:</t>
  </si>
  <si>
    <t>HORA FINAL:</t>
  </si>
  <si>
    <t xml:space="preserve">REGISTRO DE LA TEMPERATURA DEL SHELTER HORARIA PARA DETERMINAR DS T°C </t>
  </si>
  <si>
    <t>PERIODO DE 24 HORAS
DESDE LA HORA 0</t>
  </si>
  <si>
    <t>REGISTRO DE LA TEMPERATURA DEL SHELTER DE FORMA HORARIO</t>
  </si>
  <si>
    <t>PROMEDIO TOTAL T°C</t>
  </si>
  <si>
    <t>(DESVIACIÓN ESTÁNDAR) DS T°C</t>
  </si>
  <si>
    <t>&lt;2.5</t>
  </si>
  <si>
    <t>VERIFICACIÓN</t>
  </si>
  <si>
    <t>CONTROL DE CAMBIOS</t>
  </si>
  <si>
    <t>FECHA</t>
  </si>
  <si>
    <t>VERSION</t>
  </si>
  <si>
    <t>CAMBIOS</t>
  </si>
  <si>
    <t>Revisión general</t>
  </si>
  <si>
    <t>Revisión general. Cambio de logo y formato fecha aaaa-mm-dd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</si>
</sst>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;@"/>
    <numFmt numFmtId="166" formatCode="#,##0.0"/>
  </numFmts>
  <fonts count="24" x14ac:knownFonts="1">
    <font>
      <sz val="11"/>
      <color theme="1"/>
      <name val="Calibri"/>
      <family val="2"/>
      <scheme val="minor"/>
    </font>
    <font>
      <b/>
      <sz val="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/>
  </cellStyleXfs>
  <cellXfs count="17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2" borderId="17" xfId="0" applyFill="1" applyBorder="1"/>
    <xf numFmtId="0" fontId="0" fillId="2" borderId="19" xfId="0" applyFill="1" applyBorder="1"/>
    <xf numFmtId="0" fontId="0" fillId="0" borderId="9" xfId="0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20" fontId="0" fillId="0" borderId="3" xfId="0" applyNumberFormat="1" applyBorder="1" applyAlignment="1">
      <alignment horizontal="center" vertical="center"/>
    </xf>
    <xf numFmtId="0" fontId="0" fillId="0" borderId="18" xfId="0" applyBorder="1"/>
    <xf numFmtId="0" fontId="5" fillId="0" borderId="23" xfId="0" applyFont="1" applyBorder="1" applyAlignment="1">
      <alignment horizontal="center"/>
    </xf>
    <xf numFmtId="0" fontId="9" fillId="0" borderId="13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/>
    <xf numFmtId="0" fontId="5" fillId="2" borderId="23" xfId="0" applyFont="1" applyFill="1" applyBorder="1"/>
    <xf numFmtId="0" fontId="0" fillId="0" borderId="3" xfId="0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15" fillId="5" borderId="38" xfId="1" applyFont="1" applyFill="1" applyBorder="1" applyAlignment="1">
      <alignment horizontal="center" vertical="center"/>
    </xf>
    <xf numFmtId="0" fontId="15" fillId="5" borderId="39" xfId="1" applyFont="1" applyFill="1" applyBorder="1" applyAlignment="1">
      <alignment horizontal="center" vertical="center"/>
    </xf>
    <xf numFmtId="0" fontId="15" fillId="5" borderId="40" xfId="1" applyFont="1" applyFill="1" applyBorder="1" applyAlignment="1">
      <alignment horizontal="center" vertical="center"/>
    </xf>
    <xf numFmtId="0" fontId="15" fillId="5" borderId="41" xfId="1" applyFont="1" applyFill="1" applyBorder="1" applyAlignment="1">
      <alignment horizontal="center" vertical="center"/>
    </xf>
    <xf numFmtId="1" fontId="14" fillId="6" borderId="44" xfId="1" applyNumberFormat="1" applyFont="1" applyFill="1" applyBorder="1" applyAlignment="1">
      <alignment horizontal="center" vertical="center"/>
    </xf>
    <xf numFmtId="0" fontId="13" fillId="6" borderId="42" xfId="1" applyFont="1" applyFill="1" applyBorder="1" applyAlignment="1">
      <alignment horizontal="center" vertical="center"/>
    </xf>
    <xf numFmtId="0" fontId="13" fillId="6" borderId="44" xfId="1" applyFont="1" applyFill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3" fillId="6" borderId="42" xfId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/>
    </xf>
    <xf numFmtId="164" fontId="13" fillId="0" borderId="44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1" applyFont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21" fillId="0" borderId="0" xfId="0" applyFont="1"/>
    <xf numFmtId="0" fontId="22" fillId="0" borderId="0" xfId="0" applyFont="1"/>
    <xf numFmtId="0" fontId="21" fillId="0" borderId="1" xfId="0" applyFont="1" applyBorder="1" applyAlignment="1">
      <alignment horizontal="center"/>
    </xf>
    <xf numFmtId="165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justify" vertical="top"/>
    </xf>
    <xf numFmtId="165" fontId="0" fillId="0" borderId="3" xfId="0" applyNumberFormat="1" applyBorder="1" applyAlignment="1">
      <alignment horizontal="center" vertical="center"/>
    </xf>
    <xf numFmtId="0" fontId="0" fillId="7" borderId="17" xfId="0" applyFill="1" applyBorder="1"/>
    <xf numFmtId="0" fontId="0" fillId="7" borderId="0" xfId="0" applyFill="1"/>
    <xf numFmtId="0" fontId="0" fillId="7" borderId="19" xfId="0" applyFill="1" applyBorder="1"/>
    <xf numFmtId="0" fontId="9" fillId="7" borderId="0" xfId="1" applyFont="1" applyFill="1" applyAlignment="1">
      <alignment vertical="center"/>
    </xf>
    <xf numFmtId="0" fontId="9" fillId="0" borderId="32" xfId="0" applyFont="1" applyBorder="1" applyAlignment="1" applyProtection="1">
      <alignment horizontal="center" vertical="center"/>
      <protection locked="0"/>
    </xf>
    <xf numFmtId="164" fontId="0" fillId="0" borderId="32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3" fillId="0" borderId="48" xfId="0" applyFont="1" applyBorder="1" applyAlignment="1">
      <alignment vertical="center"/>
    </xf>
    <xf numFmtId="0" fontId="23" fillId="0" borderId="49" xfId="0" applyFont="1" applyBorder="1" applyAlignment="1">
      <alignment vertical="center"/>
    </xf>
    <xf numFmtId="0" fontId="23" fillId="0" borderId="0" xfId="0" applyFont="1"/>
    <xf numFmtId="3" fontId="23" fillId="0" borderId="0" xfId="0" applyNumberFormat="1" applyFont="1"/>
    <xf numFmtId="0" fontId="15" fillId="5" borderId="48" xfId="1" applyFont="1" applyFill="1" applyBorder="1" applyAlignment="1">
      <alignment horizontal="center" vertical="center"/>
    </xf>
    <xf numFmtId="0" fontId="13" fillId="6" borderId="48" xfId="1" applyFont="1" applyFill="1" applyBorder="1" applyAlignment="1">
      <alignment horizontal="center" vertical="center"/>
    </xf>
    <xf numFmtId="164" fontId="13" fillId="0" borderId="48" xfId="1" applyNumberFormat="1" applyFont="1" applyBorder="1" applyAlignment="1">
      <alignment horizontal="center" vertical="center"/>
    </xf>
    <xf numFmtId="0" fontId="13" fillId="6" borderId="48" xfId="1" applyFont="1" applyFill="1" applyBorder="1" applyAlignment="1">
      <alignment horizontal="center" vertical="center" wrapText="1"/>
    </xf>
    <xf numFmtId="1" fontId="14" fillId="6" borderId="48" xfId="1" applyNumberFormat="1" applyFont="1" applyFill="1" applyBorder="1" applyAlignment="1">
      <alignment horizontal="center" vertical="center"/>
    </xf>
    <xf numFmtId="0" fontId="9" fillId="0" borderId="18" xfId="0" applyFont="1" applyBorder="1" applyAlignment="1" applyProtection="1">
      <alignment horizontal="center" vertical="center"/>
      <protection locked="0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26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164" fontId="14" fillId="3" borderId="5" xfId="1" applyNumberFormat="1" applyFont="1" applyFill="1" applyBorder="1" applyAlignment="1" applyProtection="1">
      <alignment horizontal="center" vertical="center"/>
      <protection locked="0"/>
    </xf>
    <xf numFmtId="164" fontId="14" fillId="3" borderId="46" xfId="1" applyNumberFormat="1" applyFont="1" applyFill="1" applyBorder="1" applyAlignment="1" applyProtection="1">
      <alignment horizontal="center" vertical="center"/>
      <protection locked="0"/>
    </xf>
    <xf numFmtId="164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1" fontId="14" fillId="3" borderId="1" xfId="1" applyNumberFormat="1" applyFont="1" applyFill="1" applyBorder="1" applyAlignment="1" applyProtection="1">
      <alignment horizontal="center" vertical="center"/>
      <protection locked="0"/>
    </xf>
    <xf numFmtId="165" fontId="14" fillId="3" borderId="5" xfId="1" applyNumberFormat="1" applyFont="1" applyFill="1" applyBorder="1" applyAlignment="1" applyProtection="1">
      <alignment horizontal="center" vertical="center"/>
      <protection locked="0"/>
    </xf>
    <xf numFmtId="165" fontId="14" fillId="3" borderId="46" xfId="1" applyNumberFormat="1" applyFont="1" applyFill="1" applyBorder="1" applyAlignment="1" applyProtection="1">
      <alignment horizontal="center" vertical="center"/>
      <protection locked="0"/>
    </xf>
    <xf numFmtId="20" fontId="14" fillId="3" borderId="1" xfId="1" applyNumberFormat="1" applyFont="1" applyFill="1" applyBorder="1" applyAlignment="1" applyProtection="1">
      <alignment horizontal="center" vertical="center"/>
      <protection locked="0"/>
    </xf>
    <xf numFmtId="164" fontId="14" fillId="3" borderId="48" xfId="1" applyNumberFormat="1" applyFont="1" applyFill="1" applyBorder="1" applyAlignment="1" applyProtection="1">
      <alignment horizontal="center" vertical="center"/>
      <protection locked="0"/>
    </xf>
    <xf numFmtId="0" fontId="8" fillId="0" borderId="0" xfId="1" applyFont="1" applyAlignment="1">
      <alignment horizontal="center" vertical="center"/>
    </xf>
    <xf numFmtId="0" fontId="8" fillId="4" borderId="48" xfId="1" applyFont="1" applyFill="1" applyBorder="1" applyAlignment="1">
      <alignment horizontal="center" vertical="center" wrapText="1"/>
    </xf>
    <xf numFmtId="164" fontId="13" fillId="0" borderId="48" xfId="1" applyNumberFormat="1" applyFont="1" applyBorder="1" applyAlignment="1">
      <alignment horizontal="center" vertical="center"/>
    </xf>
    <xf numFmtId="0" fontId="16" fillId="0" borderId="48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20" fontId="14" fillId="3" borderId="5" xfId="1" applyNumberFormat="1" applyFont="1" applyFill="1" applyBorder="1" applyAlignment="1" applyProtection="1">
      <alignment horizontal="center" vertical="center"/>
      <protection locked="0"/>
    </xf>
    <xf numFmtId="20" fontId="14" fillId="3" borderId="47" xfId="1" applyNumberFormat="1" applyFont="1" applyFill="1" applyBorder="1" applyAlignment="1" applyProtection="1">
      <alignment horizontal="center" vertical="center"/>
      <protection locked="0"/>
    </xf>
    <xf numFmtId="20" fontId="14" fillId="3" borderId="46" xfId="1" applyNumberFormat="1" applyFont="1" applyFill="1" applyBorder="1" applyAlignment="1" applyProtection="1">
      <alignment horizontal="center" vertical="center"/>
      <protection locked="0"/>
    </xf>
    <xf numFmtId="164" fontId="14" fillId="3" borderId="47" xfId="1" applyNumberFormat="1" applyFont="1" applyFill="1" applyBorder="1" applyAlignment="1" applyProtection="1">
      <alignment horizontal="center" vertical="center"/>
      <protection locked="0"/>
    </xf>
    <xf numFmtId="166" fontId="14" fillId="3" borderId="48" xfId="1" applyNumberFormat="1" applyFont="1" applyFill="1" applyBorder="1" applyAlignment="1" applyProtection="1">
      <alignment horizontal="center" vertical="center"/>
      <protection locked="0"/>
    </xf>
    <xf numFmtId="164" fontId="14" fillId="3" borderId="56" xfId="1" applyNumberFormat="1" applyFont="1" applyFill="1" applyBorder="1" applyAlignment="1" applyProtection="1">
      <alignment horizontal="center" vertical="center"/>
      <protection locked="0"/>
    </xf>
    <xf numFmtId="164" fontId="14" fillId="3" borderId="57" xfId="1" applyNumberFormat="1" applyFont="1" applyFill="1" applyBorder="1" applyAlignment="1" applyProtection="1">
      <alignment horizontal="center" vertical="center"/>
      <protection locked="0"/>
    </xf>
    <xf numFmtId="164" fontId="14" fillId="3" borderId="52" xfId="1" applyNumberFormat="1" applyFont="1" applyFill="1" applyBorder="1" applyAlignment="1" applyProtection="1">
      <alignment horizontal="center" vertical="center"/>
      <protection locked="0"/>
    </xf>
    <xf numFmtId="164" fontId="14" fillId="3" borderId="53" xfId="1" applyNumberFormat="1" applyFont="1" applyFill="1" applyBorder="1" applyAlignment="1" applyProtection="1">
      <alignment horizontal="center" vertical="center"/>
      <protection locked="0"/>
    </xf>
    <xf numFmtId="0" fontId="8" fillId="4" borderId="14" xfId="1" applyFont="1" applyFill="1" applyBorder="1" applyAlignment="1">
      <alignment horizontal="center" vertical="center" wrapText="1"/>
    </xf>
    <xf numFmtId="0" fontId="8" fillId="4" borderId="17" xfId="1" applyFont="1" applyFill="1" applyBorder="1" applyAlignment="1">
      <alignment horizontal="center" vertical="center" wrapText="1"/>
    </xf>
    <xf numFmtId="0" fontId="8" fillId="4" borderId="34" xfId="1" applyFont="1" applyFill="1" applyBorder="1" applyAlignment="1">
      <alignment horizontal="center" vertical="center" wrapText="1"/>
    </xf>
    <xf numFmtId="0" fontId="8" fillId="4" borderId="19" xfId="1" applyFont="1" applyFill="1" applyBorder="1" applyAlignment="1">
      <alignment horizontal="center" vertical="center" wrapText="1"/>
    </xf>
    <xf numFmtId="164" fontId="14" fillId="3" borderId="50" xfId="1" applyNumberFormat="1" applyFont="1" applyFill="1" applyBorder="1" applyAlignment="1" applyProtection="1">
      <alignment horizontal="center" vertical="center"/>
      <protection locked="0"/>
    </xf>
    <xf numFmtId="164" fontId="14" fillId="3" borderId="51" xfId="1" applyNumberFormat="1" applyFont="1" applyFill="1" applyBorder="1" applyAlignment="1" applyProtection="1">
      <alignment horizontal="center" vertical="center"/>
      <protection locked="0"/>
    </xf>
    <xf numFmtId="164" fontId="13" fillId="0" borderId="20" xfId="1" applyNumberFormat="1" applyFont="1" applyBorder="1" applyAlignment="1">
      <alignment horizontal="center" vertical="center"/>
    </xf>
    <xf numFmtId="164" fontId="13" fillId="0" borderId="21" xfId="1" applyNumberFormat="1" applyFont="1" applyBorder="1" applyAlignment="1">
      <alignment horizontal="center" vertical="center"/>
    </xf>
    <xf numFmtId="0" fontId="16" fillId="0" borderId="43" xfId="1" applyFont="1" applyBorder="1" applyAlignment="1">
      <alignment horizontal="center" vertical="center"/>
    </xf>
    <xf numFmtId="0" fontId="16" fillId="0" borderId="45" xfId="1" applyFont="1" applyBorder="1" applyAlignment="1">
      <alignment horizontal="center" vertical="center"/>
    </xf>
    <xf numFmtId="164" fontId="14" fillId="3" borderId="54" xfId="1" applyNumberFormat="1" applyFont="1" applyFill="1" applyBorder="1" applyAlignment="1" applyProtection="1">
      <alignment horizontal="center" vertical="center"/>
      <protection locked="0"/>
    </xf>
    <xf numFmtId="164" fontId="14" fillId="3" borderId="55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D7F19989-EE1E-4699-A658-F2FDA48D5B83}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0</xdr:rowOff>
    </xdr:from>
    <xdr:to>
      <xdr:col>1</xdr:col>
      <xdr:colOff>904386</xdr:colOff>
      <xdr:row>2</xdr:row>
      <xdr:rowOff>28575</xdr:rowOff>
    </xdr:to>
    <xdr:pic>
      <xdr:nvPicPr>
        <xdr:cNvPr id="3" name="Gráfico 3">
          <a:extLst>
            <a:ext uri="{FF2B5EF4-FFF2-40B4-BE49-F238E27FC236}">
              <a16:creationId xmlns:a16="http://schemas.microsoft.com/office/drawing/2014/main" id="{30285F35-3522-4C48-9351-491C8349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85750"/>
          <a:ext cx="1352061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5E00FE9-ECC8-467A-B895-81892B37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E71D262-070B-472E-9F54-BBE9E298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13764"/>
          <a:ext cx="1352061" cy="314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02BEDBA1-5ED4-4CCE-8B36-6F2FD025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3757595-5D55-4552-9768-4623B6A2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CC0DA3C-DE02-48F5-A72C-14C099688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E5E28EA-66B1-44E8-80FF-1394B2FF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09BA391-70FF-4293-89C3-EA88C6F4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FC72130-7631-476F-B427-9E9599A55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B4F7C4C-D789-4547-B910-C57DFDFB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7EB6ED4-B4FB-439E-8803-40817DE0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FB06712-3383-4FD5-B97D-0E551318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86E5C16-5E69-4D3D-AF5D-AD2796E6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E9FC53D-BF41-4765-A7D8-1E7F9E057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CE4A2C0-A3E0-458E-AF45-AD0AE6F7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452A378-087F-4A68-96D4-8CD793470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6B27F70-D77C-4333-A5E8-E262A076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CAE724-4D96-4C67-88C3-9990D736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3A06AAA2-5C72-4367-BD96-64049114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E21A93D-185E-4252-9538-F0F48487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DCD8EF92-7271-48FB-ABBD-0BB6E77C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D0E9BF1-7804-479E-9686-3A541F1BF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A3A1826-1B3F-4766-ACDD-C61218D8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1B81C5-0877-40A3-AF17-4FAA3BA07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E16AED2-46A7-4CE5-A445-88FA2643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C98BB45-951A-4F22-B4A0-81DD91E0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EF253CBE-801B-426E-BC16-7A4DD085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4603E77-B6CA-47CE-89C1-A996A823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4B8A668-90D5-459D-90C0-28EA1CE7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7B5DED5-3E62-4080-BD26-75F352A6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AC087C0-B53C-4821-ABB5-6C7C1D9DC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AD496666-DC95-438A-B2DD-096D8778C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k2%20ingenieria\Apex%20Information%20Center\Software%20&amp;%20Spreadsheets\Calibration\623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EGO%20C\CONTRATOS%202011\25-02-11%20ASFALTERA%20TRABAJOS%20URBANOS\Isocalc97%20v2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MOLIENDA%20DE%20LA%20SABANA_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\UST\Lab_Ref_Transp\ID0120_BIOT\Area%20Bioensayos\Manuales\PTE,%20PTO,%20PTG_NUEVA%20PLANTILLA%202010\Plantilla_DatosGeomorfologicos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Graph of Meter Y"/>
      <sheetName val="Graph of Meter Pressure"/>
      <sheetName val="Graph Data"/>
      <sheetName val="Totalizer Setup"/>
      <sheetName val="Module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RMS"/>
      <sheetName val="Title Page"/>
      <sheetName val="M1 - Circular"/>
      <sheetName val="M1 - Rectangular"/>
      <sheetName val="M2"/>
      <sheetName val="M3 - Orsat"/>
      <sheetName val="M4"/>
      <sheetName val="M5 - Run 1"/>
      <sheetName val="M5 - Run 2"/>
      <sheetName val="M5 - Run 3"/>
      <sheetName val="M5 - Recovery"/>
      <sheetName val="M5 - Analytical"/>
      <sheetName val="M5 - Results"/>
      <sheetName val="Fraction of Diameter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essages"/>
      <sheetName val="MinPtsModule"/>
      <sheetName val="Units Module"/>
      <sheetName val="ml g Toggle Module"/>
      <sheetName val="M5 Run 3 Dialog"/>
      <sheetName val="M5 Recovery Dialog"/>
      <sheetName val="M5 Analytical Dialog"/>
      <sheetName val="M5 Results Dialog"/>
      <sheetName val="Help Module"/>
      <sheetName val="Print Module"/>
      <sheetName val="CheckBoxModule"/>
      <sheetName val="Protection Module"/>
      <sheetName val="Print Setup Module"/>
      <sheetName val="Headings Module"/>
      <sheetName val="Module1"/>
      <sheetName val="IMPRIMIR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Graficas Calibracion"/>
      <sheetName val="Calibracion."/>
      <sheetName val="Factor Verificacion Yc"/>
      <sheetName val="Method 1 - Circular"/>
      <sheetName val="Method 1 - Rectangular"/>
      <sheetName val="Prueba de fugas"/>
      <sheetName val="Flujo Ciclonico"/>
      <sheetName val="Method 2"/>
      <sheetName val="Validacion"/>
      <sheetName val="Tablas isocinetico"/>
      <sheetName val="Ecuaciones"/>
      <sheetName val="Method 3 - Orsat"/>
      <sheetName val="Verificacion Metodo 3A"/>
      <sheetName val="Method 4"/>
      <sheetName val="Method 5 - Run 1"/>
      <sheetName val="Method 5 - Run 2"/>
      <sheetName val="Method 5 - Run 3"/>
      <sheetName val="Factor Yc #2"/>
      <sheetName val="VERIFICACION FINAL"/>
      <sheetName val="Method 5 - Run 4"/>
      <sheetName val="Method 5 - Run 5"/>
      <sheetName val="Method 5 - Run 6"/>
      <sheetName val="Factor Yc #3"/>
      <sheetName val="VERIFICACION FINAL."/>
      <sheetName val="Method 23 - Dioxinas "/>
      <sheetName val="Method 29 - Metales"/>
      <sheetName val="VERIFICACION FINAL.."/>
      <sheetName val="Method 5 - Recovery"/>
      <sheetName val="Method 5 - Analytical"/>
      <sheetName val="Method 5 - Results"/>
      <sheetName val="SOX y NOx"/>
      <sheetName val="Haluros"/>
      <sheetName val="RUA"/>
      <sheetName val="Metales"/>
      <sheetName val="Fraction of Diameter"/>
      <sheetName val="Messages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inPtsModule"/>
      <sheetName val="CheckBoxModule"/>
      <sheetName val="Units Module"/>
      <sheetName val="ml g Toggle Module"/>
      <sheetName val="Help Module"/>
      <sheetName val="Print Module"/>
      <sheetName val="Hoja de Campo"/>
      <sheetName val="MOLIENDA DE LA SABANA_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46"/>
  <sheetViews>
    <sheetView showGridLines="0" tabSelected="1" view="pageBreakPreview" topLeftCell="A29" zoomScaleNormal="100" zoomScaleSheetLayoutView="100" workbookViewId="0">
      <selection activeCell="I31" sqref="I31:I41"/>
    </sheetView>
  </sheetViews>
  <sheetFormatPr baseColWidth="10" defaultColWidth="11.42578125" defaultRowHeight="15" x14ac:dyDescent="0.25"/>
  <cols>
    <col min="1" max="1" width="9.28515625" customWidth="1"/>
    <col min="2" max="2" width="16.5703125" customWidth="1"/>
    <col min="3" max="3" width="18.42578125" customWidth="1"/>
    <col min="4" max="5" width="18.7109375" customWidth="1"/>
    <col min="6" max="6" width="19.28515625" customWidth="1"/>
    <col min="7" max="7" width="21.28515625" customWidth="1"/>
    <col min="8" max="8" width="9.28515625" customWidth="1"/>
    <col min="9" max="9" width="31.85546875" customWidth="1"/>
  </cols>
  <sheetData>
    <row r="1" spans="1:12" ht="22.5" customHeight="1" x14ac:dyDescent="0.25">
      <c r="A1" s="67"/>
      <c r="B1" s="68"/>
      <c r="C1" s="86" t="s">
        <v>0</v>
      </c>
      <c r="D1" s="87"/>
      <c r="E1" s="87"/>
      <c r="F1" s="87"/>
      <c r="G1" s="87"/>
      <c r="H1" s="88"/>
      <c r="I1" s="64" t="s">
        <v>1</v>
      </c>
      <c r="K1" s="1"/>
      <c r="L1" s="1"/>
    </row>
    <row r="2" spans="1:12" ht="22.5" customHeight="1" x14ac:dyDescent="0.25">
      <c r="A2" s="69"/>
      <c r="B2" s="70"/>
      <c r="C2" s="89"/>
      <c r="D2" s="90"/>
      <c r="E2" s="90"/>
      <c r="F2" s="90"/>
      <c r="G2" s="90"/>
      <c r="H2" s="91"/>
      <c r="I2" s="65"/>
      <c r="K2" s="1"/>
      <c r="L2" s="1"/>
    </row>
    <row r="3" spans="1:12" ht="22.5" customHeight="1" thickBot="1" x14ac:dyDescent="0.3">
      <c r="A3" s="71"/>
      <c r="B3" s="72"/>
      <c r="C3" s="92" t="s">
        <v>2</v>
      </c>
      <c r="D3" s="93"/>
      <c r="E3" s="93"/>
      <c r="F3" s="93"/>
      <c r="G3" s="93"/>
      <c r="H3" s="94"/>
      <c r="I3" s="66"/>
      <c r="K3" s="2"/>
      <c r="L3" s="2"/>
    </row>
    <row r="4" spans="1:12" ht="6.75" customHeight="1" thickBot="1" x14ac:dyDescent="0.3">
      <c r="A4" s="46"/>
      <c r="B4" s="47"/>
      <c r="C4" s="47"/>
      <c r="D4" s="47"/>
      <c r="E4" s="47"/>
      <c r="F4" s="47"/>
      <c r="G4" s="47"/>
      <c r="H4" s="47"/>
      <c r="I4" s="48"/>
    </row>
    <row r="5" spans="1:12" x14ac:dyDescent="0.25">
      <c r="A5" s="99" t="s">
        <v>3</v>
      </c>
      <c r="B5" s="100"/>
      <c r="C5" s="107" t="s">
        <v>4</v>
      </c>
      <c r="D5" s="107"/>
      <c r="E5" s="107"/>
      <c r="F5" s="107"/>
      <c r="G5" s="107"/>
      <c r="H5" s="107"/>
      <c r="I5" s="108"/>
    </row>
    <row r="6" spans="1:12" x14ac:dyDescent="0.25">
      <c r="A6" s="101" t="s">
        <v>5</v>
      </c>
      <c r="B6" s="102"/>
      <c r="C6" s="76" t="s">
        <v>6</v>
      </c>
      <c r="D6" s="76"/>
      <c r="E6" s="14" t="s">
        <v>7</v>
      </c>
      <c r="F6" s="52" t="s">
        <v>8</v>
      </c>
      <c r="G6" s="14" t="s">
        <v>9</v>
      </c>
      <c r="H6" s="76">
        <v>2077821.666</v>
      </c>
      <c r="I6" s="97"/>
    </row>
    <row r="7" spans="1:12" ht="15.75" thickBot="1" x14ac:dyDescent="0.3">
      <c r="A7" s="103" t="s">
        <v>10</v>
      </c>
      <c r="B7" s="104"/>
      <c r="C7" s="77" t="s">
        <v>11</v>
      </c>
      <c r="D7" s="77"/>
      <c r="E7" s="15" t="s">
        <v>12</v>
      </c>
      <c r="F7" s="53">
        <v>2003261452</v>
      </c>
      <c r="G7" s="15" t="s">
        <v>13</v>
      </c>
      <c r="H7" s="77">
        <v>4874451.25</v>
      </c>
      <c r="I7" s="98"/>
    </row>
    <row r="8" spans="1:12" ht="15.75" thickBot="1" x14ac:dyDescent="0.3">
      <c r="A8" s="4"/>
      <c r="B8" s="3"/>
      <c r="C8" s="3"/>
      <c r="D8" s="3"/>
      <c r="E8" s="3"/>
      <c r="F8" s="3"/>
      <c r="G8" s="3"/>
      <c r="H8" s="3"/>
      <c r="I8" s="5"/>
    </row>
    <row r="9" spans="1:12" ht="18.75" customHeight="1" x14ac:dyDescent="0.25">
      <c r="A9" s="78" t="s">
        <v>14</v>
      </c>
      <c r="B9" s="79"/>
      <c r="C9" s="75" t="s">
        <v>15</v>
      </c>
      <c r="D9" s="75"/>
      <c r="E9" s="82" t="s">
        <v>16</v>
      </c>
      <c r="F9" s="83"/>
      <c r="G9" s="84" t="s">
        <v>17</v>
      </c>
      <c r="H9" s="95" t="s">
        <v>18</v>
      </c>
      <c r="I9" s="73" t="s">
        <v>19</v>
      </c>
    </row>
    <row r="10" spans="1:12" ht="15.75" thickBot="1" x14ac:dyDescent="0.3">
      <c r="A10" s="80"/>
      <c r="B10" s="81"/>
      <c r="C10" s="12" t="s">
        <v>20</v>
      </c>
      <c r="D10" s="12" t="s">
        <v>21</v>
      </c>
      <c r="E10" s="12" t="s">
        <v>20</v>
      </c>
      <c r="F10" s="12" t="s">
        <v>21</v>
      </c>
      <c r="G10" s="85"/>
      <c r="H10" s="96"/>
      <c r="I10" s="74"/>
    </row>
    <row r="11" spans="1:12" ht="18" customHeight="1" x14ac:dyDescent="0.25">
      <c r="A11" s="105" t="s">
        <v>22</v>
      </c>
      <c r="B11" s="106"/>
      <c r="C11" s="45">
        <v>46023</v>
      </c>
      <c r="D11" s="10">
        <v>0</v>
      </c>
      <c r="E11" s="45">
        <f>C11</f>
        <v>46023</v>
      </c>
      <c r="F11" s="10">
        <v>0.95833333333333337</v>
      </c>
      <c r="G11" s="16">
        <f ca="1">COUNT(INDIRECT("'Dia " &amp; ROW()-10 &amp; "'!C21:C45"))</f>
        <v>24</v>
      </c>
      <c r="H11" s="51" cm="1">
        <f t="array" aca="1" ref="H11" ca="1">IF(G11=24,INDIRECT("'" &amp; "Dia " &amp; ROW()-10 &amp; "'!C47"),"-")</f>
        <v>1.026995290197066</v>
      </c>
      <c r="I11" s="11"/>
    </row>
    <row r="12" spans="1:12" ht="18" customHeight="1" x14ac:dyDescent="0.25">
      <c r="A12" s="105" t="s">
        <v>22</v>
      </c>
      <c r="B12" s="106"/>
      <c r="C12" s="45">
        <v>46024</v>
      </c>
      <c r="D12" s="10">
        <v>0</v>
      </c>
      <c r="E12" s="45">
        <f t="shared" ref="E12:E41" si="0">C12</f>
        <v>46024</v>
      </c>
      <c r="F12" s="10">
        <v>0.95833333333333337</v>
      </c>
      <c r="G12" s="16">
        <f t="shared" ref="G12:G41" ca="1" si="1">COUNT(INDIRECT("'Dia " &amp; ROW()-10 &amp; "'!C21:C45"))</f>
        <v>24</v>
      </c>
      <c r="H12" s="51" cm="1">
        <f t="array" aca="1" ref="H12" ca="1">IF(G12=24,INDIRECT("'" &amp; "Dia " &amp; ROW()-10 &amp; "'!C47"),"-")</f>
        <v>0.72720955156272382</v>
      </c>
      <c r="I12" s="11"/>
    </row>
    <row r="13" spans="1:12" ht="18" customHeight="1" x14ac:dyDescent="0.25">
      <c r="A13" s="105" t="s">
        <v>22</v>
      </c>
      <c r="B13" s="106"/>
      <c r="C13" s="45">
        <v>46025</v>
      </c>
      <c r="D13" s="10">
        <v>0</v>
      </c>
      <c r="E13" s="45">
        <f t="shared" si="0"/>
        <v>46025</v>
      </c>
      <c r="F13" s="10">
        <v>0.95833333333333304</v>
      </c>
      <c r="G13" s="16">
        <f t="shared" ca="1" si="1"/>
        <v>24</v>
      </c>
      <c r="H13" s="51" cm="1">
        <f t="array" aca="1" ref="H13" ca="1">IF(G13=24,INDIRECT("'" &amp; "Dia " &amp; ROW()-10 &amp; "'!C47"),"-")</f>
        <v>0.48032542561554387</v>
      </c>
      <c r="I13" s="11"/>
    </row>
    <row r="14" spans="1:12" ht="18" customHeight="1" x14ac:dyDescent="0.25">
      <c r="A14" s="105" t="s">
        <v>22</v>
      </c>
      <c r="B14" s="106"/>
      <c r="C14" s="45">
        <v>46026</v>
      </c>
      <c r="D14" s="10">
        <v>0</v>
      </c>
      <c r="E14" s="45">
        <f t="shared" si="0"/>
        <v>46026</v>
      </c>
      <c r="F14" s="10">
        <v>0.95833333333333304</v>
      </c>
      <c r="G14" s="16">
        <f t="shared" ca="1" si="1"/>
        <v>24</v>
      </c>
      <c r="H14" s="51" cm="1">
        <f t="array" aca="1" ref="H14" ca="1">IF(G14=24,INDIRECT("'" &amp; "Dia " &amp; ROW()-10 &amp; "'!C47"),"-")</f>
        <v>0.5539608891128206</v>
      </c>
      <c r="I14" s="11"/>
    </row>
    <row r="15" spans="1:12" ht="18" customHeight="1" x14ac:dyDescent="0.25">
      <c r="A15" s="105" t="s">
        <v>22</v>
      </c>
      <c r="B15" s="106"/>
      <c r="C15" s="45">
        <v>46027</v>
      </c>
      <c r="D15" s="10">
        <v>0</v>
      </c>
      <c r="E15" s="45">
        <f t="shared" si="0"/>
        <v>46027</v>
      </c>
      <c r="F15" s="10">
        <v>0.95833333333333304</v>
      </c>
      <c r="G15" s="16">
        <f t="shared" ca="1" si="1"/>
        <v>24</v>
      </c>
      <c r="H15" s="51" cm="1">
        <f t="array" aca="1" ref="H15" ca="1">IF(G15=24,INDIRECT("'" &amp; "Dia " &amp; ROW()-10 &amp; "'!C47"),"-")</f>
        <v>0.6369512073775434</v>
      </c>
      <c r="I15" s="11"/>
    </row>
    <row r="16" spans="1:12" ht="18" customHeight="1" x14ac:dyDescent="0.25">
      <c r="A16" s="105" t="s">
        <v>22</v>
      </c>
      <c r="B16" s="106"/>
      <c r="C16" s="45">
        <v>46028</v>
      </c>
      <c r="D16" s="10">
        <v>0</v>
      </c>
      <c r="E16" s="45">
        <f t="shared" si="0"/>
        <v>46028</v>
      </c>
      <c r="F16" s="10">
        <v>0.95833333333333304</v>
      </c>
      <c r="G16" s="16">
        <f t="shared" ca="1" si="1"/>
        <v>24</v>
      </c>
      <c r="H16" s="51" cm="1">
        <f t="array" aca="1" ref="H16" ca="1">IF(G16=24,INDIRECT("'" &amp; "Dia " &amp; ROW()-10 &amp; "'!C47"),"-")</f>
        <v>0.64254901690877608</v>
      </c>
      <c r="I16" s="11"/>
    </row>
    <row r="17" spans="1:9" ht="18" customHeight="1" x14ac:dyDescent="0.25">
      <c r="A17" s="105" t="s">
        <v>22</v>
      </c>
      <c r="B17" s="106"/>
      <c r="C17" s="45">
        <v>46029</v>
      </c>
      <c r="D17" s="10">
        <v>0</v>
      </c>
      <c r="E17" s="45">
        <f t="shared" si="0"/>
        <v>46029</v>
      </c>
      <c r="F17" s="10">
        <v>0.95833333333333304</v>
      </c>
      <c r="G17" s="16">
        <f t="shared" ca="1" si="1"/>
        <v>24</v>
      </c>
      <c r="H17" s="51" cm="1">
        <f t="array" aca="1" ref="H17" ca="1">IF(G17=24,INDIRECT("'" &amp; "Dia " &amp; ROW()-10 &amp; "'!C47"),"-")</f>
        <v>0.65694339971932358</v>
      </c>
      <c r="I17" s="11"/>
    </row>
    <row r="18" spans="1:9" ht="18" customHeight="1" x14ac:dyDescent="0.25">
      <c r="A18" s="105" t="s">
        <v>22</v>
      </c>
      <c r="B18" s="106"/>
      <c r="C18" s="45">
        <v>46030</v>
      </c>
      <c r="D18" s="10">
        <v>0</v>
      </c>
      <c r="E18" s="45">
        <f t="shared" si="0"/>
        <v>46030</v>
      </c>
      <c r="F18" s="10">
        <v>0.95833333333333304</v>
      </c>
      <c r="G18" s="16">
        <f t="shared" ca="1" si="1"/>
        <v>24</v>
      </c>
      <c r="H18" s="51" cm="1">
        <f t="array" aca="1" ref="H18" ca="1">IF(G18=24,INDIRECT("'" &amp; "Dia " &amp; ROW()-10 &amp; "'!C47"),"-")</f>
        <v>1.0357995966150142</v>
      </c>
      <c r="I18" s="11"/>
    </row>
    <row r="19" spans="1:9" ht="18" customHeight="1" x14ac:dyDescent="0.25">
      <c r="A19" s="105" t="s">
        <v>22</v>
      </c>
      <c r="B19" s="106"/>
      <c r="C19" s="45">
        <v>46031</v>
      </c>
      <c r="D19" s="10">
        <v>0</v>
      </c>
      <c r="E19" s="45">
        <f t="shared" si="0"/>
        <v>46031</v>
      </c>
      <c r="F19" s="10">
        <v>0.95833333333333304</v>
      </c>
      <c r="G19" s="16">
        <f t="shared" ca="1" si="1"/>
        <v>24</v>
      </c>
      <c r="H19" s="51" cm="1">
        <f t="array" aca="1" ref="H19" ca="1">IF(G19=24,INDIRECT("'" &amp; "Dia " &amp; ROW()-10 &amp; "'!C47"),"-")</f>
        <v>0.62958461115937059</v>
      </c>
      <c r="I19" s="11"/>
    </row>
    <row r="20" spans="1:9" ht="18" customHeight="1" x14ac:dyDescent="0.25">
      <c r="A20" s="105" t="s">
        <v>22</v>
      </c>
      <c r="B20" s="106"/>
      <c r="C20" s="45">
        <v>46032</v>
      </c>
      <c r="D20" s="10">
        <v>0</v>
      </c>
      <c r="E20" s="45">
        <f t="shared" si="0"/>
        <v>46032</v>
      </c>
      <c r="F20" s="10">
        <v>0.95833333333333304</v>
      </c>
      <c r="G20" s="16">
        <f t="shared" ca="1" si="1"/>
        <v>24</v>
      </c>
      <c r="H20" s="51" cm="1">
        <f t="array" aca="1" ref="H20" ca="1">IF(G20=24,INDIRECT("'" &amp; "Dia " &amp; ROW()-10 &amp; "'!C47"),"-")</f>
        <v>0.66303024173055281</v>
      </c>
      <c r="I20" s="11"/>
    </row>
    <row r="21" spans="1:9" ht="18" customHeight="1" x14ac:dyDescent="0.25">
      <c r="A21" s="105" t="s">
        <v>22</v>
      </c>
      <c r="B21" s="106"/>
      <c r="C21" s="45">
        <v>46033</v>
      </c>
      <c r="D21" s="10">
        <v>0</v>
      </c>
      <c r="E21" s="45">
        <f t="shared" si="0"/>
        <v>46033</v>
      </c>
      <c r="F21" s="10">
        <v>0.95833333333333304</v>
      </c>
      <c r="G21" s="16">
        <f t="shared" ca="1" si="1"/>
        <v>24</v>
      </c>
      <c r="H21" s="51" cm="1">
        <f t="array" aca="1" ref="H21" ca="1">IF(G21=24,INDIRECT("'" &amp; "Dia " &amp; ROW()-10 &amp; "'!C47"),"-")</f>
        <v>1.4422384316889421</v>
      </c>
      <c r="I21" s="6"/>
    </row>
    <row r="22" spans="1:9" ht="18" customHeight="1" x14ac:dyDescent="0.25">
      <c r="A22" s="105" t="s">
        <v>22</v>
      </c>
      <c r="B22" s="106"/>
      <c r="C22" s="45">
        <v>46034</v>
      </c>
      <c r="D22" s="10">
        <v>0</v>
      </c>
      <c r="E22" s="45">
        <f t="shared" si="0"/>
        <v>46034</v>
      </c>
      <c r="F22" s="10">
        <v>0.95833333333333304</v>
      </c>
      <c r="G22" s="16">
        <f t="shared" ca="1" si="1"/>
        <v>24</v>
      </c>
      <c r="H22" s="51" cm="1">
        <f t="array" aca="1" ref="H22" ca="1">IF(G22=24,INDIRECT("'" &amp; "Dia " &amp; ROW()-10 &amp; "'!C47"),"-")</f>
        <v>0.35990263377349924</v>
      </c>
      <c r="I22" s="6"/>
    </row>
    <row r="23" spans="1:9" ht="18" customHeight="1" x14ac:dyDescent="0.25">
      <c r="A23" s="105" t="s">
        <v>22</v>
      </c>
      <c r="B23" s="106"/>
      <c r="C23" s="45">
        <v>46035</v>
      </c>
      <c r="D23" s="10">
        <v>0</v>
      </c>
      <c r="E23" s="45">
        <f t="shared" si="0"/>
        <v>46035</v>
      </c>
      <c r="F23" s="10">
        <v>0.95833333333333304</v>
      </c>
      <c r="G23" s="16">
        <f t="shared" ca="1" si="1"/>
        <v>24</v>
      </c>
      <c r="H23" s="51" cm="1">
        <f t="array" aca="1" ref="H23" ca="1">IF(G23=24,INDIRECT("'" &amp; "Dia " &amp; ROW()-10 &amp; "'!C47"),"-")</f>
        <v>0.63864210424841239</v>
      </c>
      <c r="I23" s="6"/>
    </row>
    <row r="24" spans="1:9" ht="18" customHeight="1" x14ac:dyDescent="0.25">
      <c r="A24" s="105" t="s">
        <v>22</v>
      </c>
      <c r="B24" s="106"/>
      <c r="C24" s="45">
        <v>46036</v>
      </c>
      <c r="D24" s="10">
        <v>0</v>
      </c>
      <c r="E24" s="45">
        <f t="shared" si="0"/>
        <v>46036</v>
      </c>
      <c r="F24" s="10">
        <v>0.95833333333333304</v>
      </c>
      <c r="G24" s="16">
        <f t="shared" ca="1" si="1"/>
        <v>24</v>
      </c>
      <c r="H24" s="51" cm="1">
        <f t="array" aca="1" ref="H24" ca="1">IF(G24=24,INDIRECT("'" &amp; "Dia " &amp; ROW()-10 &amp; "'!C47"),"-")</f>
        <v>0.48999209547010897</v>
      </c>
      <c r="I24" s="6"/>
    </row>
    <row r="25" spans="1:9" ht="18" customHeight="1" x14ac:dyDescent="0.25">
      <c r="A25" s="105" t="s">
        <v>22</v>
      </c>
      <c r="B25" s="106"/>
      <c r="C25" s="45">
        <v>46037</v>
      </c>
      <c r="D25" s="10">
        <v>0</v>
      </c>
      <c r="E25" s="45">
        <f t="shared" si="0"/>
        <v>46037</v>
      </c>
      <c r="F25" s="10">
        <v>0.95833333333333304</v>
      </c>
      <c r="G25" s="16">
        <f t="shared" ca="1" si="1"/>
        <v>24</v>
      </c>
      <c r="H25" s="51" cm="1">
        <f t="array" aca="1" ref="H25" ca="1">IF(G25=24,INDIRECT("'" &amp; "Dia " &amp; ROW()-10 &amp; "'!C47"),"-")</f>
        <v>0.73208540228028263</v>
      </c>
      <c r="I25" s="6"/>
    </row>
    <row r="26" spans="1:9" ht="18" customHeight="1" x14ac:dyDescent="0.25">
      <c r="A26" s="105" t="s">
        <v>22</v>
      </c>
      <c r="B26" s="106"/>
      <c r="C26" s="45">
        <v>46038</v>
      </c>
      <c r="D26" s="10">
        <v>0</v>
      </c>
      <c r="E26" s="45">
        <f t="shared" si="0"/>
        <v>46038</v>
      </c>
      <c r="F26" s="10">
        <v>0.95833333333333304</v>
      </c>
      <c r="G26" s="16">
        <f t="shared" ca="1" si="1"/>
        <v>24</v>
      </c>
      <c r="H26" s="51" cm="1">
        <f t="array" aca="1" ref="H26" ca="1">IF(G26=24,INDIRECT("'" &amp; "Dia " &amp; ROW()-10 &amp; "'!C47"),"-")</f>
        <v>0.53854917656580803</v>
      </c>
      <c r="I26" s="6"/>
    </row>
    <row r="27" spans="1:9" ht="18" customHeight="1" x14ac:dyDescent="0.25">
      <c r="A27" s="105" t="s">
        <v>22</v>
      </c>
      <c r="B27" s="106"/>
      <c r="C27" s="45">
        <v>46039</v>
      </c>
      <c r="D27" s="10">
        <v>0</v>
      </c>
      <c r="E27" s="45">
        <f t="shared" si="0"/>
        <v>46039</v>
      </c>
      <c r="F27" s="10">
        <v>0.95833333333333304</v>
      </c>
      <c r="G27" s="16">
        <f t="shared" ca="1" si="1"/>
        <v>24</v>
      </c>
      <c r="H27" s="51" cm="1">
        <f t="array" aca="1" ref="H27" ca="1">IF(G27=24,INDIRECT("'" &amp; "Dia " &amp; ROW()-10 &amp; "'!C47"),"-")</f>
        <v>1.4394935905037747</v>
      </c>
      <c r="I27" s="54"/>
    </row>
    <row r="28" spans="1:9" ht="18" customHeight="1" x14ac:dyDescent="0.25">
      <c r="A28" s="105" t="s">
        <v>22</v>
      </c>
      <c r="B28" s="106"/>
      <c r="C28" s="45">
        <v>46040</v>
      </c>
      <c r="D28" s="10">
        <v>0</v>
      </c>
      <c r="E28" s="45">
        <f t="shared" si="0"/>
        <v>46040</v>
      </c>
      <c r="F28" s="10">
        <v>0.95833333333333304</v>
      </c>
      <c r="G28" s="16">
        <f t="shared" ca="1" si="1"/>
        <v>24</v>
      </c>
      <c r="H28" s="51" cm="1">
        <f t="array" aca="1" ref="H28" ca="1">IF(G28=24,INDIRECT("'" &amp; "Dia " &amp; ROW()-10 &amp; "'!C47"),"-")</f>
        <v>1.3223566221832459</v>
      </c>
      <c r="I28" s="55"/>
    </row>
    <row r="29" spans="1:9" ht="18" customHeight="1" x14ac:dyDescent="0.25">
      <c r="A29" s="105" t="s">
        <v>22</v>
      </c>
      <c r="B29" s="106"/>
      <c r="C29" s="45">
        <v>46041</v>
      </c>
      <c r="D29" s="10">
        <v>0</v>
      </c>
      <c r="E29" s="45">
        <f t="shared" si="0"/>
        <v>46041</v>
      </c>
      <c r="F29" s="10">
        <v>0.95833333333333304</v>
      </c>
      <c r="G29" s="16">
        <f t="shared" ca="1" si="1"/>
        <v>24</v>
      </c>
      <c r="H29" s="51" cm="1">
        <f t="array" aca="1" ref="H29" ca="1">IF(G29=24,INDIRECT("'" &amp; "Dia " &amp; ROW()-10 &amp; "'!C47"),"-")</f>
        <v>0.67180956017678695</v>
      </c>
      <c r="I29" s="6"/>
    </row>
    <row r="30" spans="1:9" ht="18" customHeight="1" x14ac:dyDescent="0.25">
      <c r="A30" s="105" t="s">
        <v>22</v>
      </c>
      <c r="B30" s="106"/>
      <c r="C30" s="45">
        <v>46042</v>
      </c>
      <c r="D30" s="10">
        <v>0</v>
      </c>
      <c r="E30" s="45">
        <f t="shared" si="0"/>
        <v>46042</v>
      </c>
      <c r="F30" s="10">
        <v>0.95833333333333304</v>
      </c>
      <c r="G30" s="16">
        <f t="shared" ca="1" si="1"/>
        <v>24</v>
      </c>
      <c r="H30" s="51" cm="1">
        <f t="array" aca="1" ref="H30" ca="1">IF(G30=24,INDIRECT("'" &amp; "Dia " &amp; ROW()-10 &amp; "'!C47"),"-")</f>
        <v>0.49762134016579851</v>
      </c>
      <c r="I30" s="6"/>
    </row>
    <row r="31" spans="1:9" ht="18" customHeight="1" x14ac:dyDescent="0.25">
      <c r="A31" s="105" t="s">
        <v>22</v>
      </c>
      <c r="B31" s="106"/>
      <c r="C31" s="45">
        <v>46043</v>
      </c>
      <c r="D31" s="10">
        <v>0</v>
      </c>
      <c r="E31" s="45">
        <f t="shared" si="0"/>
        <v>46043</v>
      </c>
      <c r="F31" s="10">
        <v>0.95833333333333304</v>
      </c>
      <c r="G31" s="16">
        <f t="shared" ca="1" si="1"/>
        <v>24</v>
      </c>
      <c r="H31" s="51" cm="1">
        <f t="array" aca="1" ref="H31" ca="1">IF(G31=24,INDIRECT("'" &amp; "Dia " &amp; ROW()-10 &amp; "'!C47"),"-")</f>
        <v>1.3920643250744298</v>
      </c>
      <c r="I31" s="6"/>
    </row>
    <row r="32" spans="1:9" ht="18" customHeight="1" x14ac:dyDescent="0.25">
      <c r="A32" s="105" t="s">
        <v>22</v>
      </c>
      <c r="B32" s="106"/>
      <c r="C32" s="45">
        <v>46044</v>
      </c>
      <c r="D32" s="10">
        <v>0</v>
      </c>
      <c r="E32" s="45">
        <f t="shared" si="0"/>
        <v>46044</v>
      </c>
      <c r="F32" s="10">
        <v>0.95833333333333304</v>
      </c>
      <c r="G32" s="16">
        <f t="shared" ca="1" si="1"/>
        <v>24</v>
      </c>
      <c r="H32" s="51" cm="1">
        <f t="array" aca="1" ref="H32" ca="1">IF(G32=24,INDIRECT("'" &amp; "Dia " &amp; ROW()-10 &amp; "'!C47"),"-")</f>
        <v>1.3022455494316318</v>
      </c>
      <c r="I32" s="6"/>
    </row>
    <row r="33" spans="1:9" ht="18" customHeight="1" x14ac:dyDescent="0.25">
      <c r="A33" s="105" t="s">
        <v>22</v>
      </c>
      <c r="B33" s="106"/>
      <c r="C33" s="45">
        <v>46045</v>
      </c>
      <c r="D33" s="10">
        <v>0</v>
      </c>
      <c r="E33" s="45">
        <f t="shared" si="0"/>
        <v>46045</v>
      </c>
      <c r="F33" s="10">
        <v>0.95833333333333304</v>
      </c>
      <c r="G33" s="16">
        <f t="shared" ca="1" si="1"/>
        <v>24</v>
      </c>
      <c r="H33" s="51" cm="1">
        <f t="array" aca="1" ref="H33" ca="1">IF(G33=24,INDIRECT("'" &amp; "Dia " &amp; ROW()-10 &amp; "'!C47"),"-")</f>
        <v>0.36039090843701677</v>
      </c>
      <c r="I33" s="6"/>
    </row>
    <row r="34" spans="1:9" ht="18" customHeight="1" x14ac:dyDescent="0.25">
      <c r="A34" s="105" t="s">
        <v>22</v>
      </c>
      <c r="B34" s="106"/>
      <c r="C34" s="45">
        <v>46046</v>
      </c>
      <c r="D34" s="10">
        <v>0</v>
      </c>
      <c r="E34" s="45">
        <f t="shared" si="0"/>
        <v>46046</v>
      </c>
      <c r="F34" s="10">
        <v>0.95833333333333304</v>
      </c>
      <c r="G34" s="16">
        <f t="shared" ca="1" si="1"/>
        <v>24</v>
      </c>
      <c r="H34" s="51" cm="1">
        <f t="array" aca="1" ref="H34" ca="1">IF(G34=24,INDIRECT("'" &amp; "Dia " &amp; ROW()-10 &amp; "'!C47"),"-")</f>
        <v>0.43369609467486786</v>
      </c>
      <c r="I34" s="54"/>
    </row>
    <row r="35" spans="1:9" ht="18" customHeight="1" x14ac:dyDescent="0.25">
      <c r="A35" s="105" t="s">
        <v>22</v>
      </c>
      <c r="B35" s="106"/>
      <c r="C35" s="45">
        <v>46047</v>
      </c>
      <c r="D35" s="10">
        <v>0</v>
      </c>
      <c r="E35" s="45">
        <f t="shared" si="0"/>
        <v>46047</v>
      </c>
      <c r="F35" s="10">
        <v>0.95833333333333304</v>
      </c>
      <c r="G35" s="16">
        <f t="shared" ca="1" si="1"/>
        <v>24</v>
      </c>
      <c r="H35" s="51" cm="1">
        <f t="array" aca="1" ref="H35" ca="1">IF(G35=24,INDIRECT("'" &amp; "Dia " &amp; ROW()-10 &amp; "'!C47"),"-")</f>
        <v>0.45006070242753382</v>
      </c>
      <c r="I35" s="6"/>
    </row>
    <row r="36" spans="1:9" ht="18" customHeight="1" x14ac:dyDescent="0.25">
      <c r="A36" s="105" t="s">
        <v>22</v>
      </c>
      <c r="B36" s="106"/>
      <c r="C36" s="45">
        <v>46048</v>
      </c>
      <c r="D36" s="10">
        <v>0</v>
      </c>
      <c r="E36" s="45">
        <f t="shared" si="0"/>
        <v>46048</v>
      </c>
      <c r="F36" s="10">
        <v>0.95833333333333304</v>
      </c>
      <c r="G36" s="16">
        <f t="shared" ca="1" si="1"/>
        <v>24</v>
      </c>
      <c r="H36" s="51" cm="1">
        <f t="array" aca="1" ref="H36" ca="1">IF(G36=24,INDIRECT("'" &amp; "Dia " &amp; ROW()-10 &amp; "'!C47"),"-")</f>
        <v>0.29329398616207702</v>
      </c>
      <c r="I36" s="6"/>
    </row>
    <row r="37" spans="1:9" ht="18" customHeight="1" x14ac:dyDescent="0.25">
      <c r="A37" s="105" t="s">
        <v>22</v>
      </c>
      <c r="B37" s="106"/>
      <c r="C37" s="45">
        <v>46049</v>
      </c>
      <c r="D37" s="10">
        <v>0</v>
      </c>
      <c r="E37" s="45">
        <f t="shared" si="0"/>
        <v>46049</v>
      </c>
      <c r="F37" s="10">
        <v>0.95833333333333304</v>
      </c>
      <c r="G37" s="16">
        <f t="shared" ca="1" si="1"/>
        <v>24</v>
      </c>
      <c r="H37" s="51" cm="1">
        <f t="array" aca="1" ref="H37" ca="1">IF(G37=24,INDIRECT("'" &amp; "Dia " &amp; ROW()-10 &amp; "'!C47"),"-")</f>
        <v>0.34690092767703634</v>
      </c>
      <c r="I37" s="6"/>
    </row>
    <row r="38" spans="1:9" ht="18" customHeight="1" x14ac:dyDescent="0.25">
      <c r="A38" s="105" t="s">
        <v>22</v>
      </c>
      <c r="B38" s="106"/>
      <c r="C38" s="45">
        <v>46050</v>
      </c>
      <c r="D38" s="10">
        <v>0</v>
      </c>
      <c r="E38" s="45">
        <f t="shared" si="0"/>
        <v>46050</v>
      </c>
      <c r="F38" s="10">
        <v>0.95833333333333304</v>
      </c>
      <c r="G38" s="16">
        <f t="shared" ca="1" si="1"/>
        <v>24</v>
      </c>
      <c r="H38" s="51" cm="1">
        <f t="array" aca="1" ref="H38" ca="1">IF(G38=24,INDIRECT("'" &amp; "Dia " &amp; ROW()-10 &amp; "'!C47"),"-")</f>
        <v>0.66660766632037871</v>
      </c>
      <c r="I38" s="6"/>
    </row>
    <row r="39" spans="1:9" x14ac:dyDescent="0.25">
      <c r="A39" s="105" t="s">
        <v>22</v>
      </c>
      <c r="B39" s="106"/>
      <c r="C39" s="45">
        <v>46051</v>
      </c>
      <c r="D39" s="10">
        <v>0</v>
      </c>
      <c r="E39" s="45">
        <f t="shared" si="0"/>
        <v>46051</v>
      </c>
      <c r="F39" s="10">
        <v>0.95833333333333304</v>
      </c>
      <c r="G39" s="16">
        <f t="shared" ca="1" si="1"/>
        <v>24</v>
      </c>
      <c r="H39" s="51" cm="1">
        <f t="array" aca="1" ref="H39" ca="1">IF(G39=24,INDIRECT("'" &amp; "Dia " &amp; ROW()-10 &amp; "'!C47"),"-")</f>
        <v>0.51400194552160972</v>
      </c>
      <c r="I39" s="54"/>
    </row>
    <row r="40" spans="1:9" x14ac:dyDescent="0.25">
      <c r="A40" s="105" t="s">
        <v>22</v>
      </c>
      <c r="B40" s="106"/>
      <c r="C40" s="45">
        <v>46052</v>
      </c>
      <c r="D40" s="10">
        <v>0</v>
      </c>
      <c r="E40" s="45">
        <f t="shared" si="0"/>
        <v>46052</v>
      </c>
      <c r="F40" s="10">
        <v>0.95833333333333304</v>
      </c>
      <c r="G40" s="16">
        <f t="shared" ca="1" si="1"/>
        <v>24</v>
      </c>
      <c r="H40" s="51" cm="1">
        <f t="array" aca="1" ref="H40" ca="1">IF(G40=24,INDIRECT("'" &amp; "Dia " &amp; ROW()-10 &amp; "'!C47"),"-")</f>
        <v>0.45795417584504367</v>
      </c>
      <c r="I40" s="54"/>
    </row>
    <row r="41" spans="1:9" x14ac:dyDescent="0.25">
      <c r="A41" s="105" t="s">
        <v>22</v>
      </c>
      <c r="B41" s="106"/>
      <c r="C41" s="45">
        <v>46053</v>
      </c>
      <c r="D41" s="10">
        <v>0</v>
      </c>
      <c r="E41" s="45">
        <f t="shared" si="0"/>
        <v>46053</v>
      </c>
      <c r="F41" s="10">
        <v>0.95833333333333304</v>
      </c>
      <c r="G41" s="16">
        <f t="shared" ca="1" si="1"/>
        <v>24</v>
      </c>
      <c r="H41" s="51" cm="1">
        <f t="array" aca="1" ref="H41" ca="1">IF(G41=24,INDIRECT("'" &amp; "Dia " &amp; ROW()-10 &amp; "'!C47"),"-")</f>
        <v>0.99270517446309192</v>
      </c>
      <c r="I41" s="54"/>
    </row>
    <row r="42" spans="1:9" ht="25.5" customHeight="1" x14ac:dyDescent="0.25">
      <c r="A42" s="117" t="s">
        <v>23</v>
      </c>
      <c r="B42" s="122" t="s">
        <v>24</v>
      </c>
      <c r="C42" s="123"/>
      <c r="D42" s="119" t="s">
        <v>25</v>
      </c>
      <c r="E42" s="126"/>
      <c r="F42" s="127"/>
      <c r="G42" s="121" t="s">
        <v>26</v>
      </c>
      <c r="H42" s="50"/>
      <c r="I42" s="63" t="s">
        <v>27</v>
      </c>
    </row>
    <row r="43" spans="1:9" ht="15.75" thickBot="1" x14ac:dyDescent="0.3">
      <c r="A43" s="118"/>
      <c r="B43" s="124" t="s">
        <v>28</v>
      </c>
      <c r="C43" s="125"/>
      <c r="D43" s="120"/>
      <c r="E43" s="128" t="s">
        <v>29</v>
      </c>
      <c r="F43" s="129"/>
      <c r="G43" s="120"/>
      <c r="H43" s="17"/>
      <c r="I43" s="13" t="s">
        <v>30</v>
      </c>
    </row>
    <row r="44" spans="1:9" x14ac:dyDescent="0.25">
      <c r="A44" s="115" t="s">
        <v>31</v>
      </c>
      <c r="B44" s="109" t="s">
        <v>32</v>
      </c>
      <c r="C44" s="109"/>
      <c r="D44" s="109"/>
      <c r="E44" s="109"/>
      <c r="F44" s="109"/>
      <c r="G44" s="109"/>
      <c r="H44" s="110"/>
      <c r="I44" s="111"/>
    </row>
    <row r="45" spans="1:9" ht="9.75" customHeight="1" thickBot="1" x14ac:dyDescent="0.3">
      <c r="A45" s="116"/>
      <c r="B45" s="112"/>
      <c r="C45" s="112"/>
      <c r="D45" s="112"/>
      <c r="E45" s="112"/>
      <c r="F45" s="112"/>
      <c r="G45" s="112"/>
      <c r="H45" s="113"/>
      <c r="I45" s="114"/>
    </row>
    <row r="46" spans="1:9" ht="15.75" thickBot="1" x14ac:dyDescent="0.3">
      <c r="A46" s="7"/>
      <c r="B46" s="8"/>
      <c r="C46" s="8"/>
      <c r="D46" s="8"/>
      <c r="E46" s="8"/>
      <c r="F46" s="8"/>
      <c r="G46" s="8"/>
      <c r="H46" s="8"/>
      <c r="I46" s="9"/>
    </row>
  </sheetData>
  <mergeCells count="58">
    <mergeCell ref="A33:B33"/>
    <mergeCell ref="A34:B34"/>
    <mergeCell ref="A35:B35"/>
    <mergeCell ref="A40:B40"/>
    <mergeCell ref="A41:B41"/>
    <mergeCell ref="C5:I5"/>
    <mergeCell ref="B44:I45"/>
    <mergeCell ref="A44:A45"/>
    <mergeCell ref="A42:A43"/>
    <mergeCell ref="A38:B38"/>
    <mergeCell ref="A39:B39"/>
    <mergeCell ref="D42:D43"/>
    <mergeCell ref="G42:G43"/>
    <mergeCell ref="B42:C42"/>
    <mergeCell ref="B43:C43"/>
    <mergeCell ref="E42:F42"/>
    <mergeCell ref="E43:F43"/>
    <mergeCell ref="A21:B21"/>
    <mergeCell ref="A22:B22"/>
    <mergeCell ref="A23:B23"/>
    <mergeCell ref="A36:B36"/>
    <mergeCell ref="A15:B15"/>
    <mergeCell ref="A37:B37"/>
    <mergeCell ref="A16:B16"/>
    <mergeCell ref="A17:B17"/>
    <mergeCell ref="A18:B18"/>
    <mergeCell ref="A19:B19"/>
    <mergeCell ref="A20:B20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7:B7"/>
    <mergeCell ref="A11:B11"/>
    <mergeCell ref="A12:B12"/>
    <mergeCell ref="A13:B13"/>
    <mergeCell ref="A14:B14"/>
    <mergeCell ref="I1:I3"/>
    <mergeCell ref="A1:B3"/>
    <mergeCell ref="I9:I10"/>
    <mergeCell ref="C9:D9"/>
    <mergeCell ref="C6:D6"/>
    <mergeCell ref="C7:D7"/>
    <mergeCell ref="A9:B10"/>
    <mergeCell ref="E9:F9"/>
    <mergeCell ref="G9:G10"/>
    <mergeCell ref="C1:H2"/>
    <mergeCell ref="C3:H3"/>
    <mergeCell ref="H9:H10"/>
    <mergeCell ref="H6:I6"/>
    <mergeCell ref="H7:I7"/>
    <mergeCell ref="A5:B5"/>
    <mergeCell ref="A6:B6"/>
  </mergeCells>
  <pageMargins left="0.7" right="0.7" top="0.75" bottom="0.75" header="0.3" footer="0.3"/>
  <pageSetup scale="65" orientation="landscape" r:id="rId1"/>
  <headerFooter>
    <oddFooter>&amp;LPág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409B-564F-4E97-B582-C1F4F5020C07}">
  <sheetPr codeName="Hoja2"/>
  <dimension ref="A1:L50"/>
  <sheetViews>
    <sheetView showGridLines="0" view="pageBreakPreview" topLeftCell="A21" zoomScale="70" zoomScaleNormal="85" zoomScaleSheetLayoutView="70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'FOM303-32-Imprimir'!C5:C5</f>
        <v>Aerocivil</v>
      </c>
      <c r="C7" s="131"/>
      <c r="D7" s="33" t="s">
        <v>5</v>
      </c>
      <c r="E7" s="132" t="s">
        <v>6</v>
      </c>
      <c r="F7" s="132"/>
      <c r="G7" s="132"/>
    </row>
    <row r="8" spans="1:12" ht="15.75" x14ac:dyDescent="0.25">
      <c r="A8" s="33" t="s">
        <v>34</v>
      </c>
      <c r="B8" s="130" t="s">
        <v>22</v>
      </c>
      <c r="C8" s="131"/>
      <c r="D8" s="34" t="s">
        <v>10</v>
      </c>
      <c r="E8" s="132" t="s">
        <v>11</v>
      </c>
      <c r="F8" s="132"/>
      <c r="G8" s="132"/>
    </row>
    <row r="9" spans="1:12" ht="15.75" x14ac:dyDescent="0.25">
      <c r="A9" s="33" t="s">
        <v>9</v>
      </c>
      <c r="B9" s="130" cm="1">
        <f t="array" ref="B9">'FOM303-32-Imprimir'!H6:H6</f>
        <v>2077821.666</v>
      </c>
      <c r="C9" s="131"/>
      <c r="D9" s="34" t="s">
        <v>13</v>
      </c>
      <c r="E9" s="132" cm="1">
        <f t="array" ref="E9">'FOM303-32-Imprimir'!H7:H7</f>
        <v>4874451.25</v>
      </c>
      <c r="F9" s="132"/>
      <c r="G9" s="132"/>
    </row>
    <row r="10" spans="1:12" ht="15.75" x14ac:dyDescent="0.25">
      <c r="A10" s="33" t="s">
        <v>35</v>
      </c>
      <c r="B10" s="130" t="s">
        <v>36</v>
      </c>
      <c r="C10" s="131"/>
      <c r="D10" s="33" t="s">
        <v>37</v>
      </c>
      <c r="E10" s="148">
        <v>2551</v>
      </c>
      <c r="F10" s="148"/>
      <c r="G10" s="148"/>
    </row>
    <row r="11" spans="1:12" ht="15.75" x14ac:dyDescent="0.25">
      <c r="A11" s="35" t="s">
        <v>38</v>
      </c>
      <c r="B11" s="149">
        <f>'FOM303-32-Imprimir'!C11</f>
        <v>46023</v>
      </c>
      <c r="C11" s="150"/>
      <c r="D11" s="36" t="s">
        <v>39</v>
      </c>
      <c r="E11" s="151">
        <v>0</v>
      </c>
      <c r="F11" s="151"/>
      <c r="G11" s="151"/>
    </row>
    <row r="12" spans="1:12" ht="15.75" x14ac:dyDescent="0.25">
      <c r="A12" s="35" t="s">
        <v>40</v>
      </c>
      <c r="B12" s="149">
        <f>'FOM303-32-Imprimir'!E11</f>
        <v>46023</v>
      </c>
      <c r="C12" s="150"/>
      <c r="D12" s="35" t="s">
        <v>41</v>
      </c>
      <c r="E12" s="151"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21.683</v>
      </c>
      <c r="D21" s="152">
        <v>21.683</v>
      </c>
    </row>
    <row r="22" spans="2:7" ht="18.75" x14ac:dyDescent="0.25">
      <c r="B22" s="58">
        <v>1</v>
      </c>
      <c r="C22" s="152">
        <v>20.855</v>
      </c>
      <c r="D22" s="152">
        <v>20.855</v>
      </c>
    </row>
    <row r="23" spans="2:7" ht="18.75" x14ac:dyDescent="0.25">
      <c r="B23" s="58">
        <v>2</v>
      </c>
      <c r="C23" s="152">
        <v>20.029</v>
      </c>
      <c r="D23" s="152">
        <v>20.029</v>
      </c>
    </row>
    <row r="24" spans="2:7" ht="18.75" x14ac:dyDescent="0.25">
      <c r="B24" s="58">
        <v>3</v>
      </c>
      <c r="C24" s="152">
        <v>20.233000000000001</v>
      </c>
      <c r="D24" s="152">
        <v>20.233000000000001</v>
      </c>
    </row>
    <row r="25" spans="2:7" ht="18.75" x14ac:dyDescent="0.25">
      <c r="B25" s="58">
        <v>4</v>
      </c>
      <c r="C25" s="152">
        <v>20.186</v>
      </c>
      <c r="D25" s="152">
        <v>20.186</v>
      </c>
    </row>
    <row r="26" spans="2:7" ht="18.75" x14ac:dyDescent="0.25">
      <c r="B26" s="58">
        <v>5</v>
      </c>
      <c r="C26" s="152">
        <v>20.137</v>
      </c>
      <c r="D26" s="152">
        <v>20.137</v>
      </c>
    </row>
    <row r="27" spans="2:7" ht="18.75" x14ac:dyDescent="0.25">
      <c r="B27" s="58">
        <v>6</v>
      </c>
      <c r="C27" s="152">
        <v>20.045000000000002</v>
      </c>
      <c r="D27" s="152">
        <v>20.045000000000002</v>
      </c>
    </row>
    <row r="28" spans="2:7" ht="18.75" x14ac:dyDescent="0.25">
      <c r="B28" s="58">
        <v>7</v>
      </c>
      <c r="C28" s="152">
        <v>22.617999999999999</v>
      </c>
      <c r="D28" s="152">
        <v>22.617999999999999</v>
      </c>
    </row>
    <row r="29" spans="2:7" ht="18.75" x14ac:dyDescent="0.25">
      <c r="B29" s="58">
        <v>8</v>
      </c>
      <c r="C29" s="152">
        <v>21.733000000000001</v>
      </c>
      <c r="D29" s="152">
        <v>21.733000000000001</v>
      </c>
    </row>
    <row r="30" spans="2:7" ht="18.75" x14ac:dyDescent="0.25">
      <c r="B30" s="58">
        <v>9</v>
      </c>
      <c r="C30" s="152">
        <v>21.024000000000001</v>
      </c>
      <c r="D30" s="152">
        <v>21.024000000000001</v>
      </c>
    </row>
    <row r="31" spans="2:7" ht="18.75" x14ac:dyDescent="0.25">
      <c r="B31" s="58">
        <v>10</v>
      </c>
      <c r="C31" s="152">
        <v>22.887</v>
      </c>
      <c r="D31" s="152">
        <v>22.887</v>
      </c>
    </row>
    <row r="32" spans="2:7" ht="18.75" x14ac:dyDescent="0.25">
      <c r="B32" s="58">
        <v>11</v>
      </c>
      <c r="C32" s="152">
        <v>23.667000000000002</v>
      </c>
      <c r="D32" s="152">
        <v>23.667000000000002</v>
      </c>
    </row>
    <row r="33" spans="2:4" ht="18.75" x14ac:dyDescent="0.25">
      <c r="B33" s="58">
        <v>12</v>
      </c>
      <c r="C33" s="152">
        <v>22.587</v>
      </c>
      <c r="D33" s="152">
        <v>22.587</v>
      </c>
    </row>
    <row r="34" spans="2:4" ht="18.75" x14ac:dyDescent="0.25">
      <c r="B34" s="58">
        <v>13</v>
      </c>
      <c r="C34" s="152">
        <v>22.475999999999999</v>
      </c>
      <c r="D34" s="152">
        <v>22.475999999999999</v>
      </c>
    </row>
    <row r="35" spans="2:4" ht="18.75" x14ac:dyDescent="0.25">
      <c r="B35" s="58">
        <v>14</v>
      </c>
      <c r="C35" s="152">
        <v>21.994</v>
      </c>
      <c r="D35" s="152">
        <v>21.994</v>
      </c>
    </row>
    <row r="36" spans="2:4" ht="18.75" x14ac:dyDescent="0.25">
      <c r="B36" s="58">
        <v>15</v>
      </c>
      <c r="C36" s="152">
        <v>21.8</v>
      </c>
      <c r="D36" s="152">
        <v>21.8</v>
      </c>
    </row>
    <row r="37" spans="2:4" ht="18.75" x14ac:dyDescent="0.25">
      <c r="B37" s="58">
        <v>16</v>
      </c>
      <c r="C37" s="152">
        <v>21.367999999999999</v>
      </c>
      <c r="D37" s="152">
        <v>21.367999999999999</v>
      </c>
    </row>
    <row r="38" spans="2:4" ht="18.75" x14ac:dyDescent="0.25">
      <c r="B38" s="58">
        <v>17</v>
      </c>
      <c r="C38" s="152">
        <v>22.024999999999999</v>
      </c>
      <c r="D38" s="152">
        <v>22.024999999999999</v>
      </c>
    </row>
    <row r="39" spans="2:4" ht="18.75" x14ac:dyDescent="0.25">
      <c r="B39" s="58">
        <v>18</v>
      </c>
      <c r="C39" s="152">
        <v>22.091999999999999</v>
      </c>
      <c r="D39" s="152">
        <v>22.091999999999999</v>
      </c>
    </row>
    <row r="40" spans="2:4" ht="18.75" x14ac:dyDescent="0.25">
      <c r="B40" s="58">
        <v>19</v>
      </c>
      <c r="C40" s="152">
        <v>22.460999999999999</v>
      </c>
      <c r="D40" s="152">
        <v>22.460999999999999</v>
      </c>
    </row>
    <row r="41" spans="2:4" ht="18.75" x14ac:dyDescent="0.25">
      <c r="B41" s="58">
        <v>20</v>
      </c>
      <c r="C41" s="152">
        <v>22.283000000000001</v>
      </c>
      <c r="D41" s="152">
        <v>22.283000000000001</v>
      </c>
    </row>
    <row r="42" spans="2:4" ht="18.75" x14ac:dyDescent="0.25">
      <c r="B42" s="58">
        <v>21</v>
      </c>
      <c r="C42" s="152">
        <v>22.416</v>
      </c>
      <c r="D42" s="152">
        <v>22.416</v>
      </c>
    </row>
    <row r="43" spans="2:4" ht="18.75" x14ac:dyDescent="0.25">
      <c r="B43" s="58">
        <v>22</v>
      </c>
      <c r="C43" s="152">
        <v>22.303999999999998</v>
      </c>
      <c r="D43" s="152">
        <v>22.303999999999998</v>
      </c>
    </row>
    <row r="44" spans="2:4" ht="18.75" x14ac:dyDescent="0.25">
      <c r="B44" s="58">
        <v>23</v>
      </c>
      <c r="C44" s="152">
        <v>22.658999999999999</v>
      </c>
      <c r="D44" s="152">
        <v>22.658999999999999</v>
      </c>
    </row>
    <row r="45" spans="2:4" ht="18.75" x14ac:dyDescent="0.25">
      <c r="B45" s="58"/>
      <c r="C45" s="152"/>
      <c r="D45" s="152"/>
    </row>
    <row r="46" spans="2:4" ht="33.75" customHeight="1" x14ac:dyDescent="0.25">
      <c r="B46" s="59" t="s">
        <v>45</v>
      </c>
      <c r="C46" s="155">
        <f>AVERAGE(C22:C45)</f>
        <v>21.73386956521739</v>
      </c>
      <c r="D46" s="155"/>
    </row>
    <row r="47" spans="2:4" ht="31.5" x14ac:dyDescent="0.25">
      <c r="B47" s="61" t="s">
        <v>46</v>
      </c>
      <c r="C47" s="60">
        <f>_xlfn.STDEV.S(C21:C45)</f>
        <v>1.026995290197066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5864-315C-46D7-92AF-84D44DCCDBAB}">
  <sheetPr codeName="Hoja3"/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0" t="str" cm="1">
        <f t="array" ref="E7">'Dia 1'!E7:E7</f>
        <v>Bogotá</v>
      </c>
      <c r="F7" s="161"/>
      <c r="G7" s="131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0" t="str" cm="1">
        <f t="array" ref="E8">'Dia 1'!E8:E8</f>
        <v>Distrito Capital</v>
      </c>
      <c r="F8" s="161"/>
      <c r="G8" s="131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0" cm="1">
        <f t="array" ref="E9">'Dia 1'!E9:E9</f>
        <v>4874451.25</v>
      </c>
      <c r="F9" s="161"/>
      <c r="G9" s="131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0" cm="1">
        <f t="array" ref="E10">'Dia 1'!E10:E10</f>
        <v>2551</v>
      </c>
      <c r="F10" s="161"/>
      <c r="G10" s="131"/>
    </row>
    <row r="11" spans="1:12" ht="15.75" x14ac:dyDescent="0.25">
      <c r="A11" s="35" t="s">
        <v>38</v>
      </c>
      <c r="B11" s="149">
        <f>'FOM303-32-Imprimir'!C12</f>
        <v>46024</v>
      </c>
      <c r="C11" s="150"/>
      <c r="D11" s="36" t="s">
        <v>39</v>
      </c>
      <c r="E11" s="158" cm="1">
        <f t="array" ref="E11">'Dia 1'!E11:E11</f>
        <v>0</v>
      </c>
      <c r="F11" s="159"/>
      <c r="G11" s="160"/>
    </row>
    <row r="12" spans="1:12" ht="15.75" x14ac:dyDescent="0.25">
      <c r="A12" s="35" t="s">
        <v>40</v>
      </c>
      <c r="B12" s="149">
        <f>'FOM303-32-Imprimir'!E12</f>
        <v>46024</v>
      </c>
      <c r="C12" s="150"/>
      <c r="D12" s="35" t="s">
        <v>41</v>
      </c>
      <c r="E12" s="158" cm="1">
        <f t="array" ref="E12">'Dia 1'!E12:E12</f>
        <v>0.95833333333333337</v>
      </c>
      <c r="F12" s="159"/>
      <c r="G12" s="160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22.72</v>
      </c>
      <c r="D21" s="152">
        <v>22.72</v>
      </c>
    </row>
    <row r="22" spans="2:7" ht="18.75" x14ac:dyDescent="0.25">
      <c r="B22" s="58">
        <v>1</v>
      </c>
      <c r="C22" s="152">
        <v>22.581</v>
      </c>
      <c r="D22" s="152">
        <v>22.581</v>
      </c>
    </row>
    <row r="23" spans="2:7" ht="18.75" x14ac:dyDescent="0.25">
      <c r="B23" s="58">
        <v>2</v>
      </c>
      <c r="C23" s="152">
        <v>22.376000000000001</v>
      </c>
      <c r="D23" s="152">
        <v>22.376000000000001</v>
      </c>
    </row>
    <row r="24" spans="2:7" ht="18.75" x14ac:dyDescent="0.25">
      <c r="B24" s="58">
        <v>3</v>
      </c>
      <c r="C24" s="152">
        <v>21.995999999999999</v>
      </c>
      <c r="D24" s="152">
        <v>21.995999999999999</v>
      </c>
    </row>
    <row r="25" spans="2:7" ht="18.75" x14ac:dyDescent="0.25">
      <c r="B25" s="58">
        <v>4</v>
      </c>
      <c r="C25" s="152">
        <v>21.155000000000001</v>
      </c>
      <c r="D25" s="152">
        <v>21.155000000000001</v>
      </c>
    </row>
    <row r="26" spans="2:7" ht="18.75" x14ac:dyDescent="0.25">
      <c r="B26" s="58">
        <v>5</v>
      </c>
      <c r="C26" s="152">
        <v>20.635000000000002</v>
      </c>
      <c r="D26" s="152">
        <v>20.635000000000002</v>
      </c>
    </row>
    <row r="27" spans="2:7" ht="18.75" x14ac:dyDescent="0.25">
      <c r="B27" s="58">
        <v>6</v>
      </c>
      <c r="C27" s="152">
        <v>20.664999999999999</v>
      </c>
      <c r="D27" s="152">
        <v>20.664999999999999</v>
      </c>
    </row>
    <row r="28" spans="2:7" ht="18.75" x14ac:dyDescent="0.25">
      <c r="B28" s="58">
        <v>7</v>
      </c>
      <c r="C28" s="152">
        <v>22.637</v>
      </c>
      <c r="D28" s="152">
        <v>22.637</v>
      </c>
    </row>
    <row r="29" spans="2:7" ht="18.75" x14ac:dyDescent="0.25">
      <c r="B29" s="58">
        <v>8</v>
      </c>
      <c r="C29" s="152">
        <v>22.661000000000001</v>
      </c>
      <c r="D29" s="152">
        <v>22.661000000000001</v>
      </c>
    </row>
    <row r="30" spans="2:7" ht="18.75" x14ac:dyDescent="0.25">
      <c r="B30" s="58">
        <v>9</v>
      </c>
      <c r="C30" s="152">
        <v>22.617000000000001</v>
      </c>
      <c r="D30" s="152">
        <v>22.617000000000001</v>
      </c>
    </row>
    <row r="31" spans="2:7" ht="18.75" x14ac:dyDescent="0.25">
      <c r="B31" s="58">
        <v>10</v>
      </c>
      <c r="C31" s="152">
        <v>22.346</v>
      </c>
      <c r="D31" s="152">
        <v>22.346</v>
      </c>
    </row>
    <row r="32" spans="2:7" ht="18.75" x14ac:dyDescent="0.25">
      <c r="B32" s="58">
        <v>11</v>
      </c>
      <c r="C32" s="152">
        <v>22.393999999999998</v>
      </c>
      <c r="D32" s="152">
        <v>22.393999999999998</v>
      </c>
    </row>
    <row r="33" spans="2:4" ht="18.75" x14ac:dyDescent="0.25">
      <c r="B33" s="58">
        <v>12</v>
      </c>
      <c r="C33" s="152">
        <v>23.001999999999999</v>
      </c>
      <c r="D33" s="152">
        <v>23.001999999999999</v>
      </c>
    </row>
    <row r="34" spans="2:4" ht="18.75" x14ac:dyDescent="0.25">
      <c r="B34" s="58">
        <v>13</v>
      </c>
      <c r="C34" s="152">
        <v>22.79</v>
      </c>
      <c r="D34" s="152">
        <v>22.79</v>
      </c>
    </row>
    <row r="35" spans="2:4" ht="18.75" x14ac:dyDescent="0.25">
      <c r="B35" s="58">
        <v>14</v>
      </c>
      <c r="C35" s="152">
        <v>21.776</v>
      </c>
      <c r="D35" s="152">
        <v>21.776</v>
      </c>
    </row>
    <row r="36" spans="2:4" ht="18.75" x14ac:dyDescent="0.25">
      <c r="B36" s="58">
        <v>15</v>
      </c>
      <c r="C36" s="152">
        <v>21.614999999999998</v>
      </c>
      <c r="D36" s="152">
        <v>21.614999999999998</v>
      </c>
    </row>
    <row r="37" spans="2:4" ht="18.75" x14ac:dyDescent="0.25">
      <c r="B37" s="58">
        <v>16</v>
      </c>
      <c r="C37" s="152">
        <v>22.161000000000001</v>
      </c>
      <c r="D37" s="152">
        <v>22.161000000000001</v>
      </c>
    </row>
    <row r="38" spans="2:4" ht="18.75" x14ac:dyDescent="0.25">
      <c r="B38" s="58">
        <v>17</v>
      </c>
      <c r="C38" s="152">
        <v>22.725999999999999</v>
      </c>
      <c r="D38" s="152">
        <v>22.725999999999999</v>
      </c>
    </row>
    <row r="39" spans="2:4" ht="18.75" x14ac:dyDescent="0.25">
      <c r="B39" s="58">
        <v>18</v>
      </c>
      <c r="C39" s="152">
        <v>22.789000000000001</v>
      </c>
      <c r="D39" s="152">
        <v>22.789000000000001</v>
      </c>
    </row>
    <row r="40" spans="2:4" ht="18.75" x14ac:dyDescent="0.25">
      <c r="B40" s="58">
        <v>19</v>
      </c>
      <c r="C40" s="152">
        <v>22.960999999999999</v>
      </c>
      <c r="D40" s="152">
        <v>22.960999999999999</v>
      </c>
    </row>
    <row r="41" spans="2:4" ht="18.75" x14ac:dyDescent="0.25">
      <c r="B41" s="58">
        <v>20</v>
      </c>
      <c r="C41" s="152">
        <v>23.199000000000002</v>
      </c>
      <c r="D41" s="152">
        <v>23.199000000000002</v>
      </c>
    </row>
    <row r="42" spans="2:4" ht="18.75" x14ac:dyDescent="0.25">
      <c r="B42" s="58">
        <v>21</v>
      </c>
      <c r="C42" s="152">
        <v>23.15</v>
      </c>
      <c r="D42" s="152">
        <v>23.15</v>
      </c>
    </row>
    <row r="43" spans="2:4" ht="18.75" x14ac:dyDescent="0.25">
      <c r="B43" s="58">
        <v>22</v>
      </c>
      <c r="C43" s="152">
        <v>23.167999999999999</v>
      </c>
      <c r="D43" s="152">
        <v>23.167999999999999</v>
      </c>
    </row>
    <row r="44" spans="2:4" ht="18.75" x14ac:dyDescent="0.25">
      <c r="B44" s="58">
        <v>23</v>
      </c>
      <c r="C44" s="152">
        <v>22.713999999999999</v>
      </c>
      <c r="D44" s="152">
        <v>22.713999999999999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22.352782608695655</v>
      </c>
      <c r="D46" s="155"/>
    </row>
    <row r="47" spans="2:4" ht="31.5" x14ac:dyDescent="0.25">
      <c r="B47" s="61" t="s">
        <v>46</v>
      </c>
      <c r="C47" s="60">
        <f>_xlfn.STDEV.S(C21:C45)</f>
        <v>0.72720955156272382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A50:E50"/>
    <mergeCell ref="C21:D21"/>
    <mergeCell ref="C22:D22"/>
    <mergeCell ref="C23:D23"/>
    <mergeCell ref="C24:D24"/>
    <mergeCell ref="C25:D25"/>
    <mergeCell ref="C36:D36"/>
    <mergeCell ref="C37:D37"/>
    <mergeCell ref="C26:D26"/>
    <mergeCell ref="C27:D27"/>
    <mergeCell ref="C28:D28"/>
    <mergeCell ref="C29:D29"/>
    <mergeCell ref="C44:D44"/>
    <mergeCell ref="C45:D45"/>
    <mergeCell ref="C46:D46"/>
    <mergeCell ref="C41:D41"/>
    <mergeCell ref="C42:D42"/>
    <mergeCell ref="C43:D43"/>
    <mergeCell ref="C17:D20"/>
    <mergeCell ref="C48:D48"/>
    <mergeCell ref="B15:D15"/>
    <mergeCell ref="C30:D30"/>
    <mergeCell ref="C31:D31"/>
    <mergeCell ref="B17:B20"/>
    <mergeCell ref="C40:D40"/>
    <mergeCell ref="C38:D38"/>
    <mergeCell ref="C39:D39"/>
    <mergeCell ref="C32:D32"/>
    <mergeCell ref="C33:D33"/>
    <mergeCell ref="C34:D34"/>
    <mergeCell ref="C35:D35"/>
    <mergeCell ref="B1:E1"/>
    <mergeCell ref="B2:E3"/>
    <mergeCell ref="E8:G8"/>
    <mergeCell ref="E9:G9"/>
    <mergeCell ref="E10:G10"/>
    <mergeCell ref="F1:G3"/>
    <mergeCell ref="E7:G7"/>
    <mergeCell ref="B7:C7"/>
    <mergeCell ref="B8:C8"/>
    <mergeCell ref="E11:G11"/>
    <mergeCell ref="E12:G12"/>
    <mergeCell ref="B9:C9"/>
    <mergeCell ref="B10:C10"/>
    <mergeCell ref="B11:C11"/>
    <mergeCell ref="B12:C12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CCD2-CE7F-467F-8968-6E3899599C45}">
  <sheetPr codeName="Hoja4"/>
  <dimension ref="A1:L50"/>
  <sheetViews>
    <sheetView showGridLines="0" view="pageBreakPreview" topLeftCell="A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0" t="str" cm="1">
        <f t="array" ref="E7">'Dia 1'!E7:E7</f>
        <v>Bogotá</v>
      </c>
      <c r="F7" s="161"/>
      <c r="G7" s="131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0" t="str" cm="1">
        <f t="array" ref="E8">'Dia 1'!E8:E8</f>
        <v>Distrito Capital</v>
      </c>
      <c r="F8" s="161"/>
      <c r="G8" s="131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0" cm="1">
        <f t="array" ref="E9">'Dia 1'!E9:E9</f>
        <v>4874451.25</v>
      </c>
      <c r="F9" s="161"/>
      <c r="G9" s="131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0" cm="1">
        <f t="array" ref="E10">'Dia 1'!E10:E10</f>
        <v>2551</v>
      </c>
      <c r="F10" s="161"/>
      <c r="G10" s="131"/>
    </row>
    <row r="11" spans="1:12" ht="15.75" x14ac:dyDescent="0.25">
      <c r="A11" s="35" t="s">
        <v>38</v>
      </c>
      <c r="B11" s="149">
        <f>'FOM303-32-Imprimir'!C13</f>
        <v>46025</v>
      </c>
      <c r="C11" s="150"/>
      <c r="D11" s="36" t="s">
        <v>39</v>
      </c>
      <c r="E11" s="158" cm="1">
        <f t="array" ref="E11">'Dia 1'!E11:E11</f>
        <v>0</v>
      </c>
      <c r="F11" s="159"/>
      <c r="G11" s="160"/>
    </row>
    <row r="12" spans="1:12" ht="15.75" x14ac:dyDescent="0.25">
      <c r="A12" s="35" t="s">
        <v>40</v>
      </c>
      <c r="B12" s="149">
        <f>'FOM303-32-Imprimir'!E13</f>
        <v>46025</v>
      </c>
      <c r="C12" s="150"/>
      <c r="D12" s="35" t="s">
        <v>41</v>
      </c>
      <c r="E12" s="158" cm="1">
        <f t="array" ref="E12">'Dia 1'!E12:E12</f>
        <v>0.95833333333333337</v>
      </c>
      <c r="F12" s="159"/>
      <c r="G12" s="160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23.105</v>
      </c>
      <c r="D21" s="152">
        <v>23.105</v>
      </c>
    </row>
    <row r="22" spans="2:7" ht="18.75" x14ac:dyDescent="0.25">
      <c r="B22" s="58">
        <v>1</v>
      </c>
      <c r="C22" s="152">
        <v>22.376999999999999</v>
      </c>
      <c r="D22" s="152">
        <v>22.376999999999999</v>
      </c>
    </row>
    <row r="23" spans="2:7" ht="18.75" x14ac:dyDescent="0.25">
      <c r="B23" s="58">
        <v>2</v>
      </c>
      <c r="C23" s="152">
        <v>22.343</v>
      </c>
      <c r="D23" s="152">
        <v>22.343</v>
      </c>
    </row>
    <row r="24" spans="2:7" ht="18.75" x14ac:dyDescent="0.25">
      <c r="B24" s="58">
        <v>3</v>
      </c>
      <c r="C24" s="152">
        <v>22.613</v>
      </c>
      <c r="D24" s="152">
        <v>22.613</v>
      </c>
    </row>
    <row r="25" spans="2:7" ht="18.75" x14ac:dyDescent="0.25">
      <c r="B25" s="58">
        <v>4</v>
      </c>
      <c r="C25" s="152">
        <v>23.175999999999998</v>
      </c>
      <c r="D25" s="152">
        <v>23.175999999999998</v>
      </c>
    </row>
    <row r="26" spans="2:7" ht="18.75" x14ac:dyDescent="0.25">
      <c r="B26" s="58">
        <v>5</v>
      </c>
      <c r="C26" s="152">
        <v>22.844000000000001</v>
      </c>
      <c r="D26" s="152">
        <v>22.844000000000001</v>
      </c>
    </row>
    <row r="27" spans="2:7" ht="18.75" x14ac:dyDescent="0.25">
      <c r="B27" s="58">
        <v>6</v>
      </c>
      <c r="C27" s="152">
        <v>22.888999999999999</v>
      </c>
      <c r="D27" s="152">
        <v>22.888999999999999</v>
      </c>
    </row>
    <row r="28" spans="2:7" ht="18.75" x14ac:dyDescent="0.25">
      <c r="B28" s="58">
        <v>7</v>
      </c>
      <c r="C28" s="152">
        <v>21.861000000000001</v>
      </c>
      <c r="D28" s="152">
        <v>21.861000000000001</v>
      </c>
    </row>
    <row r="29" spans="2:7" ht="18.75" x14ac:dyDescent="0.25">
      <c r="B29" s="58">
        <v>8</v>
      </c>
      <c r="C29" s="152">
        <v>21.942</v>
      </c>
      <c r="D29" s="152">
        <v>21.942</v>
      </c>
    </row>
    <row r="30" spans="2:7" ht="18.75" x14ac:dyDescent="0.25">
      <c r="B30" s="58">
        <v>9</v>
      </c>
      <c r="C30" s="152">
        <v>21.463000000000001</v>
      </c>
      <c r="D30" s="152">
        <v>21.463000000000001</v>
      </c>
    </row>
    <row r="31" spans="2:7" ht="18.75" x14ac:dyDescent="0.25">
      <c r="B31" s="58">
        <v>10</v>
      </c>
      <c r="C31" s="152">
        <v>21.681000000000001</v>
      </c>
      <c r="D31" s="152">
        <v>21.681000000000001</v>
      </c>
    </row>
    <row r="32" spans="2:7" ht="18.75" x14ac:dyDescent="0.25">
      <c r="B32" s="58">
        <v>11</v>
      </c>
      <c r="C32" s="152">
        <v>21.366</v>
      </c>
      <c r="D32" s="152">
        <v>21.366</v>
      </c>
    </row>
    <row r="33" spans="2:4" ht="18.75" x14ac:dyDescent="0.25">
      <c r="B33" s="58">
        <v>12</v>
      </c>
      <c r="C33" s="152">
        <v>22.152000000000001</v>
      </c>
      <c r="D33" s="152">
        <v>22.152000000000001</v>
      </c>
    </row>
    <row r="34" spans="2:4" ht="18.75" x14ac:dyDescent="0.25">
      <c r="B34" s="58">
        <v>13</v>
      </c>
      <c r="C34" s="152">
        <v>22.178999999999998</v>
      </c>
      <c r="D34" s="152">
        <v>22.178999999999998</v>
      </c>
    </row>
    <row r="35" spans="2:4" ht="18.75" x14ac:dyDescent="0.25">
      <c r="B35" s="58">
        <v>14</v>
      </c>
      <c r="C35" s="152">
        <v>21.82</v>
      </c>
      <c r="D35" s="152">
        <v>21.82</v>
      </c>
    </row>
    <row r="36" spans="2:4" ht="18.75" x14ac:dyDescent="0.25">
      <c r="B36" s="58">
        <v>15</v>
      </c>
      <c r="C36" s="152">
        <v>21.503</v>
      </c>
      <c r="D36" s="152">
        <v>21.503</v>
      </c>
    </row>
    <row r="37" spans="2:4" ht="18.75" x14ac:dyDescent="0.25">
      <c r="B37" s="58">
        <v>16</v>
      </c>
      <c r="C37" s="152">
        <v>22.338999999999999</v>
      </c>
      <c r="D37" s="152">
        <v>22.338999999999999</v>
      </c>
    </row>
    <row r="38" spans="2:4" ht="18.75" x14ac:dyDescent="0.25">
      <c r="B38" s="58">
        <v>17</v>
      </c>
      <c r="C38" s="152">
        <v>22.251999999999999</v>
      </c>
      <c r="D38" s="152">
        <v>22.251999999999999</v>
      </c>
    </row>
    <row r="39" spans="2:4" ht="18.75" x14ac:dyDescent="0.25">
      <c r="B39" s="58">
        <v>18</v>
      </c>
      <c r="C39" s="152">
        <v>22.241</v>
      </c>
      <c r="D39" s="152">
        <v>22.241</v>
      </c>
    </row>
    <row r="40" spans="2:4" ht="18.75" x14ac:dyDescent="0.25">
      <c r="B40" s="58">
        <v>19</v>
      </c>
      <c r="C40" s="152">
        <v>22.085000000000001</v>
      </c>
      <c r="D40" s="152">
        <v>22.085000000000001</v>
      </c>
    </row>
    <row r="41" spans="2:4" ht="18.75" x14ac:dyDescent="0.25">
      <c r="B41" s="58">
        <v>20</v>
      </c>
      <c r="C41" s="152">
        <v>22.27</v>
      </c>
      <c r="D41" s="152">
        <v>22.27</v>
      </c>
    </row>
    <row r="42" spans="2:4" ht="18.75" x14ac:dyDescent="0.25">
      <c r="B42" s="58">
        <v>21</v>
      </c>
      <c r="C42" s="152">
        <v>21.966999999999999</v>
      </c>
      <c r="D42" s="152">
        <v>21.966999999999999</v>
      </c>
    </row>
    <row r="43" spans="2:4" ht="18.75" x14ac:dyDescent="0.25">
      <c r="B43" s="58">
        <v>22</v>
      </c>
      <c r="C43" s="152">
        <v>22.135000000000002</v>
      </c>
      <c r="D43" s="152">
        <v>22.135000000000002</v>
      </c>
    </row>
    <row r="44" spans="2:4" ht="18.75" x14ac:dyDescent="0.25">
      <c r="B44" s="58">
        <v>23</v>
      </c>
      <c r="C44" s="152">
        <v>22.210999999999999</v>
      </c>
      <c r="D44" s="152">
        <v>22.210999999999999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22.161260869565211</v>
      </c>
      <c r="D46" s="155"/>
    </row>
    <row r="47" spans="2:4" ht="31.5" x14ac:dyDescent="0.25">
      <c r="B47" s="61" t="s">
        <v>46</v>
      </c>
      <c r="C47" s="60">
        <f>_xlfn.STDEV.S(C21:C45)</f>
        <v>0.48032542561554387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389-B3D8-4FA3-96D7-53ACA11B7924}">
  <sheetPr codeName="Hoja5"/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0" t="str" cm="1">
        <f t="array" ref="E7">'Dia 1'!E7:E7</f>
        <v>Bogotá</v>
      </c>
      <c r="F7" s="161"/>
      <c r="G7" s="131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0" t="str" cm="1">
        <f t="array" ref="E8">'Dia 1'!E8:E8</f>
        <v>Distrito Capital</v>
      </c>
      <c r="F8" s="161"/>
      <c r="G8" s="131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0" cm="1">
        <f t="array" ref="E9">'Dia 1'!E9:E9</f>
        <v>4874451.25</v>
      </c>
      <c r="F9" s="161"/>
      <c r="G9" s="131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0" cm="1">
        <f t="array" ref="E10">'Dia 1'!E10:E10</f>
        <v>2551</v>
      </c>
      <c r="F10" s="161"/>
      <c r="G10" s="131"/>
    </row>
    <row r="11" spans="1:12" ht="15.75" x14ac:dyDescent="0.25">
      <c r="A11" s="35" t="s">
        <v>38</v>
      </c>
      <c r="B11" s="149">
        <f>'FOM303-32-Imprimir'!C14</f>
        <v>46026</v>
      </c>
      <c r="C11" s="150"/>
      <c r="D11" s="36" t="s">
        <v>39</v>
      </c>
      <c r="E11" s="158" cm="1">
        <f t="array" ref="E11">'Dia 1'!E11:E11</f>
        <v>0</v>
      </c>
      <c r="F11" s="159"/>
      <c r="G11" s="160"/>
    </row>
    <row r="12" spans="1:12" ht="15.75" x14ac:dyDescent="0.25">
      <c r="A12" s="35" t="s">
        <v>40</v>
      </c>
      <c r="B12" s="149">
        <f>'FOM303-32-Imprimir'!E14</f>
        <v>46026</v>
      </c>
      <c r="C12" s="150"/>
      <c r="D12" s="35" t="s">
        <v>41</v>
      </c>
      <c r="E12" s="158" cm="1">
        <f t="array" ref="E12">'Dia 1'!E12:E12</f>
        <v>0.95833333333333337</v>
      </c>
      <c r="F12" s="159"/>
      <c r="G12" s="160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22.983000000000001</v>
      </c>
      <c r="D21" s="152">
        <v>22.983000000000001</v>
      </c>
    </row>
    <row r="22" spans="2:7" ht="18.75" x14ac:dyDescent="0.25">
      <c r="B22" s="58">
        <v>1</v>
      </c>
      <c r="C22" s="152">
        <v>22.327999999999999</v>
      </c>
      <c r="D22" s="152">
        <v>22.327999999999999</v>
      </c>
    </row>
    <row r="23" spans="2:7" ht="18.75" x14ac:dyDescent="0.25">
      <c r="B23" s="58">
        <v>2</v>
      </c>
      <c r="C23" s="152">
        <v>22.474</v>
      </c>
      <c r="D23" s="152">
        <v>22.474</v>
      </c>
    </row>
    <row r="24" spans="2:7" ht="18.75" x14ac:dyDescent="0.25">
      <c r="B24" s="58">
        <v>3</v>
      </c>
      <c r="C24" s="152">
        <v>22.628</v>
      </c>
      <c r="D24" s="152">
        <v>22.628</v>
      </c>
    </row>
    <row r="25" spans="2:7" ht="18.75" x14ac:dyDescent="0.25">
      <c r="B25" s="58">
        <v>4</v>
      </c>
      <c r="C25" s="152">
        <v>22.404</v>
      </c>
      <c r="D25" s="152">
        <v>22.404</v>
      </c>
    </row>
    <row r="26" spans="2:7" ht="18.75" x14ac:dyDescent="0.25">
      <c r="B26" s="58">
        <v>5</v>
      </c>
      <c r="C26" s="152">
        <v>22.984999999999999</v>
      </c>
      <c r="D26" s="152">
        <v>22.984999999999999</v>
      </c>
    </row>
    <row r="27" spans="2:7" ht="18.75" x14ac:dyDescent="0.25">
      <c r="B27" s="58">
        <v>6</v>
      </c>
      <c r="C27" s="152">
        <v>23.260999999999999</v>
      </c>
      <c r="D27" s="152">
        <v>23.260999999999999</v>
      </c>
    </row>
    <row r="28" spans="2:7" ht="18.75" x14ac:dyDescent="0.25">
      <c r="B28" s="58">
        <v>7</v>
      </c>
      <c r="C28" s="152">
        <v>22.306999999999999</v>
      </c>
      <c r="D28" s="152">
        <v>22.306999999999999</v>
      </c>
    </row>
    <row r="29" spans="2:7" ht="18.75" x14ac:dyDescent="0.25">
      <c r="B29" s="58">
        <v>8</v>
      </c>
      <c r="C29" s="152">
        <v>21.210999999999999</v>
      </c>
      <c r="D29" s="152">
        <v>21.210999999999999</v>
      </c>
    </row>
    <row r="30" spans="2:7" ht="18.75" x14ac:dyDescent="0.25">
      <c r="B30" s="58">
        <v>9</v>
      </c>
      <c r="C30" s="152">
        <v>22.286999999999999</v>
      </c>
      <c r="D30" s="152">
        <v>22.286999999999999</v>
      </c>
    </row>
    <row r="31" spans="2:7" ht="18.75" x14ac:dyDescent="0.25">
      <c r="B31" s="58">
        <v>10</v>
      </c>
      <c r="C31" s="152">
        <v>21.835000000000001</v>
      </c>
      <c r="D31" s="152">
        <v>21.835000000000001</v>
      </c>
    </row>
    <row r="32" spans="2:7" ht="18.75" x14ac:dyDescent="0.25">
      <c r="B32" s="58">
        <v>11</v>
      </c>
      <c r="C32" s="152">
        <v>21.952999999999999</v>
      </c>
      <c r="D32" s="152">
        <v>21.952999999999999</v>
      </c>
    </row>
    <row r="33" spans="2:4" ht="18.75" x14ac:dyDescent="0.25">
      <c r="B33" s="58">
        <v>12</v>
      </c>
      <c r="C33" s="152">
        <v>21.248000000000001</v>
      </c>
      <c r="D33" s="152">
        <v>21.248000000000001</v>
      </c>
    </row>
    <row r="34" spans="2:4" ht="18.75" x14ac:dyDescent="0.25">
      <c r="B34" s="58">
        <v>13</v>
      </c>
      <c r="C34" s="152">
        <v>21.363</v>
      </c>
      <c r="D34" s="152">
        <v>21.363</v>
      </c>
    </row>
    <row r="35" spans="2:4" ht="18.75" x14ac:dyDescent="0.25">
      <c r="B35" s="58">
        <v>14</v>
      </c>
      <c r="C35" s="152">
        <v>21.75</v>
      </c>
      <c r="D35" s="152">
        <v>21.75</v>
      </c>
    </row>
    <row r="36" spans="2:4" ht="18.75" x14ac:dyDescent="0.25">
      <c r="B36" s="58">
        <v>15</v>
      </c>
      <c r="C36" s="152">
        <v>21.446000000000002</v>
      </c>
      <c r="D36" s="152">
        <v>21.446000000000002</v>
      </c>
    </row>
    <row r="37" spans="2:4" ht="18.75" x14ac:dyDescent="0.25">
      <c r="B37" s="58">
        <v>16</v>
      </c>
      <c r="C37" s="152">
        <v>21.709</v>
      </c>
      <c r="D37" s="152">
        <v>21.709</v>
      </c>
    </row>
    <row r="38" spans="2:4" ht="18.75" x14ac:dyDescent="0.25">
      <c r="B38" s="58">
        <v>17</v>
      </c>
      <c r="C38" s="152">
        <v>22.332999999999998</v>
      </c>
      <c r="D38" s="152">
        <v>22.332999999999998</v>
      </c>
    </row>
    <row r="39" spans="2:4" ht="18.75" x14ac:dyDescent="0.25">
      <c r="B39" s="58">
        <v>18</v>
      </c>
      <c r="C39" s="152">
        <v>22.763000000000002</v>
      </c>
      <c r="D39" s="152">
        <v>22.763000000000002</v>
      </c>
    </row>
    <row r="40" spans="2:4" ht="18.75" x14ac:dyDescent="0.25">
      <c r="B40" s="58">
        <v>19</v>
      </c>
      <c r="C40" s="152">
        <v>22.602</v>
      </c>
      <c r="D40" s="152">
        <v>22.602</v>
      </c>
    </row>
    <row r="41" spans="2:4" ht="18.75" x14ac:dyDescent="0.25">
      <c r="B41" s="58">
        <v>20</v>
      </c>
      <c r="C41" s="152">
        <v>22.3</v>
      </c>
      <c r="D41" s="152">
        <v>22.3</v>
      </c>
    </row>
    <row r="42" spans="2:4" ht="18.75" x14ac:dyDescent="0.25">
      <c r="B42" s="58">
        <v>21</v>
      </c>
      <c r="C42" s="152">
        <v>22.321999999999999</v>
      </c>
      <c r="D42" s="152">
        <v>22.321999999999999</v>
      </c>
    </row>
    <row r="43" spans="2:4" ht="18.75" x14ac:dyDescent="0.25">
      <c r="B43" s="58">
        <v>22</v>
      </c>
      <c r="C43" s="152">
        <v>22.024999999999999</v>
      </c>
      <c r="D43" s="152">
        <v>22.024999999999999</v>
      </c>
    </row>
    <row r="44" spans="2:4" ht="18.75" x14ac:dyDescent="0.25">
      <c r="B44" s="58">
        <v>23</v>
      </c>
      <c r="C44" s="152">
        <v>22.035</v>
      </c>
      <c r="D44" s="152">
        <v>22.035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22.15517391304348</v>
      </c>
      <c r="D46" s="155"/>
    </row>
    <row r="47" spans="2:4" ht="31.5" x14ac:dyDescent="0.25">
      <c r="B47" s="61" t="s">
        <v>46</v>
      </c>
      <c r="C47" s="60">
        <f>_xlfn.STDEV.S(C21:C45)</f>
        <v>0.5539608891128206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4668-E577-4958-BC9B-E3AE9481992F}">
  <sheetPr codeName="Hoja6"/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0" t="str" cm="1">
        <f t="array" ref="E7">'Dia 1'!E7:E7</f>
        <v>Bogotá</v>
      </c>
      <c r="F7" s="161"/>
      <c r="G7" s="131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0" t="str" cm="1">
        <f t="array" ref="E8">'Dia 1'!E8:E8</f>
        <v>Distrito Capital</v>
      </c>
      <c r="F8" s="161"/>
      <c r="G8" s="131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0" cm="1">
        <f t="array" ref="E9">'Dia 1'!E9:E9</f>
        <v>4874451.25</v>
      </c>
      <c r="F9" s="161"/>
      <c r="G9" s="131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0" cm="1">
        <f t="array" ref="E10">'Dia 1'!E10:E10</f>
        <v>2551</v>
      </c>
      <c r="F10" s="161"/>
      <c r="G10" s="131"/>
    </row>
    <row r="11" spans="1:12" ht="15.75" x14ac:dyDescent="0.25">
      <c r="A11" s="35" t="s">
        <v>38</v>
      </c>
      <c r="B11" s="149">
        <f>'FOM303-32-Imprimir'!C15</f>
        <v>46027</v>
      </c>
      <c r="C11" s="150"/>
      <c r="D11" s="36" t="s">
        <v>39</v>
      </c>
      <c r="E11" s="158" cm="1">
        <f t="array" ref="E11">'Dia 1'!E11:E11</f>
        <v>0</v>
      </c>
      <c r="F11" s="159"/>
      <c r="G11" s="160"/>
    </row>
    <row r="12" spans="1:12" ht="15.75" x14ac:dyDescent="0.25">
      <c r="A12" s="35" t="s">
        <v>40</v>
      </c>
      <c r="B12" s="149">
        <f>'FOM303-32-Imprimir'!E15</f>
        <v>46027</v>
      </c>
      <c r="C12" s="150"/>
      <c r="D12" s="35" t="s">
        <v>41</v>
      </c>
      <c r="E12" s="158" cm="1">
        <f t="array" ref="E12">'Dia 1'!E12:E12</f>
        <v>0.95833333333333337</v>
      </c>
      <c r="F12" s="159"/>
      <c r="G12" s="160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22.061</v>
      </c>
      <c r="D21" s="152">
        <v>22.061</v>
      </c>
    </row>
    <row r="22" spans="2:7" ht="18.75" x14ac:dyDescent="0.25">
      <c r="B22" s="58">
        <v>1</v>
      </c>
      <c r="C22" s="152">
        <v>21.972000000000001</v>
      </c>
      <c r="D22" s="152">
        <v>21.972000000000001</v>
      </c>
    </row>
    <row r="23" spans="2:7" ht="18.75" x14ac:dyDescent="0.25">
      <c r="B23" s="58">
        <v>2</v>
      </c>
      <c r="C23" s="152">
        <v>21.922000000000001</v>
      </c>
      <c r="D23" s="152">
        <v>21.922000000000001</v>
      </c>
    </row>
    <row r="24" spans="2:7" ht="18.75" x14ac:dyDescent="0.25">
      <c r="B24" s="58">
        <v>3</v>
      </c>
      <c r="C24" s="152">
        <v>21.960999999999999</v>
      </c>
      <c r="D24" s="152">
        <v>21.960999999999999</v>
      </c>
    </row>
    <row r="25" spans="2:7" ht="18.75" x14ac:dyDescent="0.25">
      <c r="B25" s="58">
        <v>4</v>
      </c>
      <c r="C25" s="152">
        <v>21.925999999999998</v>
      </c>
      <c r="D25" s="152">
        <v>21.925999999999998</v>
      </c>
    </row>
    <row r="26" spans="2:7" ht="18.75" x14ac:dyDescent="0.25">
      <c r="B26" s="58">
        <v>5</v>
      </c>
      <c r="C26" s="152">
        <v>22.468</v>
      </c>
      <c r="D26" s="152">
        <v>22.468</v>
      </c>
    </row>
    <row r="27" spans="2:7" ht="18.75" x14ac:dyDescent="0.25">
      <c r="B27" s="58">
        <v>6</v>
      </c>
      <c r="C27" s="152">
        <v>22.626000000000001</v>
      </c>
      <c r="D27" s="152">
        <v>22.626000000000001</v>
      </c>
    </row>
    <row r="28" spans="2:7" ht="18.75" x14ac:dyDescent="0.25">
      <c r="B28" s="58">
        <v>7</v>
      </c>
      <c r="C28" s="152">
        <v>22.074000000000002</v>
      </c>
      <c r="D28" s="152">
        <v>22.074000000000002</v>
      </c>
    </row>
    <row r="29" spans="2:7" ht="18.75" x14ac:dyDescent="0.25">
      <c r="B29" s="58">
        <v>8</v>
      </c>
      <c r="C29" s="152">
        <v>21.055</v>
      </c>
      <c r="D29" s="152">
        <v>21.055</v>
      </c>
    </row>
    <row r="30" spans="2:7" ht="18.75" x14ac:dyDescent="0.25">
      <c r="B30" s="58">
        <v>9</v>
      </c>
      <c r="C30" s="152">
        <v>21.033000000000001</v>
      </c>
      <c r="D30" s="152">
        <v>21.033000000000001</v>
      </c>
    </row>
    <row r="31" spans="2:7" ht="18.75" x14ac:dyDescent="0.25">
      <c r="B31" s="58">
        <v>10</v>
      </c>
      <c r="C31" s="152">
        <v>21.555</v>
      </c>
      <c r="D31" s="152">
        <v>21.555</v>
      </c>
    </row>
    <row r="32" spans="2:7" ht="18.75" x14ac:dyDescent="0.25">
      <c r="B32" s="58">
        <v>11</v>
      </c>
      <c r="C32" s="152">
        <v>21.759</v>
      </c>
      <c r="D32" s="152">
        <v>21.759</v>
      </c>
    </row>
    <row r="33" spans="2:4" ht="18.75" x14ac:dyDescent="0.25">
      <c r="B33" s="58">
        <v>12</v>
      </c>
      <c r="C33" s="152">
        <v>21.416</v>
      </c>
      <c r="D33" s="152">
        <v>21.416</v>
      </c>
    </row>
    <row r="34" spans="2:4" ht="18.75" x14ac:dyDescent="0.25">
      <c r="B34" s="58">
        <v>13</v>
      </c>
      <c r="C34" s="152">
        <v>22.37</v>
      </c>
      <c r="D34" s="152">
        <v>22.37</v>
      </c>
    </row>
    <row r="35" spans="2:4" ht="18.75" x14ac:dyDescent="0.25">
      <c r="B35" s="58">
        <v>14</v>
      </c>
      <c r="C35" s="152">
        <v>23.863</v>
      </c>
      <c r="D35" s="152">
        <v>23.863</v>
      </c>
    </row>
    <row r="36" spans="2:4" ht="18.75" x14ac:dyDescent="0.25">
      <c r="B36" s="58">
        <v>15</v>
      </c>
      <c r="C36" s="152">
        <v>21.765999999999998</v>
      </c>
      <c r="D36" s="152">
        <v>21.765999999999998</v>
      </c>
    </row>
    <row r="37" spans="2:4" ht="18.75" x14ac:dyDescent="0.25">
      <c r="B37" s="58">
        <v>16</v>
      </c>
      <c r="C37" s="152">
        <v>22.456</v>
      </c>
      <c r="D37" s="152">
        <v>22.456</v>
      </c>
    </row>
    <row r="38" spans="2:4" ht="18.75" x14ac:dyDescent="0.25">
      <c r="B38" s="58">
        <v>17</v>
      </c>
      <c r="C38" s="152">
        <v>22.666</v>
      </c>
      <c r="D38" s="152">
        <v>22.666</v>
      </c>
    </row>
    <row r="39" spans="2:4" ht="18.75" x14ac:dyDescent="0.25">
      <c r="B39" s="58">
        <v>18</v>
      </c>
      <c r="C39" s="152">
        <v>23.004000000000001</v>
      </c>
      <c r="D39" s="152">
        <v>23.004000000000001</v>
      </c>
    </row>
    <row r="40" spans="2:4" ht="18.75" x14ac:dyDescent="0.25">
      <c r="B40" s="58">
        <v>19</v>
      </c>
      <c r="C40" s="152">
        <v>22.759</v>
      </c>
      <c r="D40" s="152">
        <v>22.759</v>
      </c>
    </row>
    <row r="41" spans="2:4" ht="18.75" x14ac:dyDescent="0.25">
      <c r="B41" s="58">
        <v>20</v>
      </c>
      <c r="C41" s="152">
        <v>22.84</v>
      </c>
      <c r="D41" s="152">
        <v>22.84</v>
      </c>
    </row>
    <row r="42" spans="2:4" ht="18.75" x14ac:dyDescent="0.25">
      <c r="B42" s="58">
        <v>21</v>
      </c>
      <c r="C42" s="152">
        <v>22.379000000000001</v>
      </c>
      <c r="D42" s="152">
        <v>22.379000000000001</v>
      </c>
    </row>
    <row r="43" spans="2:4" ht="18.75" x14ac:dyDescent="0.25">
      <c r="B43" s="58">
        <v>22</v>
      </c>
      <c r="C43" s="152">
        <v>22.491</v>
      </c>
      <c r="D43" s="152">
        <v>22.491</v>
      </c>
    </row>
    <row r="44" spans="2:4" ht="18.75" x14ac:dyDescent="0.25">
      <c r="B44" s="58">
        <v>23</v>
      </c>
      <c r="C44" s="152">
        <v>22.565999999999999</v>
      </c>
      <c r="D44" s="152">
        <v>22.565999999999999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22.214217391304352</v>
      </c>
      <c r="D46" s="155"/>
    </row>
    <row r="47" spans="2:4" ht="31.5" x14ac:dyDescent="0.25">
      <c r="B47" s="61" t="s">
        <v>46</v>
      </c>
      <c r="C47" s="60">
        <f>_xlfn.STDEV.S(C21:C45)</f>
        <v>0.6369512073775434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0B0D-60F0-4FC9-850E-5D7DF36FF282}">
  <sheetPr codeName="Hoja7"/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'FOM303-32-Imprimir'!C16</f>
        <v>46028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'FOM303-32-Imprimir'!E16</f>
        <v>46028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22.878</v>
      </c>
      <c r="D21" s="152">
        <v>22.878</v>
      </c>
    </row>
    <row r="22" spans="2:7" ht="18.75" x14ac:dyDescent="0.25">
      <c r="B22" s="58">
        <v>1</v>
      </c>
      <c r="C22" s="152">
        <v>22.376000000000001</v>
      </c>
      <c r="D22" s="152">
        <v>22.376000000000001</v>
      </c>
    </row>
    <row r="23" spans="2:7" ht="18.75" x14ac:dyDescent="0.25">
      <c r="B23" s="58">
        <v>2</v>
      </c>
      <c r="C23" s="152">
        <v>22.710999999999999</v>
      </c>
      <c r="D23" s="152">
        <v>22.710999999999999</v>
      </c>
    </row>
    <row r="24" spans="2:7" ht="18.75" x14ac:dyDescent="0.25">
      <c r="B24" s="58">
        <v>3</v>
      </c>
      <c r="C24" s="152">
        <v>22.535</v>
      </c>
      <c r="D24" s="152">
        <v>22.535</v>
      </c>
    </row>
    <row r="25" spans="2:7" ht="18.75" x14ac:dyDescent="0.25">
      <c r="B25" s="58">
        <v>4</v>
      </c>
      <c r="C25" s="152">
        <v>22.413</v>
      </c>
      <c r="D25" s="152">
        <v>22.413</v>
      </c>
    </row>
    <row r="26" spans="2:7" ht="18.75" x14ac:dyDescent="0.25">
      <c r="B26" s="58">
        <v>5</v>
      </c>
      <c r="C26" s="152">
        <v>22.52</v>
      </c>
      <c r="D26" s="152">
        <v>22.52</v>
      </c>
    </row>
    <row r="27" spans="2:7" ht="18.75" x14ac:dyDescent="0.25">
      <c r="B27" s="58">
        <v>6</v>
      </c>
      <c r="C27" s="152">
        <v>22.545999999999999</v>
      </c>
      <c r="D27" s="152">
        <v>22.545999999999999</v>
      </c>
    </row>
    <row r="28" spans="2:7" ht="18.75" x14ac:dyDescent="0.25">
      <c r="B28" s="58">
        <v>7</v>
      </c>
      <c r="C28" s="152">
        <v>22.756</v>
      </c>
      <c r="D28" s="152">
        <v>22.756</v>
      </c>
    </row>
    <row r="29" spans="2:7" ht="18.75" x14ac:dyDescent="0.25">
      <c r="B29" s="58">
        <v>8</v>
      </c>
      <c r="C29" s="152">
        <v>21.79</v>
      </c>
      <c r="D29" s="152">
        <v>21.79</v>
      </c>
    </row>
    <row r="30" spans="2:7" ht="18.75" x14ac:dyDescent="0.25">
      <c r="B30" s="58">
        <v>9</v>
      </c>
      <c r="C30" s="152">
        <v>22.07</v>
      </c>
      <c r="D30" s="152">
        <v>22.07</v>
      </c>
    </row>
    <row r="31" spans="2:7" ht="18.75" x14ac:dyDescent="0.25">
      <c r="B31" s="58">
        <v>10</v>
      </c>
      <c r="C31" s="152">
        <v>23.718</v>
      </c>
      <c r="D31" s="152">
        <v>23.718</v>
      </c>
    </row>
    <row r="32" spans="2:7" ht="18.75" x14ac:dyDescent="0.25">
      <c r="B32" s="58">
        <v>11</v>
      </c>
      <c r="C32" s="152">
        <v>23.786999999999999</v>
      </c>
      <c r="D32" s="152">
        <v>23.786999999999999</v>
      </c>
    </row>
    <row r="33" spans="2:4" ht="18.75" x14ac:dyDescent="0.25">
      <c r="B33" s="58">
        <v>12</v>
      </c>
      <c r="C33" s="152">
        <v>21.939</v>
      </c>
      <c r="D33" s="152">
        <v>21.939</v>
      </c>
    </row>
    <row r="34" spans="2:4" ht="18.75" x14ac:dyDescent="0.25">
      <c r="B34" s="58">
        <v>13</v>
      </c>
      <c r="C34" s="152">
        <v>21.427</v>
      </c>
      <c r="D34" s="152">
        <v>21.427</v>
      </c>
    </row>
    <row r="35" spans="2:4" ht="18.75" x14ac:dyDescent="0.25">
      <c r="B35" s="58">
        <v>14</v>
      </c>
      <c r="C35" s="152">
        <v>22.373999999999999</v>
      </c>
      <c r="D35" s="152">
        <v>22.373999999999999</v>
      </c>
    </row>
    <row r="36" spans="2:4" ht="18.75" x14ac:dyDescent="0.25">
      <c r="B36" s="58">
        <v>15</v>
      </c>
      <c r="C36" s="152">
        <v>23.62</v>
      </c>
      <c r="D36" s="152">
        <v>23.62</v>
      </c>
    </row>
    <row r="37" spans="2:4" ht="18.75" x14ac:dyDescent="0.25">
      <c r="B37" s="58">
        <v>16</v>
      </c>
      <c r="C37" s="152">
        <v>21.818000000000001</v>
      </c>
      <c r="D37" s="152">
        <v>21.818000000000001</v>
      </c>
    </row>
    <row r="38" spans="2:4" ht="18.75" x14ac:dyDescent="0.25">
      <c r="B38" s="58">
        <v>17</v>
      </c>
      <c r="C38" s="152">
        <v>22.117000000000001</v>
      </c>
      <c r="D38" s="152">
        <v>22.117000000000001</v>
      </c>
    </row>
    <row r="39" spans="2:4" ht="18.75" x14ac:dyDescent="0.25">
      <c r="B39" s="58">
        <v>18</v>
      </c>
      <c r="C39" s="152">
        <v>22.652999999999999</v>
      </c>
      <c r="D39" s="152">
        <v>22.652999999999999</v>
      </c>
    </row>
    <row r="40" spans="2:4" ht="18.75" x14ac:dyDescent="0.25">
      <c r="B40" s="58">
        <v>19</v>
      </c>
      <c r="C40" s="152">
        <v>23.318999999999999</v>
      </c>
      <c r="D40" s="152">
        <v>23.318999999999999</v>
      </c>
    </row>
    <row r="41" spans="2:4" ht="18.75" x14ac:dyDescent="0.25">
      <c r="B41" s="58">
        <v>20</v>
      </c>
      <c r="C41" s="152">
        <v>23.196000000000002</v>
      </c>
      <c r="D41" s="152">
        <v>23.196000000000002</v>
      </c>
    </row>
    <row r="42" spans="2:4" ht="18.75" x14ac:dyDescent="0.25">
      <c r="B42" s="58">
        <v>21</v>
      </c>
      <c r="C42" s="152">
        <v>23.212</v>
      </c>
      <c r="D42" s="152">
        <v>23.212</v>
      </c>
    </row>
    <row r="43" spans="2:4" ht="18.75" x14ac:dyDescent="0.25">
      <c r="B43" s="58">
        <v>22</v>
      </c>
      <c r="C43" s="152">
        <v>23.262</v>
      </c>
      <c r="D43" s="152">
        <v>23.262</v>
      </c>
    </row>
    <row r="44" spans="2:4" ht="18.75" x14ac:dyDescent="0.25">
      <c r="B44" s="58">
        <v>23</v>
      </c>
      <c r="C44" s="152">
        <v>23.228999999999999</v>
      </c>
      <c r="D44" s="152">
        <v>23.228999999999999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22.669043478260875</v>
      </c>
      <c r="D46" s="155"/>
    </row>
    <row r="47" spans="2:4" ht="31.5" x14ac:dyDescent="0.25">
      <c r="B47" s="61" t="s">
        <v>46</v>
      </c>
      <c r="C47" s="60">
        <f>_xlfn.STDEV.S(C21:C45)</f>
        <v>0.64254901690877608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61B6-E9BB-4017-88F8-779CAC9E030D}">
  <sheetPr codeName="Hoja8"/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'FOM303-32-Imprimir'!C17</f>
        <v>46029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'FOM303-32-Imprimir'!E17</f>
        <v>46029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22.591000000000001</v>
      </c>
      <c r="D21" s="152">
        <v>22.591000000000001</v>
      </c>
    </row>
    <row r="22" spans="2:7" ht="18.75" x14ac:dyDescent="0.25">
      <c r="B22" s="58">
        <v>1</v>
      </c>
      <c r="C22" s="152">
        <v>22.684999999999999</v>
      </c>
      <c r="D22" s="152">
        <v>22.684999999999999</v>
      </c>
    </row>
    <row r="23" spans="2:7" ht="18.75" x14ac:dyDescent="0.25">
      <c r="B23" s="58">
        <v>2</v>
      </c>
      <c r="C23" s="152">
        <v>22.617999999999999</v>
      </c>
      <c r="D23" s="152">
        <v>22.617999999999999</v>
      </c>
    </row>
    <row r="24" spans="2:7" ht="18.75" x14ac:dyDescent="0.25">
      <c r="B24" s="58">
        <v>3</v>
      </c>
      <c r="C24" s="152">
        <v>22.85</v>
      </c>
      <c r="D24" s="152">
        <v>22.85</v>
      </c>
    </row>
    <row r="25" spans="2:7" ht="18.75" x14ac:dyDescent="0.25">
      <c r="B25" s="58">
        <v>4</v>
      </c>
      <c r="C25" s="152">
        <v>23.021000000000001</v>
      </c>
      <c r="D25" s="152">
        <v>23.021000000000001</v>
      </c>
    </row>
    <row r="26" spans="2:7" ht="18.75" x14ac:dyDescent="0.25">
      <c r="B26" s="58">
        <v>5</v>
      </c>
      <c r="C26" s="152">
        <v>22.978000000000002</v>
      </c>
      <c r="D26" s="152">
        <v>22.978000000000002</v>
      </c>
    </row>
    <row r="27" spans="2:7" ht="18.75" x14ac:dyDescent="0.25">
      <c r="B27" s="58">
        <v>6</v>
      </c>
      <c r="C27" s="152">
        <v>23.074000000000002</v>
      </c>
      <c r="D27" s="152">
        <v>23.074000000000002</v>
      </c>
    </row>
    <row r="28" spans="2:7" ht="18.75" x14ac:dyDescent="0.25">
      <c r="B28" s="58">
        <v>7</v>
      </c>
      <c r="C28" s="152">
        <v>23.356999999999999</v>
      </c>
      <c r="D28" s="152">
        <v>23.356999999999999</v>
      </c>
    </row>
    <row r="29" spans="2:7" ht="18.75" x14ac:dyDescent="0.25">
      <c r="B29" s="58">
        <v>8</v>
      </c>
      <c r="C29" s="152">
        <v>22.306999999999999</v>
      </c>
      <c r="D29" s="152">
        <v>22.306999999999999</v>
      </c>
    </row>
    <row r="30" spans="2:7" ht="18.75" x14ac:dyDescent="0.25">
      <c r="B30" s="58">
        <v>9</v>
      </c>
      <c r="C30" s="152">
        <v>22.033000000000001</v>
      </c>
      <c r="D30" s="152">
        <v>22.033000000000001</v>
      </c>
    </row>
    <row r="31" spans="2:7" ht="18.75" x14ac:dyDescent="0.25">
      <c r="B31" s="58">
        <v>10</v>
      </c>
      <c r="C31" s="152">
        <v>21.838999999999999</v>
      </c>
      <c r="D31" s="152">
        <v>21.838999999999999</v>
      </c>
    </row>
    <row r="32" spans="2:7" ht="18.75" x14ac:dyDescent="0.25">
      <c r="B32" s="58">
        <v>11</v>
      </c>
      <c r="C32" s="152">
        <v>23.565999999999999</v>
      </c>
      <c r="D32" s="152">
        <v>23.565999999999999</v>
      </c>
    </row>
    <row r="33" spans="2:4" ht="18.75" x14ac:dyDescent="0.25">
      <c r="B33" s="58">
        <v>12</v>
      </c>
      <c r="C33" s="152">
        <v>23.992000000000001</v>
      </c>
      <c r="D33" s="152">
        <v>23.992000000000001</v>
      </c>
    </row>
    <row r="34" spans="2:4" ht="18.75" x14ac:dyDescent="0.25">
      <c r="B34" s="58">
        <v>13</v>
      </c>
      <c r="C34" s="152">
        <v>24.041</v>
      </c>
      <c r="D34" s="152">
        <v>24.041</v>
      </c>
    </row>
    <row r="35" spans="2:4" ht="18.75" x14ac:dyDescent="0.25">
      <c r="B35" s="58">
        <v>14</v>
      </c>
      <c r="C35" s="152">
        <v>23.649000000000001</v>
      </c>
      <c r="D35" s="152">
        <v>23.649000000000001</v>
      </c>
    </row>
    <row r="36" spans="2:4" ht="18.75" x14ac:dyDescent="0.25">
      <c r="B36" s="58">
        <v>15</v>
      </c>
      <c r="C36" s="152">
        <v>23.280999999999999</v>
      </c>
      <c r="D36" s="152">
        <v>23.280999999999999</v>
      </c>
    </row>
    <row r="37" spans="2:4" ht="18.75" x14ac:dyDescent="0.25">
      <c r="B37" s="58">
        <v>16</v>
      </c>
      <c r="C37" s="152">
        <v>23.279</v>
      </c>
      <c r="D37" s="152">
        <v>23.279</v>
      </c>
    </row>
    <row r="38" spans="2:4" ht="18.75" x14ac:dyDescent="0.25">
      <c r="B38" s="58">
        <v>17</v>
      </c>
      <c r="C38" s="152">
        <v>21.864000000000001</v>
      </c>
      <c r="D38" s="152">
        <v>21.864000000000001</v>
      </c>
    </row>
    <row r="39" spans="2:4" ht="18.75" x14ac:dyDescent="0.25">
      <c r="B39" s="58">
        <v>18</v>
      </c>
      <c r="C39" s="152">
        <v>22.25</v>
      </c>
      <c r="D39" s="152">
        <v>22.25</v>
      </c>
    </row>
    <row r="40" spans="2:4" ht="18.75" x14ac:dyDescent="0.25">
      <c r="B40" s="58">
        <v>19</v>
      </c>
      <c r="C40" s="152">
        <v>22.652000000000001</v>
      </c>
      <c r="D40" s="152">
        <v>22.652000000000001</v>
      </c>
    </row>
    <row r="41" spans="2:4" ht="18.75" x14ac:dyDescent="0.25">
      <c r="B41" s="58">
        <v>20</v>
      </c>
      <c r="C41" s="152">
        <v>22.86</v>
      </c>
      <c r="D41" s="152">
        <v>22.86</v>
      </c>
    </row>
    <row r="42" spans="2:4" ht="18.75" x14ac:dyDescent="0.25">
      <c r="B42" s="58">
        <v>21</v>
      </c>
      <c r="C42" s="152">
        <v>22.337</v>
      </c>
      <c r="D42" s="152">
        <v>22.337</v>
      </c>
    </row>
    <row r="43" spans="2:4" ht="18.75" x14ac:dyDescent="0.25">
      <c r="B43" s="58">
        <v>22</v>
      </c>
      <c r="C43" s="152">
        <v>21.806999999999999</v>
      </c>
      <c r="D43" s="152">
        <v>21.806999999999999</v>
      </c>
    </row>
    <row r="44" spans="2:4" ht="18.75" x14ac:dyDescent="0.25">
      <c r="B44" s="58">
        <v>23</v>
      </c>
      <c r="C44" s="152">
        <v>22.106999999999999</v>
      </c>
      <c r="D44" s="152">
        <v>22.106999999999999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22.80204347826087</v>
      </c>
      <c r="D46" s="155"/>
    </row>
    <row r="47" spans="2:4" ht="31.5" x14ac:dyDescent="0.25">
      <c r="B47" s="61" t="s">
        <v>46</v>
      </c>
      <c r="C47" s="60">
        <f>_xlfn.STDEV.S(C21:C45)</f>
        <v>0.65694339971932358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665F-B0D6-45DE-9F81-AEE3936C3CBC}">
  <sheetPr codeName="Hoja9"/>
  <dimension ref="A1:L50"/>
  <sheetViews>
    <sheetView showGridLines="0" view="pageBreakPreview" topLeftCell="A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'FOM303-32-Imprimir'!C18</f>
        <v>46030</v>
      </c>
      <c r="C11" s="150"/>
      <c r="D11" s="36" t="s">
        <v>39</v>
      </c>
      <c r="E11" s="132" cm="1">
        <f t="array" ref="E11">'Dia 1'!E11:E11</f>
        <v>0</v>
      </c>
      <c r="F11" s="132"/>
      <c r="G11" s="132"/>
    </row>
    <row r="12" spans="1:12" ht="15.75" x14ac:dyDescent="0.25">
      <c r="A12" s="35" t="s">
        <v>40</v>
      </c>
      <c r="B12" s="149">
        <f>'FOM303-32-Imprimir'!E18</f>
        <v>46030</v>
      </c>
      <c r="C12" s="150"/>
      <c r="D12" s="35" t="s">
        <v>41</v>
      </c>
      <c r="E12" s="132" cm="1">
        <f t="array" ref="E12">'Dia 1'!E12:E12</f>
        <v>0.95833333333333337</v>
      </c>
      <c r="F12" s="132"/>
      <c r="G12" s="132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22.382999999999999</v>
      </c>
      <c r="D21" s="152">
        <v>22.382999999999999</v>
      </c>
    </row>
    <row r="22" spans="2:7" ht="18.75" x14ac:dyDescent="0.25">
      <c r="B22" s="58">
        <v>1</v>
      </c>
      <c r="C22" s="152">
        <v>21.815999999999999</v>
      </c>
      <c r="D22" s="152">
        <v>21.815999999999999</v>
      </c>
    </row>
    <row r="23" spans="2:7" ht="18.75" x14ac:dyDescent="0.25">
      <c r="B23" s="58">
        <v>2</v>
      </c>
      <c r="C23" s="152">
        <v>21.062999999999999</v>
      </c>
      <c r="D23" s="152">
        <v>21.062999999999999</v>
      </c>
    </row>
    <row r="24" spans="2:7" ht="18.75" x14ac:dyDescent="0.25">
      <c r="B24" s="58">
        <v>3</v>
      </c>
      <c r="C24" s="152">
        <v>20.466000000000001</v>
      </c>
      <c r="D24" s="152">
        <v>20.466000000000001</v>
      </c>
    </row>
    <row r="25" spans="2:7" ht="18.75" x14ac:dyDescent="0.25">
      <c r="B25" s="58">
        <v>4</v>
      </c>
      <c r="C25" s="152">
        <v>20.338000000000001</v>
      </c>
      <c r="D25" s="152">
        <v>20.338000000000001</v>
      </c>
    </row>
    <row r="26" spans="2:7" ht="18.75" x14ac:dyDescent="0.25">
      <c r="B26" s="58">
        <v>5</v>
      </c>
      <c r="C26" s="152">
        <v>20.876000000000001</v>
      </c>
      <c r="D26" s="152">
        <v>20.876000000000001</v>
      </c>
    </row>
    <row r="27" spans="2:7" ht="18.75" x14ac:dyDescent="0.25">
      <c r="B27" s="58">
        <v>6</v>
      </c>
      <c r="C27" s="152">
        <v>21.033000000000001</v>
      </c>
      <c r="D27" s="152">
        <v>21.033000000000001</v>
      </c>
    </row>
    <row r="28" spans="2:7" ht="18.75" x14ac:dyDescent="0.25">
      <c r="B28" s="58">
        <v>7</v>
      </c>
      <c r="C28" s="152">
        <v>22.556999999999999</v>
      </c>
      <c r="D28" s="152">
        <v>22.556999999999999</v>
      </c>
    </row>
    <row r="29" spans="2:7" ht="18.75" x14ac:dyDescent="0.25">
      <c r="B29" s="58">
        <v>8</v>
      </c>
      <c r="C29" s="152">
        <v>22.574000000000002</v>
      </c>
      <c r="D29" s="152">
        <v>22.574000000000002</v>
      </c>
    </row>
    <row r="30" spans="2:7" ht="18.75" x14ac:dyDescent="0.25">
      <c r="B30" s="58">
        <v>9</v>
      </c>
      <c r="C30" s="152">
        <v>22.113</v>
      </c>
      <c r="D30" s="152">
        <v>22.113</v>
      </c>
    </row>
    <row r="31" spans="2:7" ht="18.75" x14ac:dyDescent="0.25">
      <c r="B31" s="58">
        <v>10</v>
      </c>
      <c r="C31" s="152">
        <v>21.765999999999998</v>
      </c>
      <c r="D31" s="152">
        <v>21.765999999999998</v>
      </c>
    </row>
    <row r="32" spans="2:7" ht="18.75" x14ac:dyDescent="0.25">
      <c r="B32" s="58">
        <v>11</v>
      </c>
      <c r="C32" s="152">
        <v>22.684999999999999</v>
      </c>
      <c r="D32" s="152">
        <v>22.684999999999999</v>
      </c>
    </row>
    <row r="33" spans="2:4" ht="18.75" x14ac:dyDescent="0.25">
      <c r="B33" s="58">
        <v>12</v>
      </c>
      <c r="C33" s="152">
        <v>23.47</v>
      </c>
      <c r="D33" s="152">
        <v>23.47</v>
      </c>
    </row>
    <row r="34" spans="2:4" ht="18.75" x14ac:dyDescent="0.25">
      <c r="B34" s="58">
        <v>13</v>
      </c>
      <c r="C34" s="152">
        <v>23.754999999999999</v>
      </c>
      <c r="D34" s="152">
        <v>23.754999999999999</v>
      </c>
    </row>
    <row r="35" spans="2:4" ht="18.75" x14ac:dyDescent="0.25">
      <c r="B35" s="58">
        <v>14</v>
      </c>
      <c r="C35" s="152">
        <v>24.026</v>
      </c>
      <c r="D35" s="152">
        <v>24.026</v>
      </c>
    </row>
    <row r="36" spans="2:4" ht="18.75" x14ac:dyDescent="0.25">
      <c r="B36" s="58">
        <v>15</v>
      </c>
      <c r="C36" s="152">
        <v>23.192</v>
      </c>
      <c r="D36" s="152">
        <v>23.192</v>
      </c>
    </row>
    <row r="37" spans="2:4" ht="18.75" x14ac:dyDescent="0.25">
      <c r="B37" s="58">
        <v>16</v>
      </c>
      <c r="C37" s="152">
        <v>21.974</v>
      </c>
      <c r="D37" s="152">
        <v>21.974</v>
      </c>
    </row>
    <row r="38" spans="2:4" ht="18.75" x14ac:dyDescent="0.25">
      <c r="B38" s="58">
        <v>17</v>
      </c>
      <c r="C38" s="152">
        <v>22.716000000000001</v>
      </c>
      <c r="D38" s="152">
        <v>22.716000000000001</v>
      </c>
    </row>
    <row r="39" spans="2:4" ht="18.75" x14ac:dyDescent="0.25">
      <c r="B39" s="58">
        <v>18</v>
      </c>
      <c r="C39" s="152">
        <v>22.983000000000001</v>
      </c>
      <c r="D39" s="152">
        <v>22.983000000000001</v>
      </c>
    </row>
    <row r="40" spans="2:4" ht="18.75" x14ac:dyDescent="0.25">
      <c r="B40" s="58">
        <v>19</v>
      </c>
      <c r="C40" s="152">
        <v>23.638000000000002</v>
      </c>
      <c r="D40" s="152">
        <v>23.638000000000002</v>
      </c>
    </row>
    <row r="41" spans="2:4" ht="18.75" x14ac:dyDescent="0.25">
      <c r="B41" s="58">
        <v>20</v>
      </c>
      <c r="C41" s="152">
        <v>22.855</v>
      </c>
      <c r="D41" s="152">
        <v>22.855</v>
      </c>
    </row>
    <row r="42" spans="2:4" ht="18.75" x14ac:dyDescent="0.25">
      <c r="B42" s="58">
        <v>21</v>
      </c>
      <c r="C42" s="152">
        <v>23.010999999999999</v>
      </c>
      <c r="D42" s="152">
        <v>23.010999999999999</v>
      </c>
    </row>
    <row r="43" spans="2:4" ht="18.75" x14ac:dyDescent="0.25">
      <c r="B43" s="58">
        <v>22</v>
      </c>
      <c r="C43" s="152">
        <v>23.257000000000001</v>
      </c>
      <c r="D43" s="152">
        <v>23.257000000000001</v>
      </c>
    </row>
    <row r="44" spans="2:4" ht="18.75" x14ac:dyDescent="0.25">
      <c r="B44" s="58">
        <v>23</v>
      </c>
      <c r="C44" s="152">
        <v>22.579000000000001</v>
      </c>
      <c r="D44" s="152">
        <v>22.579000000000001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22.380130434782611</v>
      </c>
      <c r="D46" s="155"/>
    </row>
    <row r="47" spans="2:4" ht="31.5" x14ac:dyDescent="0.25">
      <c r="B47" s="61" t="s">
        <v>46</v>
      </c>
      <c r="C47" s="60">
        <f>_xlfn.STDEV.S(C21:C45)</f>
        <v>1.0357995966150142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48F9-E50D-4175-B7EA-CDDD1018E14A}">
  <sheetPr codeName="Hoja10"/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'FOM303-32-Imprimir'!C19</f>
        <v>46031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'FOM303-32-Imprimir'!E19</f>
        <v>46031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22.059000000000001</v>
      </c>
      <c r="D21" s="152">
        <v>22.059000000000001</v>
      </c>
    </row>
    <row r="22" spans="2:7" ht="18.75" x14ac:dyDescent="0.25">
      <c r="B22" s="58">
        <v>1</v>
      </c>
      <c r="C22" s="152">
        <v>22.105</v>
      </c>
      <c r="D22" s="152">
        <v>22.105</v>
      </c>
    </row>
    <row r="23" spans="2:7" ht="18.75" x14ac:dyDescent="0.25">
      <c r="B23" s="58">
        <v>2</v>
      </c>
      <c r="C23" s="152">
        <v>22.004000000000001</v>
      </c>
      <c r="D23" s="152">
        <v>22.004000000000001</v>
      </c>
    </row>
    <row r="24" spans="2:7" ht="18.75" x14ac:dyDescent="0.25">
      <c r="B24" s="58">
        <v>3</v>
      </c>
      <c r="C24" s="152">
        <v>21.37</v>
      </c>
      <c r="D24" s="152">
        <v>21.37</v>
      </c>
    </row>
    <row r="25" spans="2:7" ht="18.75" x14ac:dyDescent="0.25">
      <c r="B25" s="58">
        <v>4</v>
      </c>
      <c r="C25" s="152">
        <v>21.213999999999999</v>
      </c>
      <c r="D25" s="152">
        <v>21.213999999999999</v>
      </c>
    </row>
    <row r="26" spans="2:7" ht="18.75" x14ac:dyDescent="0.25">
      <c r="B26" s="58">
        <v>5</v>
      </c>
      <c r="C26" s="152">
        <v>20.97</v>
      </c>
      <c r="D26" s="152">
        <v>20.97</v>
      </c>
    </row>
    <row r="27" spans="2:7" ht="18.75" x14ac:dyDescent="0.25">
      <c r="B27" s="58">
        <v>6</v>
      </c>
      <c r="C27" s="152">
        <v>21.295999999999999</v>
      </c>
      <c r="D27" s="152">
        <v>21.295999999999999</v>
      </c>
    </row>
    <row r="28" spans="2:7" ht="18.75" x14ac:dyDescent="0.25">
      <c r="B28" s="58">
        <v>7</v>
      </c>
      <c r="C28" s="152">
        <v>22.846</v>
      </c>
      <c r="D28" s="152">
        <v>22.846</v>
      </c>
    </row>
    <row r="29" spans="2:7" ht="18.75" x14ac:dyDescent="0.25">
      <c r="B29" s="58">
        <v>8</v>
      </c>
      <c r="C29" s="152">
        <v>22.183</v>
      </c>
      <c r="D29" s="152">
        <v>22.183</v>
      </c>
    </row>
    <row r="30" spans="2:7" ht="18.75" x14ac:dyDescent="0.25">
      <c r="B30" s="58">
        <v>9</v>
      </c>
      <c r="C30" s="152">
        <v>21.751999999999999</v>
      </c>
      <c r="D30" s="152">
        <v>21.751999999999999</v>
      </c>
    </row>
    <row r="31" spans="2:7" ht="18.75" x14ac:dyDescent="0.25">
      <c r="B31" s="58">
        <v>10</v>
      </c>
      <c r="C31" s="152">
        <v>22.556999999999999</v>
      </c>
      <c r="D31" s="152">
        <v>22.556999999999999</v>
      </c>
    </row>
    <row r="32" spans="2:7" ht="18.75" x14ac:dyDescent="0.25">
      <c r="B32" s="58">
        <v>11</v>
      </c>
      <c r="C32" s="152">
        <v>21.812999999999999</v>
      </c>
      <c r="D32" s="152">
        <v>21.812999999999999</v>
      </c>
    </row>
    <row r="33" spans="2:4" ht="18.75" x14ac:dyDescent="0.25">
      <c r="B33" s="58">
        <v>12</v>
      </c>
      <c r="C33" s="152">
        <v>21.382999999999999</v>
      </c>
      <c r="D33" s="152">
        <v>21.382999999999999</v>
      </c>
    </row>
    <row r="34" spans="2:4" ht="18.75" x14ac:dyDescent="0.25">
      <c r="B34" s="58">
        <v>13</v>
      </c>
      <c r="C34" s="152">
        <v>22.05</v>
      </c>
      <c r="D34" s="152">
        <v>22.05</v>
      </c>
    </row>
    <row r="35" spans="2:4" ht="18.75" x14ac:dyDescent="0.25">
      <c r="B35" s="58">
        <v>14</v>
      </c>
      <c r="C35" s="152">
        <v>21.960999999999999</v>
      </c>
      <c r="D35" s="152">
        <v>21.960999999999999</v>
      </c>
    </row>
    <row r="36" spans="2:4" ht="18.75" x14ac:dyDescent="0.25">
      <c r="B36" s="58">
        <v>15</v>
      </c>
      <c r="C36" s="152">
        <v>21.431000000000001</v>
      </c>
      <c r="D36" s="152">
        <v>21.431000000000001</v>
      </c>
    </row>
    <row r="37" spans="2:4" ht="18.75" x14ac:dyDescent="0.25">
      <c r="B37" s="58">
        <v>16</v>
      </c>
      <c r="C37" s="152">
        <v>21.75</v>
      </c>
      <c r="D37" s="152">
        <v>21.75</v>
      </c>
    </row>
    <row r="38" spans="2:4" ht="18.75" x14ac:dyDescent="0.25">
      <c r="B38" s="58">
        <v>17</v>
      </c>
      <c r="C38" s="152">
        <v>22.689</v>
      </c>
      <c r="D38" s="152">
        <v>22.689</v>
      </c>
    </row>
    <row r="39" spans="2:4" ht="18.75" x14ac:dyDescent="0.25">
      <c r="B39" s="58">
        <v>18</v>
      </c>
      <c r="C39" s="152">
        <v>22.968</v>
      </c>
      <c r="D39" s="152">
        <v>22.968</v>
      </c>
    </row>
    <row r="40" spans="2:4" ht="18.75" x14ac:dyDescent="0.25">
      <c r="B40" s="58">
        <v>19</v>
      </c>
      <c r="C40" s="152">
        <v>23.061</v>
      </c>
      <c r="D40" s="152">
        <v>23.061</v>
      </c>
    </row>
    <row r="41" spans="2:4" ht="18.75" x14ac:dyDescent="0.25">
      <c r="B41" s="58">
        <v>20</v>
      </c>
      <c r="C41" s="152">
        <v>23.155000000000001</v>
      </c>
      <c r="D41" s="152">
        <v>23.155000000000001</v>
      </c>
    </row>
    <row r="42" spans="2:4" ht="18.75" x14ac:dyDescent="0.25">
      <c r="B42" s="58">
        <v>21</v>
      </c>
      <c r="C42" s="152">
        <v>22.706</v>
      </c>
      <c r="D42" s="152">
        <v>22.706</v>
      </c>
    </row>
    <row r="43" spans="2:4" ht="18.75" x14ac:dyDescent="0.25">
      <c r="B43" s="58">
        <v>22</v>
      </c>
      <c r="C43" s="152">
        <v>22.56</v>
      </c>
      <c r="D43" s="152">
        <v>22.56</v>
      </c>
    </row>
    <row r="44" spans="2:4" ht="18.75" x14ac:dyDescent="0.25">
      <c r="B44" s="58">
        <v>23</v>
      </c>
      <c r="C44" s="152">
        <v>22.361000000000001</v>
      </c>
      <c r="D44" s="152">
        <v>22.361000000000001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22.094999999999999</v>
      </c>
      <c r="D46" s="155"/>
    </row>
    <row r="47" spans="2:4" ht="31.5" x14ac:dyDescent="0.25">
      <c r="B47" s="61" t="s">
        <v>46</v>
      </c>
      <c r="C47" s="60">
        <f>_xlfn.STDEV.S(C21:C45)</f>
        <v>0.62958461115937059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29CA-82D9-4F04-86C8-DCCF99E854F7}">
  <sheetPr codeName="Hoja11"/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'FOM303-32-Imprimir'!C20</f>
        <v>46032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'FOM303-32-Imprimir'!E20</f>
        <v>46032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22.198</v>
      </c>
      <c r="D21" s="152">
        <v>22.198</v>
      </c>
    </row>
    <row r="22" spans="2:7" ht="18.75" x14ac:dyDescent="0.25">
      <c r="B22" s="58">
        <v>1</v>
      </c>
      <c r="C22" s="152">
        <v>22.484999999999999</v>
      </c>
      <c r="D22" s="152">
        <v>22.484999999999999</v>
      </c>
    </row>
    <row r="23" spans="2:7" ht="18.75" x14ac:dyDescent="0.25">
      <c r="B23" s="58">
        <v>2</v>
      </c>
      <c r="C23" s="152">
        <v>22.867000000000001</v>
      </c>
      <c r="D23" s="152">
        <v>22.867000000000001</v>
      </c>
    </row>
    <row r="24" spans="2:7" ht="18.75" x14ac:dyDescent="0.25">
      <c r="B24" s="58">
        <v>3</v>
      </c>
      <c r="C24" s="152">
        <v>22.513000000000002</v>
      </c>
      <c r="D24" s="152">
        <v>22.513000000000002</v>
      </c>
    </row>
    <row r="25" spans="2:7" ht="18.75" x14ac:dyDescent="0.25">
      <c r="B25" s="58">
        <v>4</v>
      </c>
      <c r="C25" s="152">
        <v>21.948</v>
      </c>
      <c r="D25" s="152">
        <v>21.948</v>
      </c>
    </row>
    <row r="26" spans="2:7" ht="18.75" x14ac:dyDescent="0.25">
      <c r="B26" s="58">
        <v>5</v>
      </c>
      <c r="C26" s="152">
        <v>21.934999999999999</v>
      </c>
      <c r="D26" s="152">
        <v>21.934999999999999</v>
      </c>
    </row>
    <row r="27" spans="2:7" ht="18.75" x14ac:dyDescent="0.25">
      <c r="B27" s="58">
        <v>6</v>
      </c>
      <c r="C27" s="152">
        <v>22.337</v>
      </c>
      <c r="D27" s="152">
        <v>22.337</v>
      </c>
    </row>
    <row r="28" spans="2:7" ht="18.75" x14ac:dyDescent="0.25">
      <c r="B28" s="58">
        <v>7</v>
      </c>
      <c r="C28" s="152">
        <v>23.081</v>
      </c>
      <c r="D28" s="152">
        <v>23.081</v>
      </c>
    </row>
    <row r="29" spans="2:7" ht="18.75" x14ac:dyDescent="0.25">
      <c r="B29" s="58">
        <v>8</v>
      </c>
      <c r="C29" s="152">
        <v>21.984999999999999</v>
      </c>
      <c r="D29" s="152">
        <v>21.984999999999999</v>
      </c>
    </row>
    <row r="30" spans="2:7" ht="18.75" x14ac:dyDescent="0.25">
      <c r="B30" s="58">
        <v>9</v>
      </c>
      <c r="C30" s="152">
        <v>22.797999999999998</v>
      </c>
      <c r="D30" s="152">
        <v>22.797999999999998</v>
      </c>
    </row>
    <row r="31" spans="2:7" ht="18.75" x14ac:dyDescent="0.25">
      <c r="B31" s="58">
        <v>10</v>
      </c>
      <c r="C31" s="152">
        <v>23.687999999999999</v>
      </c>
      <c r="D31" s="152">
        <v>23.687999999999999</v>
      </c>
    </row>
    <row r="32" spans="2:7" ht="18.75" x14ac:dyDescent="0.25">
      <c r="B32" s="58">
        <v>11</v>
      </c>
      <c r="C32" s="152">
        <v>21.722000000000001</v>
      </c>
      <c r="D32" s="152">
        <v>21.722000000000001</v>
      </c>
    </row>
    <row r="33" spans="2:4" ht="18.75" x14ac:dyDescent="0.25">
      <c r="B33" s="58">
        <v>12</v>
      </c>
      <c r="C33" s="152">
        <v>22.207000000000001</v>
      </c>
      <c r="D33" s="152">
        <v>22.207000000000001</v>
      </c>
    </row>
    <row r="34" spans="2:4" ht="18.75" x14ac:dyDescent="0.25">
      <c r="B34" s="58">
        <v>13</v>
      </c>
      <c r="C34" s="152">
        <v>22.239000000000001</v>
      </c>
      <c r="D34" s="152">
        <v>22.239000000000001</v>
      </c>
    </row>
    <row r="35" spans="2:4" ht="18.75" x14ac:dyDescent="0.25">
      <c r="B35" s="58">
        <v>14</v>
      </c>
      <c r="C35" s="152">
        <v>22.763000000000002</v>
      </c>
      <c r="D35" s="152">
        <v>22.763000000000002</v>
      </c>
    </row>
    <row r="36" spans="2:4" ht="18.75" x14ac:dyDescent="0.25">
      <c r="B36" s="58">
        <v>15</v>
      </c>
      <c r="C36" s="152">
        <v>22.236999999999998</v>
      </c>
      <c r="D36" s="152">
        <v>22.236999999999998</v>
      </c>
    </row>
    <row r="37" spans="2:4" ht="18.75" x14ac:dyDescent="0.25">
      <c r="B37" s="58">
        <v>16</v>
      </c>
      <c r="C37" s="152">
        <v>23.052</v>
      </c>
      <c r="D37" s="152">
        <v>23.052</v>
      </c>
    </row>
    <row r="38" spans="2:4" ht="18.75" x14ac:dyDescent="0.25">
      <c r="B38" s="58">
        <v>17</v>
      </c>
      <c r="C38" s="152">
        <v>23.318000000000001</v>
      </c>
      <c r="D38" s="152">
        <v>23.318000000000001</v>
      </c>
    </row>
    <row r="39" spans="2:4" ht="18.75" x14ac:dyDescent="0.25">
      <c r="B39" s="58">
        <v>18</v>
      </c>
      <c r="C39" s="152">
        <v>22.925999999999998</v>
      </c>
      <c r="D39" s="152">
        <v>22.925999999999998</v>
      </c>
    </row>
    <row r="40" spans="2:4" ht="18.75" x14ac:dyDescent="0.25">
      <c r="B40" s="58">
        <v>19</v>
      </c>
      <c r="C40" s="152">
        <v>22.295999999999999</v>
      </c>
      <c r="D40" s="152">
        <v>22.295999999999999</v>
      </c>
    </row>
    <row r="41" spans="2:4" ht="18.75" x14ac:dyDescent="0.25">
      <c r="B41" s="58">
        <v>20</v>
      </c>
      <c r="C41" s="152">
        <v>21.873999999999999</v>
      </c>
      <c r="D41" s="152">
        <v>21.873999999999999</v>
      </c>
    </row>
    <row r="42" spans="2:4" ht="18.75" x14ac:dyDescent="0.25">
      <c r="B42" s="58">
        <v>21</v>
      </c>
      <c r="C42" s="152">
        <v>21.577999999999999</v>
      </c>
      <c r="D42" s="152">
        <v>21.577999999999999</v>
      </c>
    </row>
    <row r="43" spans="2:4" ht="18.75" x14ac:dyDescent="0.25">
      <c r="B43" s="58">
        <v>22</v>
      </c>
      <c r="C43" s="152">
        <v>21.146000000000001</v>
      </c>
      <c r="D43" s="152">
        <v>21.146000000000001</v>
      </c>
    </row>
    <row r="44" spans="2:4" ht="18.75" x14ac:dyDescent="0.25">
      <c r="B44" s="58">
        <v>23</v>
      </c>
      <c r="C44" s="152">
        <v>20.887</v>
      </c>
      <c r="D44" s="152">
        <v>20.887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22.342695652173916</v>
      </c>
      <c r="D46" s="155"/>
    </row>
    <row r="47" spans="2:4" ht="31.5" x14ac:dyDescent="0.25">
      <c r="B47" s="61" t="s">
        <v>46</v>
      </c>
      <c r="C47" s="60">
        <f>_xlfn.STDEV.S(C21:C45)</f>
        <v>0.66303024173055281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4044-7350-481E-86C7-A991C962AC28}">
  <sheetPr codeName="Hoja12"/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'FOM303-32-Imprimir'!C21</f>
        <v>46033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'FOM303-32-Imprimir'!E21</f>
        <v>46033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22.122</v>
      </c>
      <c r="D21" s="152">
        <v>22.122</v>
      </c>
    </row>
    <row r="22" spans="2:7" ht="18.75" x14ac:dyDescent="0.25">
      <c r="B22" s="58">
        <v>1</v>
      </c>
      <c r="C22" s="152">
        <v>21.216999999999999</v>
      </c>
      <c r="D22" s="152">
        <v>21.216999999999999</v>
      </c>
    </row>
    <row r="23" spans="2:7" ht="18.75" x14ac:dyDescent="0.25">
      <c r="B23" s="58">
        <v>2</v>
      </c>
      <c r="C23" s="152">
        <v>20.335000000000001</v>
      </c>
      <c r="D23" s="152">
        <v>20.335000000000001</v>
      </c>
    </row>
    <row r="24" spans="2:7" ht="18.75" x14ac:dyDescent="0.25">
      <c r="B24" s="58">
        <v>3</v>
      </c>
      <c r="C24" s="152">
        <v>19.82</v>
      </c>
      <c r="D24" s="152">
        <v>19.82</v>
      </c>
    </row>
    <row r="25" spans="2:7" ht="18.75" x14ac:dyDescent="0.25">
      <c r="B25" s="58">
        <v>4</v>
      </c>
      <c r="C25" s="152">
        <v>19.786999999999999</v>
      </c>
      <c r="D25" s="152">
        <v>19.786999999999999</v>
      </c>
    </row>
    <row r="26" spans="2:7" ht="18.75" x14ac:dyDescent="0.25">
      <c r="B26" s="58">
        <v>5</v>
      </c>
      <c r="C26" s="152">
        <v>19.702000000000002</v>
      </c>
      <c r="D26" s="152">
        <v>19.702000000000002</v>
      </c>
    </row>
    <row r="27" spans="2:7" ht="18.75" x14ac:dyDescent="0.25">
      <c r="B27" s="58">
        <v>6</v>
      </c>
      <c r="C27" s="152">
        <v>21.317</v>
      </c>
      <c r="D27" s="152">
        <v>21.317</v>
      </c>
    </row>
    <row r="28" spans="2:7" ht="18.75" x14ac:dyDescent="0.25">
      <c r="B28" s="58">
        <v>7</v>
      </c>
      <c r="C28" s="152">
        <v>23.757999999999999</v>
      </c>
      <c r="D28" s="152">
        <v>23.757999999999999</v>
      </c>
    </row>
    <row r="29" spans="2:7" ht="18.75" x14ac:dyDescent="0.25">
      <c r="B29" s="58">
        <v>8</v>
      </c>
      <c r="C29" s="152">
        <v>22.67</v>
      </c>
      <c r="D29" s="152">
        <v>22.67</v>
      </c>
    </row>
    <row r="30" spans="2:7" ht="18.75" x14ac:dyDescent="0.25">
      <c r="B30" s="58">
        <v>9</v>
      </c>
      <c r="C30" s="152">
        <v>23.710999999999999</v>
      </c>
      <c r="D30" s="152">
        <v>23.710999999999999</v>
      </c>
    </row>
    <row r="31" spans="2:7" ht="18.75" x14ac:dyDescent="0.25">
      <c r="B31" s="58">
        <v>10</v>
      </c>
      <c r="C31" s="152">
        <v>23.800999999999998</v>
      </c>
      <c r="D31" s="152">
        <v>23.800999999999998</v>
      </c>
    </row>
    <row r="32" spans="2:7" ht="18.75" x14ac:dyDescent="0.25">
      <c r="B32" s="58">
        <v>11</v>
      </c>
      <c r="C32" s="152">
        <v>23.952000000000002</v>
      </c>
      <c r="D32" s="152">
        <v>23.952000000000002</v>
      </c>
    </row>
    <row r="33" spans="2:4" ht="18.75" x14ac:dyDescent="0.25">
      <c r="B33" s="58">
        <v>12</v>
      </c>
      <c r="C33" s="152">
        <v>22.981000000000002</v>
      </c>
      <c r="D33" s="152">
        <v>22.981000000000002</v>
      </c>
    </row>
    <row r="34" spans="2:4" ht="18.75" x14ac:dyDescent="0.25">
      <c r="B34" s="58">
        <v>13</v>
      </c>
      <c r="C34" s="152">
        <v>23.148</v>
      </c>
      <c r="D34" s="152">
        <v>23.148</v>
      </c>
    </row>
    <row r="35" spans="2:4" ht="18.75" x14ac:dyDescent="0.25">
      <c r="B35" s="58">
        <v>14</v>
      </c>
      <c r="C35" s="152">
        <v>23.2</v>
      </c>
      <c r="D35" s="152">
        <v>23.2</v>
      </c>
    </row>
    <row r="36" spans="2:4" ht="18.75" x14ac:dyDescent="0.25">
      <c r="B36" s="58">
        <v>15</v>
      </c>
      <c r="C36" s="152">
        <v>23.495000000000001</v>
      </c>
      <c r="D36" s="152">
        <v>23.495000000000001</v>
      </c>
    </row>
    <row r="37" spans="2:4" ht="18.75" x14ac:dyDescent="0.25">
      <c r="B37" s="58">
        <v>16</v>
      </c>
      <c r="C37" s="152">
        <v>23.547999999999998</v>
      </c>
      <c r="D37" s="152">
        <v>23.547999999999998</v>
      </c>
    </row>
    <row r="38" spans="2:4" ht="18.75" x14ac:dyDescent="0.25">
      <c r="B38" s="58">
        <v>17</v>
      </c>
      <c r="C38" s="152">
        <v>23.37</v>
      </c>
      <c r="D38" s="152">
        <v>23.37</v>
      </c>
    </row>
    <row r="39" spans="2:4" ht="18.75" x14ac:dyDescent="0.25">
      <c r="B39" s="58">
        <v>18</v>
      </c>
      <c r="C39" s="152">
        <v>23.727</v>
      </c>
      <c r="D39" s="152">
        <v>23.727</v>
      </c>
    </row>
    <row r="40" spans="2:4" ht="18.75" x14ac:dyDescent="0.25">
      <c r="B40" s="58">
        <v>19</v>
      </c>
      <c r="C40" s="152">
        <v>23.651</v>
      </c>
      <c r="D40" s="152">
        <v>23.651</v>
      </c>
    </row>
    <row r="41" spans="2:4" ht="18.75" x14ac:dyDescent="0.25">
      <c r="B41" s="58">
        <v>20</v>
      </c>
      <c r="C41" s="152">
        <v>24.117999999999999</v>
      </c>
      <c r="D41" s="152">
        <v>24.117999999999999</v>
      </c>
    </row>
    <row r="42" spans="2:4" ht="18.75" x14ac:dyDescent="0.25">
      <c r="B42" s="58">
        <v>21</v>
      </c>
      <c r="C42" s="152">
        <v>23.664999999999999</v>
      </c>
      <c r="D42" s="152">
        <v>23.664999999999999</v>
      </c>
    </row>
    <row r="43" spans="2:4" ht="18.75" x14ac:dyDescent="0.25">
      <c r="B43" s="58">
        <v>22</v>
      </c>
      <c r="C43" s="152">
        <v>22.780999999999999</v>
      </c>
      <c r="D43" s="152">
        <v>22.780999999999999</v>
      </c>
    </row>
    <row r="44" spans="2:4" ht="18.75" x14ac:dyDescent="0.25">
      <c r="B44" s="58">
        <v>23</v>
      </c>
      <c r="C44" s="152">
        <v>22.908999999999999</v>
      </c>
      <c r="D44" s="152">
        <v>22.908999999999999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22.637521739130435</v>
      </c>
      <c r="D46" s="155"/>
    </row>
    <row r="47" spans="2:4" ht="31.5" x14ac:dyDescent="0.25">
      <c r="B47" s="61" t="s">
        <v>46</v>
      </c>
      <c r="C47" s="60">
        <f>_xlfn.STDEV.S(C21:C45)</f>
        <v>1.4422384316889421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C0A9-7293-4D88-968A-5DA6C14636BA}">
  <sheetPr codeName="Hoja13"/>
  <dimension ref="A1:L50"/>
  <sheetViews>
    <sheetView showGridLines="0" view="pageBreakPreview" topLeftCell="A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'FOM303-32-Imprimir'!C22</f>
        <v>46034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'FOM303-32-Imprimir'!E22</f>
        <v>46034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23.431000000000001</v>
      </c>
      <c r="D21" s="152">
        <v>23.431000000000001</v>
      </c>
    </row>
    <row r="22" spans="2:7" ht="18.75" x14ac:dyDescent="0.25">
      <c r="B22" s="58">
        <v>1</v>
      </c>
      <c r="C22" s="152">
        <v>23.809000000000001</v>
      </c>
      <c r="D22" s="152">
        <v>23.809000000000001</v>
      </c>
    </row>
    <row r="23" spans="2:7" ht="18.75" x14ac:dyDescent="0.25">
      <c r="B23" s="58">
        <v>2</v>
      </c>
      <c r="C23" s="152">
        <v>24.035</v>
      </c>
      <c r="D23" s="152">
        <v>24.035</v>
      </c>
    </row>
    <row r="24" spans="2:7" ht="18.75" x14ac:dyDescent="0.25">
      <c r="B24" s="58">
        <v>3</v>
      </c>
      <c r="C24" s="152">
        <v>24.14</v>
      </c>
      <c r="D24" s="152">
        <v>24.14</v>
      </c>
    </row>
    <row r="25" spans="2:7" ht="18.75" x14ac:dyDescent="0.25">
      <c r="B25" s="58">
        <v>4</v>
      </c>
      <c r="C25" s="152">
        <v>23.82</v>
      </c>
      <c r="D25" s="152">
        <v>23.82</v>
      </c>
    </row>
    <row r="26" spans="2:7" ht="18.75" x14ac:dyDescent="0.25">
      <c r="B26" s="58">
        <v>5</v>
      </c>
      <c r="C26" s="152">
        <v>23.581</v>
      </c>
      <c r="D26" s="152">
        <v>23.581</v>
      </c>
    </row>
    <row r="27" spans="2:7" ht="18.75" x14ac:dyDescent="0.25">
      <c r="B27" s="58">
        <v>6</v>
      </c>
      <c r="C27" s="152">
        <v>23.923999999999999</v>
      </c>
      <c r="D27" s="152">
        <v>23.923999999999999</v>
      </c>
    </row>
    <row r="28" spans="2:7" ht="18.75" x14ac:dyDescent="0.25">
      <c r="B28" s="58">
        <v>7</v>
      </c>
      <c r="C28" s="152">
        <v>23.884</v>
      </c>
      <c r="D28" s="152">
        <v>23.884</v>
      </c>
    </row>
    <row r="29" spans="2:7" ht="18.75" x14ac:dyDescent="0.25">
      <c r="B29" s="58">
        <v>8</v>
      </c>
      <c r="C29" s="152">
        <v>23.239000000000001</v>
      </c>
      <c r="D29" s="152">
        <v>23.239000000000001</v>
      </c>
    </row>
    <row r="30" spans="2:7" ht="18.75" x14ac:dyDescent="0.25">
      <c r="B30" s="58">
        <v>9</v>
      </c>
      <c r="C30" s="152">
        <v>23.571999999999999</v>
      </c>
      <c r="D30" s="152">
        <v>23.571999999999999</v>
      </c>
    </row>
    <row r="31" spans="2:7" ht="18.75" x14ac:dyDescent="0.25">
      <c r="B31" s="58">
        <v>10</v>
      </c>
      <c r="C31" s="152">
        <v>23.081</v>
      </c>
      <c r="D31" s="152">
        <v>23.081</v>
      </c>
    </row>
    <row r="32" spans="2:7" ht="18.75" x14ac:dyDescent="0.25">
      <c r="B32" s="58">
        <v>11</v>
      </c>
      <c r="C32" s="152">
        <v>23.574000000000002</v>
      </c>
      <c r="D32" s="152">
        <v>23.574000000000002</v>
      </c>
    </row>
    <row r="33" spans="2:4" ht="18.75" x14ac:dyDescent="0.25">
      <c r="B33" s="58">
        <v>12</v>
      </c>
      <c r="C33" s="152">
        <v>23.27</v>
      </c>
      <c r="D33" s="152">
        <v>23.27</v>
      </c>
    </row>
    <row r="34" spans="2:4" ht="18.75" x14ac:dyDescent="0.25">
      <c r="B34" s="58">
        <v>13</v>
      </c>
      <c r="C34" s="152">
        <v>23.327999999999999</v>
      </c>
      <c r="D34" s="152">
        <v>23.327999999999999</v>
      </c>
    </row>
    <row r="35" spans="2:4" ht="18.75" x14ac:dyDescent="0.25">
      <c r="B35" s="58">
        <v>14</v>
      </c>
      <c r="C35" s="152">
        <v>23.382000000000001</v>
      </c>
      <c r="D35" s="152">
        <v>23.382000000000001</v>
      </c>
    </row>
    <row r="36" spans="2:4" ht="18.75" x14ac:dyDescent="0.25">
      <c r="B36" s="58">
        <v>15</v>
      </c>
      <c r="C36" s="152">
        <v>23.007000000000001</v>
      </c>
      <c r="D36" s="152">
        <v>23.007000000000001</v>
      </c>
    </row>
    <row r="37" spans="2:4" ht="18.75" x14ac:dyDescent="0.25">
      <c r="B37" s="58">
        <v>16</v>
      </c>
      <c r="C37" s="152">
        <v>23.297999999999998</v>
      </c>
      <c r="D37" s="152">
        <v>23.297999999999998</v>
      </c>
    </row>
    <row r="38" spans="2:4" ht="18.75" x14ac:dyDescent="0.25">
      <c r="B38" s="58">
        <v>17</v>
      </c>
      <c r="C38" s="152">
        <v>23.530999999999999</v>
      </c>
      <c r="D38" s="152">
        <v>23.530999999999999</v>
      </c>
    </row>
    <row r="39" spans="2:4" ht="18.75" x14ac:dyDescent="0.25">
      <c r="B39" s="58">
        <v>18</v>
      </c>
      <c r="C39" s="152">
        <v>23.663</v>
      </c>
      <c r="D39" s="152">
        <v>23.663</v>
      </c>
    </row>
    <row r="40" spans="2:4" ht="18.75" x14ac:dyDescent="0.25">
      <c r="B40" s="58">
        <v>19</v>
      </c>
      <c r="C40" s="152">
        <v>23.675000000000001</v>
      </c>
      <c r="D40" s="152">
        <v>23.675000000000001</v>
      </c>
    </row>
    <row r="41" spans="2:4" ht="18.75" x14ac:dyDescent="0.25">
      <c r="B41" s="58">
        <v>20</v>
      </c>
      <c r="C41" s="152">
        <v>23.978999999999999</v>
      </c>
      <c r="D41" s="152">
        <v>23.978999999999999</v>
      </c>
    </row>
    <row r="42" spans="2:4" ht="18.75" x14ac:dyDescent="0.25">
      <c r="B42" s="58">
        <v>21</v>
      </c>
      <c r="C42" s="152">
        <v>23.683</v>
      </c>
      <c r="D42" s="152">
        <v>23.683</v>
      </c>
    </row>
    <row r="43" spans="2:4" ht="18.75" x14ac:dyDescent="0.25">
      <c r="B43" s="58">
        <v>22</v>
      </c>
      <c r="C43" s="152">
        <v>23.218</v>
      </c>
      <c r="D43" s="152">
        <v>23.218</v>
      </c>
    </row>
    <row r="44" spans="2:4" ht="18.75" x14ac:dyDescent="0.25">
      <c r="B44" s="58">
        <v>23</v>
      </c>
      <c r="C44" s="152">
        <v>22.641999999999999</v>
      </c>
      <c r="D44" s="152">
        <v>22.641999999999999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23.536304347826089</v>
      </c>
      <c r="D46" s="155"/>
    </row>
    <row r="47" spans="2:4" ht="31.5" x14ac:dyDescent="0.25">
      <c r="B47" s="61" t="s">
        <v>46</v>
      </c>
      <c r="C47" s="60">
        <f>_xlfn.STDEV.S(C21:C45)</f>
        <v>0.35990263377349924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9B11-D5E1-4C9D-B16B-944C0644BFB2}">
  <sheetPr codeName="Hoja14"/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'FOM303-32-Imprimir'!C23</f>
        <v>46035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'FOM303-32-Imprimir'!E23</f>
        <v>46035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22.196000000000002</v>
      </c>
      <c r="D21" s="152">
        <v>22.196000000000002</v>
      </c>
    </row>
    <row r="22" spans="2:7" ht="18.75" x14ac:dyDescent="0.25">
      <c r="B22" s="58">
        <v>1</v>
      </c>
      <c r="C22" s="152">
        <v>22.13</v>
      </c>
      <c r="D22" s="152">
        <v>22.13</v>
      </c>
    </row>
    <row r="23" spans="2:7" ht="18.75" x14ac:dyDescent="0.25">
      <c r="B23" s="58">
        <v>2</v>
      </c>
      <c r="C23" s="152">
        <v>22.414999999999999</v>
      </c>
      <c r="D23" s="152">
        <v>22.414999999999999</v>
      </c>
    </row>
    <row r="24" spans="2:7" ht="18.75" x14ac:dyDescent="0.25">
      <c r="B24" s="58">
        <v>3</v>
      </c>
      <c r="C24" s="152">
        <v>22.396000000000001</v>
      </c>
      <c r="D24" s="152">
        <v>22.396000000000001</v>
      </c>
    </row>
    <row r="25" spans="2:7" ht="18.75" x14ac:dyDescent="0.25">
      <c r="B25" s="58">
        <v>4</v>
      </c>
      <c r="C25" s="152">
        <v>21.896000000000001</v>
      </c>
      <c r="D25" s="152">
        <v>21.896000000000001</v>
      </c>
    </row>
    <row r="26" spans="2:7" ht="18.75" x14ac:dyDescent="0.25">
      <c r="B26" s="58">
        <v>5</v>
      </c>
      <c r="C26" s="152">
        <v>22.402000000000001</v>
      </c>
      <c r="D26" s="152">
        <v>22.402000000000001</v>
      </c>
    </row>
    <row r="27" spans="2:7" ht="18.75" x14ac:dyDescent="0.25">
      <c r="B27" s="58">
        <v>6</v>
      </c>
      <c r="C27" s="152">
        <v>23.190999999999999</v>
      </c>
      <c r="D27" s="152">
        <v>23.190999999999999</v>
      </c>
    </row>
    <row r="28" spans="2:7" ht="18.75" x14ac:dyDescent="0.25">
      <c r="B28" s="58">
        <v>7</v>
      </c>
      <c r="C28" s="152">
        <v>23.565999999999999</v>
      </c>
      <c r="D28" s="152">
        <v>23.565999999999999</v>
      </c>
    </row>
    <row r="29" spans="2:7" ht="18.75" x14ac:dyDescent="0.25">
      <c r="B29" s="58">
        <v>8</v>
      </c>
      <c r="C29" s="152">
        <v>22.995999999999999</v>
      </c>
      <c r="D29" s="152">
        <v>22.995999999999999</v>
      </c>
    </row>
    <row r="30" spans="2:7" ht="18.75" x14ac:dyDescent="0.25">
      <c r="B30" s="58">
        <v>9</v>
      </c>
      <c r="C30" s="152">
        <v>23.055</v>
      </c>
      <c r="D30" s="152">
        <v>23.055</v>
      </c>
    </row>
    <row r="31" spans="2:7" ht="18.75" x14ac:dyDescent="0.25">
      <c r="B31" s="58">
        <v>10</v>
      </c>
      <c r="C31" s="152">
        <v>23.803999999999998</v>
      </c>
      <c r="D31" s="152">
        <v>23.803999999999998</v>
      </c>
    </row>
    <row r="32" spans="2:7" ht="18.75" x14ac:dyDescent="0.25">
      <c r="B32" s="58">
        <v>11</v>
      </c>
      <c r="C32" s="152">
        <v>23.355</v>
      </c>
      <c r="D32" s="152">
        <v>23.355</v>
      </c>
    </row>
    <row r="33" spans="2:4" ht="18.75" x14ac:dyDescent="0.25">
      <c r="B33" s="58">
        <v>12</v>
      </c>
      <c r="C33" s="152">
        <v>23.591999999999999</v>
      </c>
      <c r="D33" s="152">
        <v>23.591999999999999</v>
      </c>
    </row>
    <row r="34" spans="2:4" ht="18.75" x14ac:dyDescent="0.25">
      <c r="B34" s="58">
        <v>13</v>
      </c>
      <c r="C34" s="152">
        <v>23.710999999999999</v>
      </c>
      <c r="D34" s="152">
        <v>23.710999999999999</v>
      </c>
    </row>
    <row r="35" spans="2:4" ht="18.75" x14ac:dyDescent="0.25">
      <c r="B35" s="58">
        <v>14</v>
      </c>
      <c r="C35" s="152">
        <v>23.74</v>
      </c>
      <c r="D35" s="152">
        <v>23.74</v>
      </c>
    </row>
    <row r="36" spans="2:4" ht="18.75" x14ac:dyDescent="0.25">
      <c r="B36" s="58">
        <v>15</v>
      </c>
      <c r="C36" s="152">
        <v>23.588999999999999</v>
      </c>
      <c r="D36" s="152">
        <v>23.588999999999999</v>
      </c>
    </row>
    <row r="37" spans="2:4" ht="18.75" x14ac:dyDescent="0.25">
      <c r="B37" s="58">
        <v>16</v>
      </c>
      <c r="C37" s="152">
        <v>23.509</v>
      </c>
      <c r="D37" s="152">
        <v>23.509</v>
      </c>
    </row>
    <row r="38" spans="2:4" ht="18.75" x14ac:dyDescent="0.25">
      <c r="B38" s="58">
        <v>17</v>
      </c>
      <c r="C38" s="152">
        <v>23.710999999999999</v>
      </c>
      <c r="D38" s="152">
        <v>23.710999999999999</v>
      </c>
    </row>
    <row r="39" spans="2:4" ht="18.75" x14ac:dyDescent="0.25">
      <c r="B39" s="58">
        <v>18</v>
      </c>
      <c r="C39" s="152">
        <v>23.731000000000002</v>
      </c>
      <c r="D39" s="152">
        <v>23.731000000000002</v>
      </c>
    </row>
    <row r="40" spans="2:4" ht="18.75" x14ac:dyDescent="0.25">
      <c r="B40" s="58">
        <v>19</v>
      </c>
      <c r="C40" s="152">
        <v>23.873000000000001</v>
      </c>
      <c r="D40" s="152">
        <v>23.873000000000001</v>
      </c>
    </row>
    <row r="41" spans="2:4" ht="18.75" x14ac:dyDescent="0.25">
      <c r="B41" s="58">
        <v>20</v>
      </c>
      <c r="C41" s="152">
        <v>23.681999999999999</v>
      </c>
      <c r="D41" s="152">
        <v>23.681999999999999</v>
      </c>
    </row>
    <row r="42" spans="2:4" ht="18.75" x14ac:dyDescent="0.25">
      <c r="B42" s="58">
        <v>21</v>
      </c>
      <c r="C42" s="152">
        <v>23.707999999999998</v>
      </c>
      <c r="D42" s="152">
        <v>23.707999999999998</v>
      </c>
    </row>
    <row r="43" spans="2:4" ht="18.75" x14ac:dyDescent="0.25">
      <c r="B43" s="58">
        <v>22</v>
      </c>
      <c r="C43" s="152">
        <v>23.684999999999999</v>
      </c>
      <c r="D43" s="152">
        <v>23.684999999999999</v>
      </c>
    </row>
    <row r="44" spans="2:4" ht="18.75" x14ac:dyDescent="0.25">
      <c r="B44" s="58">
        <v>23</v>
      </c>
      <c r="C44" s="152">
        <v>23.838000000000001</v>
      </c>
      <c r="D44" s="152">
        <v>23.838000000000001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23.285869565217393</v>
      </c>
      <c r="D46" s="155"/>
    </row>
    <row r="47" spans="2:4" ht="31.5" x14ac:dyDescent="0.25">
      <c r="B47" s="61" t="s">
        <v>46</v>
      </c>
      <c r="C47" s="60">
        <f>_xlfn.STDEV.S(C21:C45)</f>
        <v>0.63864210424841239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98CE-E416-409F-BBF7-1AD354982117}">
  <sheetPr codeName="Hoja15"/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'FOM303-32-Imprimir'!C24</f>
        <v>46036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'FOM303-32-Imprimir'!E24</f>
        <v>46036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ht="12.95" customHeight="1" x14ac:dyDescent="0.25">
      <c r="B17" s="154" t="s">
        <v>43</v>
      </c>
      <c r="C17" s="154" t="s">
        <v>44</v>
      </c>
      <c r="D17" s="154"/>
      <c r="E17" s="38"/>
      <c r="G17" s="38"/>
    </row>
    <row r="18" spans="2:7" ht="12.95" customHeight="1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24.082000000000001</v>
      </c>
      <c r="D21" s="152">
        <v>24.082000000000001</v>
      </c>
    </row>
    <row r="22" spans="2:7" ht="18.75" x14ac:dyDescent="0.25">
      <c r="B22" s="58">
        <v>1</v>
      </c>
      <c r="C22" s="152">
        <v>23.922999999999998</v>
      </c>
      <c r="D22" s="152">
        <v>23.922999999999998</v>
      </c>
    </row>
    <row r="23" spans="2:7" ht="18.75" x14ac:dyDescent="0.25">
      <c r="B23" s="58">
        <v>2</v>
      </c>
      <c r="C23" s="152">
        <v>24.207000000000001</v>
      </c>
      <c r="D23" s="152">
        <v>24.207000000000001</v>
      </c>
    </row>
    <row r="24" spans="2:7" ht="18.75" x14ac:dyDescent="0.25">
      <c r="B24" s="58">
        <v>3</v>
      </c>
      <c r="C24" s="152">
        <v>24.344000000000001</v>
      </c>
      <c r="D24" s="152">
        <v>24.344000000000001</v>
      </c>
    </row>
    <row r="25" spans="2:7" ht="18.75" x14ac:dyDescent="0.25">
      <c r="B25" s="58">
        <v>4</v>
      </c>
      <c r="C25" s="152">
        <v>23.605</v>
      </c>
      <c r="D25" s="152">
        <v>23.605</v>
      </c>
    </row>
    <row r="26" spans="2:7" ht="18.75" x14ac:dyDescent="0.25">
      <c r="B26" s="58">
        <v>5</v>
      </c>
      <c r="C26" s="152">
        <v>23.928999999999998</v>
      </c>
      <c r="D26" s="152">
        <v>23.928999999999998</v>
      </c>
    </row>
    <row r="27" spans="2:7" ht="18.75" x14ac:dyDescent="0.25">
      <c r="B27" s="58">
        <v>6</v>
      </c>
      <c r="C27" s="152">
        <v>23.937000000000001</v>
      </c>
      <c r="D27" s="152">
        <v>23.937000000000001</v>
      </c>
    </row>
    <row r="28" spans="2:7" ht="18.75" x14ac:dyDescent="0.25">
      <c r="B28" s="58">
        <v>7</v>
      </c>
      <c r="C28" s="152">
        <v>23.812000000000001</v>
      </c>
      <c r="D28" s="152">
        <v>23.812000000000001</v>
      </c>
    </row>
    <row r="29" spans="2:7" ht="18.75" x14ac:dyDescent="0.25">
      <c r="B29" s="58">
        <v>8</v>
      </c>
      <c r="C29" s="152">
        <v>23.277000000000001</v>
      </c>
      <c r="D29" s="152">
        <v>23.277000000000001</v>
      </c>
    </row>
    <row r="30" spans="2:7" ht="18.75" x14ac:dyDescent="0.25">
      <c r="B30" s="58">
        <v>9</v>
      </c>
      <c r="C30" s="152">
        <v>23.64</v>
      </c>
      <c r="D30" s="152">
        <v>23.64</v>
      </c>
    </row>
    <row r="31" spans="2:7" ht="18.75" x14ac:dyDescent="0.25">
      <c r="B31" s="58">
        <v>10</v>
      </c>
      <c r="C31" s="152">
        <v>23.815999999999999</v>
      </c>
      <c r="D31" s="152">
        <v>23.815999999999999</v>
      </c>
    </row>
    <row r="32" spans="2:7" ht="18.75" x14ac:dyDescent="0.25">
      <c r="B32" s="58">
        <v>11</v>
      </c>
      <c r="C32" s="152">
        <v>24.109000000000002</v>
      </c>
      <c r="D32" s="152">
        <v>24.109000000000002</v>
      </c>
    </row>
    <row r="33" spans="2:4" ht="18.75" x14ac:dyDescent="0.25">
      <c r="B33" s="58">
        <v>12</v>
      </c>
      <c r="C33" s="152">
        <v>23.949000000000002</v>
      </c>
      <c r="D33" s="152">
        <v>23.949000000000002</v>
      </c>
    </row>
    <row r="34" spans="2:4" ht="18.75" x14ac:dyDescent="0.25">
      <c r="B34" s="58">
        <v>13</v>
      </c>
      <c r="C34" s="152">
        <v>22.864000000000001</v>
      </c>
      <c r="D34" s="152">
        <v>22.864000000000001</v>
      </c>
    </row>
    <row r="35" spans="2:4" ht="18.75" x14ac:dyDescent="0.25">
      <c r="B35" s="58">
        <v>14</v>
      </c>
      <c r="C35" s="152">
        <v>22.995999999999999</v>
      </c>
      <c r="D35" s="152">
        <v>22.995999999999999</v>
      </c>
    </row>
    <row r="36" spans="2:4" ht="18.75" x14ac:dyDescent="0.25">
      <c r="B36" s="58">
        <v>15</v>
      </c>
      <c r="C36" s="152">
        <v>22.484000000000002</v>
      </c>
      <c r="D36" s="152">
        <v>22.484000000000002</v>
      </c>
    </row>
    <row r="37" spans="2:4" ht="18.75" x14ac:dyDescent="0.25">
      <c r="B37" s="58">
        <v>16</v>
      </c>
      <c r="C37" s="152">
        <v>22.855</v>
      </c>
      <c r="D37" s="152">
        <v>22.855</v>
      </c>
    </row>
    <row r="38" spans="2:4" ht="18.75" x14ac:dyDescent="0.25">
      <c r="B38" s="58">
        <v>17</v>
      </c>
      <c r="C38" s="152">
        <v>23.574000000000002</v>
      </c>
      <c r="D38" s="152">
        <v>23.574000000000002</v>
      </c>
    </row>
    <row r="39" spans="2:4" ht="18.75" x14ac:dyDescent="0.25">
      <c r="B39" s="58">
        <v>18</v>
      </c>
      <c r="C39" s="152">
        <v>24.12</v>
      </c>
      <c r="D39" s="152">
        <v>24.12</v>
      </c>
    </row>
    <row r="40" spans="2:4" ht="18.75" x14ac:dyDescent="0.25">
      <c r="B40" s="58">
        <v>19</v>
      </c>
      <c r="C40" s="152">
        <v>24.398</v>
      </c>
      <c r="D40" s="152">
        <v>24.398</v>
      </c>
    </row>
    <row r="41" spans="2:4" ht="18.75" x14ac:dyDescent="0.25">
      <c r="B41" s="58">
        <v>20</v>
      </c>
      <c r="C41" s="152">
        <v>23.866</v>
      </c>
      <c r="D41" s="152">
        <v>23.866</v>
      </c>
    </row>
    <row r="42" spans="2:4" ht="18.75" x14ac:dyDescent="0.25">
      <c r="B42" s="58">
        <v>21</v>
      </c>
      <c r="C42" s="152">
        <v>23.731999999999999</v>
      </c>
      <c r="D42" s="152">
        <v>23.731999999999999</v>
      </c>
    </row>
    <row r="43" spans="2:4" ht="18.75" x14ac:dyDescent="0.25">
      <c r="B43" s="58">
        <v>22</v>
      </c>
      <c r="C43" s="152">
        <v>23.635999999999999</v>
      </c>
      <c r="D43" s="152">
        <v>23.635999999999999</v>
      </c>
    </row>
    <row r="44" spans="2:4" ht="18.75" x14ac:dyDescent="0.25">
      <c r="B44" s="58">
        <v>23</v>
      </c>
      <c r="C44" s="152">
        <v>23.707000000000001</v>
      </c>
      <c r="D44" s="152">
        <v>23.707000000000001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23.686086956521738</v>
      </c>
      <c r="D46" s="155"/>
    </row>
    <row r="47" spans="2:4" ht="31.5" x14ac:dyDescent="0.25">
      <c r="B47" s="61" t="s">
        <v>46</v>
      </c>
      <c r="C47" s="60">
        <f>_xlfn.STDEV.S(C21:C45)</f>
        <v>0.48999209547010897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33AE-10F4-45CC-B3F6-499382027D70}">
  <sheetPr codeName="Hoja16"/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'FOM303-32-Imprimir'!C25</f>
        <v>46037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'FOM303-32-Imprimir'!E25</f>
        <v>46037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23.777000000000001</v>
      </c>
      <c r="D21" s="152">
        <v>23.777000000000001</v>
      </c>
    </row>
    <row r="22" spans="2:7" ht="18.75" x14ac:dyDescent="0.25">
      <c r="B22" s="58">
        <v>1</v>
      </c>
      <c r="C22" s="152">
        <v>23.864999999999998</v>
      </c>
      <c r="D22" s="152">
        <v>23.864999999999998</v>
      </c>
    </row>
    <row r="23" spans="2:7" ht="18.75" x14ac:dyDescent="0.25">
      <c r="B23" s="58">
        <v>2</v>
      </c>
      <c r="C23" s="152">
        <v>24.164999999999999</v>
      </c>
      <c r="D23" s="152">
        <v>24.164999999999999</v>
      </c>
    </row>
    <row r="24" spans="2:7" ht="18.75" x14ac:dyDescent="0.25">
      <c r="B24" s="58">
        <v>3</v>
      </c>
      <c r="C24" s="152">
        <v>23.398</v>
      </c>
      <c r="D24" s="152">
        <v>23.398</v>
      </c>
    </row>
    <row r="25" spans="2:7" ht="18.75" x14ac:dyDescent="0.25">
      <c r="B25" s="58">
        <v>4</v>
      </c>
      <c r="C25" s="152">
        <v>22.385000000000002</v>
      </c>
      <c r="D25" s="152">
        <v>22.385000000000002</v>
      </c>
    </row>
    <row r="26" spans="2:7" ht="18.75" x14ac:dyDescent="0.25">
      <c r="B26" s="58">
        <v>5</v>
      </c>
      <c r="C26" s="152">
        <v>21.613</v>
      </c>
      <c r="D26" s="152">
        <v>21.613</v>
      </c>
    </row>
    <row r="27" spans="2:7" ht="18.75" x14ac:dyDescent="0.25">
      <c r="B27" s="58">
        <v>6</v>
      </c>
      <c r="C27" s="152">
        <v>21.596</v>
      </c>
      <c r="D27" s="152">
        <v>21.596</v>
      </c>
    </row>
    <row r="28" spans="2:7" ht="18.75" x14ac:dyDescent="0.25">
      <c r="B28" s="58">
        <v>7</v>
      </c>
      <c r="C28" s="152">
        <v>23.462</v>
      </c>
      <c r="D28" s="152">
        <v>23.462</v>
      </c>
    </row>
    <row r="29" spans="2:7" ht="18.75" x14ac:dyDescent="0.25">
      <c r="B29" s="58">
        <v>8</v>
      </c>
      <c r="C29" s="152">
        <v>23.169</v>
      </c>
      <c r="D29" s="152">
        <v>23.169</v>
      </c>
    </row>
    <row r="30" spans="2:7" ht="18.75" x14ac:dyDescent="0.25">
      <c r="B30" s="58">
        <v>9</v>
      </c>
      <c r="C30" s="152">
        <v>22.806000000000001</v>
      </c>
      <c r="D30" s="152">
        <v>22.806000000000001</v>
      </c>
    </row>
    <row r="31" spans="2:7" ht="18.75" x14ac:dyDescent="0.25">
      <c r="B31" s="58">
        <v>10</v>
      </c>
      <c r="C31" s="152">
        <v>23.286999999999999</v>
      </c>
      <c r="D31" s="152">
        <v>23.286999999999999</v>
      </c>
    </row>
    <row r="32" spans="2:7" ht="18.75" x14ac:dyDescent="0.25">
      <c r="B32" s="58">
        <v>11</v>
      </c>
      <c r="C32" s="152">
        <v>23.838000000000001</v>
      </c>
      <c r="D32" s="152">
        <v>23.838000000000001</v>
      </c>
    </row>
    <row r="33" spans="2:4" ht="18.75" x14ac:dyDescent="0.25">
      <c r="B33" s="58">
        <v>12</v>
      </c>
      <c r="C33" s="152">
        <v>22.678000000000001</v>
      </c>
      <c r="D33" s="152">
        <v>22.678000000000001</v>
      </c>
    </row>
    <row r="34" spans="2:4" ht="18.75" x14ac:dyDescent="0.25">
      <c r="B34" s="58">
        <v>13</v>
      </c>
      <c r="C34" s="152">
        <v>22.911000000000001</v>
      </c>
      <c r="D34" s="152">
        <v>22.911000000000001</v>
      </c>
    </row>
    <row r="35" spans="2:4" ht="18.75" x14ac:dyDescent="0.25">
      <c r="B35" s="58">
        <v>14</v>
      </c>
      <c r="C35" s="152">
        <v>22.542000000000002</v>
      </c>
      <c r="D35" s="152">
        <v>22.542000000000002</v>
      </c>
    </row>
    <row r="36" spans="2:4" ht="18.75" x14ac:dyDescent="0.25">
      <c r="B36" s="58">
        <v>15</v>
      </c>
      <c r="C36" s="152">
        <v>23.068000000000001</v>
      </c>
      <c r="D36" s="152">
        <v>23.068000000000001</v>
      </c>
    </row>
    <row r="37" spans="2:4" ht="18.75" x14ac:dyDescent="0.25">
      <c r="B37" s="58">
        <v>16</v>
      </c>
      <c r="C37" s="152">
        <v>23.417999999999999</v>
      </c>
      <c r="D37" s="152">
        <v>23.417999999999999</v>
      </c>
    </row>
    <row r="38" spans="2:4" ht="18.75" x14ac:dyDescent="0.25">
      <c r="B38" s="58">
        <v>17</v>
      </c>
      <c r="C38" s="152">
        <v>23.457000000000001</v>
      </c>
      <c r="D38" s="152">
        <v>23.457000000000001</v>
      </c>
    </row>
    <row r="39" spans="2:4" ht="18.75" x14ac:dyDescent="0.25">
      <c r="B39" s="58">
        <v>18</v>
      </c>
      <c r="C39" s="152">
        <v>23.97</v>
      </c>
      <c r="D39" s="152">
        <v>23.97</v>
      </c>
    </row>
    <row r="40" spans="2:4" ht="18.75" x14ac:dyDescent="0.25">
      <c r="B40" s="58">
        <v>19</v>
      </c>
      <c r="C40" s="152">
        <v>24.052</v>
      </c>
      <c r="D40" s="152">
        <v>24.052</v>
      </c>
    </row>
    <row r="41" spans="2:4" ht="18.75" x14ac:dyDescent="0.25">
      <c r="B41" s="58">
        <v>20</v>
      </c>
      <c r="C41" s="152">
        <v>23.486999999999998</v>
      </c>
      <c r="D41" s="152">
        <v>23.486999999999998</v>
      </c>
    </row>
    <row r="42" spans="2:4" ht="18.75" x14ac:dyDescent="0.25">
      <c r="B42" s="58">
        <v>21</v>
      </c>
      <c r="C42" s="152">
        <v>23.638999999999999</v>
      </c>
      <c r="D42" s="152">
        <v>23.638999999999999</v>
      </c>
    </row>
    <row r="43" spans="2:4" ht="18.75" x14ac:dyDescent="0.25">
      <c r="B43" s="58">
        <v>22</v>
      </c>
      <c r="C43" s="152">
        <v>24.004999999999999</v>
      </c>
      <c r="D43" s="152">
        <v>24.004999999999999</v>
      </c>
    </row>
    <row r="44" spans="2:4" ht="18.75" x14ac:dyDescent="0.25">
      <c r="B44" s="58">
        <v>23</v>
      </c>
      <c r="C44" s="152">
        <v>24.297999999999998</v>
      </c>
      <c r="D44" s="152">
        <v>24.297999999999998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23.265608695652176</v>
      </c>
      <c r="D46" s="155"/>
    </row>
    <row r="47" spans="2:4" ht="31.5" x14ac:dyDescent="0.25">
      <c r="B47" s="61" t="s">
        <v>46</v>
      </c>
      <c r="C47" s="60">
        <f>_xlfn.STDEV.S(C21:C45)</f>
        <v>0.73208540228028263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5F76-4494-4A7E-95F1-3B8017BECEEB}">
  <sheetPr codeName="Hoja17"/>
  <dimension ref="A1:L50"/>
  <sheetViews>
    <sheetView showGridLines="0" view="pageBreakPreview" topLeftCell="A2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'FOM303-32-Imprimir'!C26</f>
        <v>46038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'FOM303-32-Imprimir'!E26</f>
        <v>46038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24.140999999999998</v>
      </c>
      <c r="D21" s="152">
        <v>24.140999999999998</v>
      </c>
    </row>
    <row r="22" spans="2:7" ht="18.75" x14ac:dyDescent="0.25">
      <c r="B22" s="58">
        <v>1</v>
      </c>
      <c r="C22" s="152">
        <v>23.556999999999999</v>
      </c>
      <c r="D22" s="152">
        <v>23.556999999999999</v>
      </c>
    </row>
    <row r="23" spans="2:7" ht="18.75" x14ac:dyDescent="0.25">
      <c r="B23" s="58">
        <v>2</v>
      </c>
      <c r="C23" s="152">
        <v>22.672000000000001</v>
      </c>
      <c r="D23" s="152">
        <v>22.672000000000001</v>
      </c>
    </row>
    <row r="24" spans="2:7" ht="18.75" x14ac:dyDescent="0.25">
      <c r="B24" s="58">
        <v>3</v>
      </c>
      <c r="C24" s="152">
        <v>22.803999999999998</v>
      </c>
      <c r="D24" s="152">
        <v>22.803999999999998</v>
      </c>
    </row>
    <row r="25" spans="2:7" ht="18.75" x14ac:dyDescent="0.25">
      <c r="B25" s="58">
        <v>4</v>
      </c>
      <c r="C25" s="152">
        <v>22.741</v>
      </c>
      <c r="D25" s="152">
        <v>22.741</v>
      </c>
    </row>
    <row r="26" spans="2:7" ht="18.75" x14ac:dyDescent="0.25">
      <c r="B26" s="58">
        <v>5</v>
      </c>
      <c r="C26" s="152">
        <v>22.358000000000001</v>
      </c>
      <c r="D26" s="152">
        <v>22.358000000000001</v>
      </c>
    </row>
    <row r="27" spans="2:7" ht="18.75" x14ac:dyDescent="0.25">
      <c r="B27" s="58">
        <v>6</v>
      </c>
      <c r="C27" s="152">
        <v>22.504000000000001</v>
      </c>
      <c r="D27" s="152">
        <v>22.504000000000001</v>
      </c>
    </row>
    <row r="28" spans="2:7" ht="18.75" x14ac:dyDescent="0.25">
      <c r="B28" s="58">
        <v>7</v>
      </c>
      <c r="C28" s="152">
        <v>23.32</v>
      </c>
      <c r="D28" s="152">
        <v>23.32</v>
      </c>
    </row>
    <row r="29" spans="2:7" ht="18.75" x14ac:dyDescent="0.25">
      <c r="B29" s="58">
        <v>8</v>
      </c>
      <c r="C29" s="152">
        <v>23.812000000000001</v>
      </c>
      <c r="D29" s="152">
        <v>23.812000000000001</v>
      </c>
    </row>
    <row r="30" spans="2:7" ht="18.75" x14ac:dyDescent="0.25">
      <c r="B30" s="58">
        <v>9</v>
      </c>
      <c r="C30" s="152">
        <v>23.718</v>
      </c>
      <c r="D30" s="152">
        <v>23.718</v>
      </c>
    </row>
    <row r="31" spans="2:7" ht="18.75" x14ac:dyDescent="0.25">
      <c r="B31" s="58">
        <v>10</v>
      </c>
      <c r="C31" s="152">
        <v>23.494</v>
      </c>
      <c r="D31" s="152">
        <v>23.494</v>
      </c>
    </row>
    <row r="32" spans="2:7" ht="18.75" x14ac:dyDescent="0.25">
      <c r="B32" s="58">
        <v>11</v>
      </c>
      <c r="C32" s="152">
        <v>22.736999999999998</v>
      </c>
      <c r="D32" s="152">
        <v>22.736999999999998</v>
      </c>
    </row>
    <row r="33" spans="2:4" ht="18.75" x14ac:dyDescent="0.25">
      <c r="B33" s="58">
        <v>12</v>
      </c>
      <c r="C33" s="152">
        <v>23.263000000000002</v>
      </c>
      <c r="D33" s="152">
        <v>23.263000000000002</v>
      </c>
    </row>
    <row r="34" spans="2:4" ht="18.75" x14ac:dyDescent="0.25">
      <c r="B34" s="58">
        <v>13</v>
      </c>
      <c r="C34" s="152">
        <v>22.696000000000002</v>
      </c>
      <c r="D34" s="152">
        <v>22.696000000000002</v>
      </c>
    </row>
    <row r="35" spans="2:4" ht="18.75" x14ac:dyDescent="0.25">
      <c r="B35" s="58">
        <v>14</v>
      </c>
      <c r="C35" s="152">
        <v>22.859000000000002</v>
      </c>
      <c r="D35" s="152">
        <v>22.859000000000002</v>
      </c>
    </row>
    <row r="36" spans="2:4" ht="18.75" x14ac:dyDescent="0.25">
      <c r="B36" s="58">
        <v>15</v>
      </c>
      <c r="C36" s="152">
        <v>22.742999999999999</v>
      </c>
      <c r="D36" s="152">
        <v>22.742999999999999</v>
      </c>
    </row>
    <row r="37" spans="2:4" ht="18.75" x14ac:dyDescent="0.25">
      <c r="B37" s="58">
        <v>16</v>
      </c>
      <c r="C37" s="152">
        <v>22.97</v>
      </c>
      <c r="D37" s="152">
        <v>22.97</v>
      </c>
    </row>
    <row r="38" spans="2:4" ht="18.75" x14ac:dyDescent="0.25">
      <c r="B38" s="58">
        <v>17</v>
      </c>
      <c r="C38" s="152">
        <v>23.428999999999998</v>
      </c>
      <c r="D38" s="152">
        <v>23.428999999999998</v>
      </c>
    </row>
    <row r="39" spans="2:4" ht="18.75" x14ac:dyDescent="0.25">
      <c r="B39" s="58">
        <v>18</v>
      </c>
      <c r="C39" s="152">
        <v>23.789000000000001</v>
      </c>
      <c r="D39" s="152">
        <v>23.789000000000001</v>
      </c>
    </row>
    <row r="40" spans="2:4" ht="18.75" x14ac:dyDescent="0.25">
      <c r="B40" s="58">
        <v>19</v>
      </c>
      <c r="C40" s="152">
        <v>23.849</v>
      </c>
      <c r="D40" s="152">
        <v>23.849</v>
      </c>
    </row>
    <row r="41" spans="2:4" ht="18.75" x14ac:dyDescent="0.25">
      <c r="B41" s="58">
        <v>20</v>
      </c>
      <c r="C41" s="152">
        <v>24.170999999999999</v>
      </c>
      <c r="D41" s="152">
        <v>24.170999999999999</v>
      </c>
    </row>
    <row r="42" spans="2:4" ht="18.75" x14ac:dyDescent="0.25">
      <c r="B42" s="58">
        <v>21</v>
      </c>
      <c r="C42" s="152">
        <v>23.867999999999999</v>
      </c>
      <c r="D42" s="152">
        <v>23.867999999999999</v>
      </c>
    </row>
    <row r="43" spans="2:4" ht="18.75" x14ac:dyDescent="0.25">
      <c r="B43" s="58">
        <v>22</v>
      </c>
      <c r="C43" s="152">
        <v>23.393000000000001</v>
      </c>
      <c r="D43" s="152">
        <v>23.393000000000001</v>
      </c>
    </row>
    <row r="44" spans="2:4" ht="18.75" x14ac:dyDescent="0.25">
      <c r="B44" s="58">
        <v>23</v>
      </c>
      <c r="C44" s="152">
        <v>23.029</v>
      </c>
      <c r="D44" s="152">
        <v>23.029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23.207652173913036</v>
      </c>
      <c r="D46" s="155"/>
    </row>
    <row r="47" spans="2:4" ht="31.5" x14ac:dyDescent="0.25">
      <c r="B47" s="61" t="s">
        <v>46</v>
      </c>
      <c r="C47" s="60">
        <f>_xlfn.STDEV.S(C21:C45)</f>
        <v>0.53854917656580803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4F02-15C8-443C-AC18-884A89EBA93F}">
  <sheetPr codeName="Hoja18"/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'FOM303-32-Imprimir'!C27</f>
        <v>46039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'FOM303-32-Imprimir'!E27</f>
        <v>46039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62">
        <v>22.587</v>
      </c>
      <c r="D21" s="162">
        <v>22.587</v>
      </c>
    </row>
    <row r="22" spans="2:7" ht="18.75" x14ac:dyDescent="0.25">
      <c r="B22" s="58">
        <v>1</v>
      </c>
      <c r="C22" s="162">
        <v>21.663</v>
      </c>
      <c r="D22" s="162">
        <v>21.663</v>
      </c>
    </row>
    <row r="23" spans="2:7" ht="18.75" x14ac:dyDescent="0.25">
      <c r="B23" s="58">
        <v>2</v>
      </c>
      <c r="C23" s="162">
        <v>20.765000000000001</v>
      </c>
      <c r="D23" s="162">
        <v>20.765000000000001</v>
      </c>
    </row>
    <row r="24" spans="2:7" ht="18.75" x14ac:dyDescent="0.25">
      <c r="B24" s="58">
        <v>3</v>
      </c>
      <c r="C24" s="162">
        <v>20.117999999999999</v>
      </c>
      <c r="D24" s="162">
        <v>20.117999999999999</v>
      </c>
    </row>
    <row r="25" spans="2:7" ht="18.75" x14ac:dyDescent="0.25">
      <c r="B25" s="58">
        <v>4</v>
      </c>
      <c r="C25" s="162">
        <v>20.015999999999998</v>
      </c>
      <c r="D25" s="162">
        <v>20.015999999999998</v>
      </c>
    </row>
    <row r="26" spans="2:7" ht="18.75" x14ac:dyDescent="0.25">
      <c r="B26" s="58">
        <v>5</v>
      </c>
      <c r="C26" s="162">
        <v>20.175000000000001</v>
      </c>
      <c r="D26" s="162">
        <v>20.175000000000001</v>
      </c>
    </row>
    <row r="27" spans="2:7" ht="18.75" x14ac:dyDescent="0.25">
      <c r="B27" s="58">
        <v>6</v>
      </c>
      <c r="C27" s="162">
        <v>20.39</v>
      </c>
      <c r="D27" s="162">
        <v>20.39</v>
      </c>
    </row>
    <row r="28" spans="2:7" ht="18.75" x14ac:dyDescent="0.25">
      <c r="B28" s="58">
        <v>7</v>
      </c>
      <c r="C28" s="162">
        <v>23.765999999999998</v>
      </c>
      <c r="D28" s="162">
        <v>23.765999999999998</v>
      </c>
    </row>
    <row r="29" spans="2:7" ht="18.75" x14ac:dyDescent="0.25">
      <c r="B29" s="58">
        <v>8</v>
      </c>
      <c r="C29" s="162">
        <v>23.175999999999998</v>
      </c>
      <c r="D29" s="162">
        <v>23.175999999999998</v>
      </c>
    </row>
    <row r="30" spans="2:7" ht="18.75" x14ac:dyDescent="0.25">
      <c r="B30" s="58">
        <v>9</v>
      </c>
      <c r="C30" s="162">
        <v>23.783000000000001</v>
      </c>
      <c r="D30" s="162">
        <v>23.783000000000001</v>
      </c>
    </row>
    <row r="31" spans="2:7" ht="18.75" x14ac:dyDescent="0.25">
      <c r="B31" s="58">
        <v>10</v>
      </c>
      <c r="C31" s="162">
        <v>23.712</v>
      </c>
      <c r="D31" s="162">
        <v>23.712</v>
      </c>
    </row>
    <row r="32" spans="2:7" ht="18.75" x14ac:dyDescent="0.25">
      <c r="B32" s="58">
        <v>11</v>
      </c>
      <c r="C32" s="162">
        <v>23.782</v>
      </c>
      <c r="D32" s="162">
        <v>23.782</v>
      </c>
    </row>
    <row r="33" spans="2:4" ht="18.75" x14ac:dyDescent="0.25">
      <c r="B33" s="58">
        <v>12</v>
      </c>
      <c r="C33" s="162">
        <v>23.991</v>
      </c>
      <c r="D33" s="162">
        <v>23.991</v>
      </c>
    </row>
    <row r="34" spans="2:4" ht="18.75" x14ac:dyDescent="0.25">
      <c r="B34" s="58">
        <v>13</v>
      </c>
      <c r="C34" s="162">
        <v>23.434999999999999</v>
      </c>
      <c r="D34" s="162">
        <v>23.434999999999999</v>
      </c>
    </row>
    <row r="35" spans="2:4" ht="18.75" x14ac:dyDescent="0.25">
      <c r="B35" s="58">
        <v>14</v>
      </c>
      <c r="C35" s="162">
        <v>23.257999999999999</v>
      </c>
      <c r="D35" s="162">
        <v>23.257999999999999</v>
      </c>
    </row>
    <row r="36" spans="2:4" ht="18.75" x14ac:dyDescent="0.25">
      <c r="B36" s="58">
        <v>15</v>
      </c>
      <c r="C36" s="162">
        <v>23.434999999999999</v>
      </c>
      <c r="D36" s="162">
        <v>23.434999999999999</v>
      </c>
    </row>
    <row r="37" spans="2:4" ht="18.75" x14ac:dyDescent="0.25">
      <c r="B37" s="58">
        <v>16</v>
      </c>
      <c r="C37" s="162">
        <v>23.187000000000001</v>
      </c>
      <c r="D37" s="162">
        <v>23.187000000000001</v>
      </c>
    </row>
    <row r="38" spans="2:4" ht="18.75" x14ac:dyDescent="0.25">
      <c r="B38" s="58">
        <v>17</v>
      </c>
      <c r="C38" s="162">
        <v>23.905000000000001</v>
      </c>
      <c r="D38" s="162">
        <v>23.905000000000001</v>
      </c>
    </row>
    <row r="39" spans="2:4" ht="18.75" x14ac:dyDescent="0.25">
      <c r="B39" s="58">
        <v>18</v>
      </c>
      <c r="C39" s="162">
        <v>23.536999999999999</v>
      </c>
      <c r="D39" s="162">
        <v>23.536999999999999</v>
      </c>
    </row>
    <row r="40" spans="2:4" ht="18.75" x14ac:dyDescent="0.25">
      <c r="B40" s="58">
        <v>19</v>
      </c>
      <c r="C40" s="162">
        <v>24.190999999999999</v>
      </c>
      <c r="D40" s="162">
        <v>24.190999999999999</v>
      </c>
    </row>
    <row r="41" spans="2:4" ht="18.75" x14ac:dyDescent="0.25">
      <c r="B41" s="58">
        <v>20</v>
      </c>
      <c r="C41" s="162">
        <v>23.959</v>
      </c>
      <c r="D41" s="162">
        <v>23.959</v>
      </c>
    </row>
    <row r="42" spans="2:4" ht="18.75" x14ac:dyDescent="0.25">
      <c r="B42" s="58">
        <v>21</v>
      </c>
      <c r="C42" s="162">
        <v>23.616</v>
      </c>
      <c r="D42" s="162">
        <v>23.616</v>
      </c>
    </row>
    <row r="43" spans="2:4" ht="18.75" x14ac:dyDescent="0.25">
      <c r="B43" s="58">
        <v>22</v>
      </c>
      <c r="C43" s="162">
        <v>23.63</v>
      </c>
      <c r="D43" s="162">
        <v>23.63</v>
      </c>
    </row>
    <row r="44" spans="2:4" ht="18.75" x14ac:dyDescent="0.25">
      <c r="B44" s="58">
        <v>23</v>
      </c>
      <c r="C44" s="162">
        <v>24.126999999999999</v>
      </c>
      <c r="D44" s="162">
        <v>24.126999999999999</v>
      </c>
    </row>
    <row r="45" spans="2:4" ht="18.75" x14ac:dyDescent="0.25">
      <c r="B45" s="58">
        <v>24</v>
      </c>
      <c r="C45" s="162"/>
      <c r="D45" s="162"/>
    </row>
    <row r="46" spans="2:4" ht="33.75" customHeight="1" x14ac:dyDescent="0.25">
      <c r="B46" s="59" t="s">
        <v>45</v>
      </c>
      <c r="C46" s="155">
        <f>AVERAGE(C22:C45)</f>
        <v>22.85291304347826</v>
      </c>
      <c r="D46" s="155"/>
    </row>
    <row r="47" spans="2:4" ht="31.5" x14ac:dyDescent="0.25">
      <c r="B47" s="61" t="s">
        <v>46</v>
      </c>
      <c r="C47" s="60">
        <f>_xlfn.STDEV.S(C21:C45)</f>
        <v>1.4394935905037747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96A0-24D8-4AF5-B056-B66AAE01D477}">
  <sheetPr codeName="Hoja19"/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'FOM303-32-Imprimir'!C28</f>
        <v>46040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'FOM303-32-Imprimir'!E28</f>
        <v>46040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ht="12.95" customHeight="1" x14ac:dyDescent="0.25">
      <c r="B17" s="154" t="s">
        <v>43</v>
      </c>
      <c r="C17" s="154" t="s">
        <v>44</v>
      </c>
      <c r="D17" s="154"/>
      <c r="E17" s="38"/>
      <c r="G17" s="38"/>
    </row>
    <row r="18" spans="2:7" ht="12.95" customHeight="1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23.942</v>
      </c>
      <c r="D21" s="152">
        <v>23.942</v>
      </c>
      <c r="F21" s="57"/>
    </row>
    <row r="22" spans="2:7" ht="18.75" x14ac:dyDescent="0.25">
      <c r="B22" s="58">
        <v>1</v>
      </c>
      <c r="C22" s="152">
        <v>23.09</v>
      </c>
      <c r="D22" s="152">
        <v>23.09</v>
      </c>
      <c r="F22" s="57"/>
    </row>
    <row r="23" spans="2:7" ht="18.75" x14ac:dyDescent="0.25">
      <c r="B23" s="58">
        <v>2</v>
      </c>
      <c r="C23" s="152">
        <v>22.105</v>
      </c>
      <c r="D23" s="152">
        <v>22.105</v>
      </c>
      <c r="F23" s="57"/>
    </row>
    <row r="24" spans="2:7" ht="18.75" x14ac:dyDescent="0.25">
      <c r="B24" s="58">
        <v>3</v>
      </c>
      <c r="C24" s="152">
        <v>20.97</v>
      </c>
      <c r="D24" s="152">
        <v>20.97</v>
      </c>
      <c r="F24" s="57"/>
    </row>
    <row r="25" spans="2:7" ht="18.75" x14ac:dyDescent="0.25">
      <c r="B25" s="58">
        <v>4</v>
      </c>
      <c r="C25" s="152">
        <v>20.042000000000002</v>
      </c>
      <c r="D25" s="152">
        <v>20.042000000000002</v>
      </c>
      <c r="F25" s="57"/>
    </row>
    <row r="26" spans="2:7" ht="18.75" x14ac:dyDescent="0.25">
      <c r="B26" s="58">
        <v>5</v>
      </c>
      <c r="C26" s="152">
        <v>19.762</v>
      </c>
      <c r="D26" s="152">
        <v>19.762</v>
      </c>
      <c r="F26" s="57"/>
    </row>
    <row r="27" spans="2:7" ht="18.75" x14ac:dyDescent="0.25">
      <c r="B27" s="58">
        <v>6</v>
      </c>
      <c r="C27" s="152">
        <v>20.850999999999999</v>
      </c>
      <c r="D27" s="152">
        <v>20.850999999999999</v>
      </c>
      <c r="F27" s="57"/>
    </row>
    <row r="28" spans="2:7" ht="18.75" x14ac:dyDescent="0.25">
      <c r="B28" s="58">
        <v>7</v>
      </c>
      <c r="C28" s="152">
        <v>23.751000000000001</v>
      </c>
      <c r="D28" s="152">
        <v>23.751000000000001</v>
      </c>
      <c r="F28" s="57"/>
    </row>
    <row r="29" spans="2:7" ht="18.75" x14ac:dyDescent="0.25">
      <c r="B29" s="58">
        <v>8</v>
      </c>
      <c r="C29" s="152">
        <v>22.657</v>
      </c>
      <c r="D29" s="152">
        <v>22.657</v>
      </c>
      <c r="F29" s="56"/>
    </row>
    <row r="30" spans="2:7" ht="18.75" x14ac:dyDescent="0.25">
      <c r="B30" s="58">
        <v>9</v>
      </c>
      <c r="C30" s="152">
        <v>23.565999999999999</v>
      </c>
      <c r="D30" s="152">
        <v>23.565999999999999</v>
      </c>
      <c r="F30" s="57"/>
    </row>
    <row r="31" spans="2:7" ht="18.75" x14ac:dyDescent="0.25">
      <c r="B31" s="58">
        <v>10</v>
      </c>
      <c r="C31" s="152">
        <v>23.837</v>
      </c>
      <c r="D31" s="152">
        <v>23.837</v>
      </c>
      <c r="F31" s="57"/>
    </row>
    <row r="32" spans="2:7" ht="18.75" x14ac:dyDescent="0.25">
      <c r="B32" s="58">
        <v>11</v>
      </c>
      <c r="C32" s="152">
        <v>24.03</v>
      </c>
      <c r="D32" s="152">
        <v>24.03</v>
      </c>
      <c r="F32" s="57"/>
    </row>
    <row r="33" spans="2:6" ht="18.75" x14ac:dyDescent="0.25">
      <c r="B33" s="58">
        <v>12</v>
      </c>
      <c r="C33" s="152">
        <v>23.876999999999999</v>
      </c>
      <c r="D33" s="152">
        <v>23.876999999999999</v>
      </c>
      <c r="F33" s="57"/>
    </row>
    <row r="34" spans="2:6" ht="18.75" x14ac:dyDescent="0.25">
      <c r="B34" s="58">
        <v>13</v>
      </c>
      <c r="C34" s="152">
        <v>23.806999999999999</v>
      </c>
      <c r="D34" s="152">
        <v>23.806999999999999</v>
      </c>
      <c r="F34" s="57"/>
    </row>
    <row r="35" spans="2:6" ht="18.75" x14ac:dyDescent="0.25">
      <c r="B35" s="58">
        <v>14</v>
      </c>
      <c r="C35" s="152">
        <v>22.62</v>
      </c>
      <c r="D35" s="152">
        <v>22.62</v>
      </c>
      <c r="F35" s="57"/>
    </row>
    <row r="36" spans="2:6" ht="18.75" x14ac:dyDescent="0.25">
      <c r="B36" s="58">
        <v>15</v>
      </c>
      <c r="C36" s="152">
        <v>22.337</v>
      </c>
      <c r="D36" s="152">
        <v>22.337</v>
      </c>
      <c r="F36" s="56"/>
    </row>
    <row r="37" spans="2:6" ht="18.75" x14ac:dyDescent="0.25">
      <c r="B37" s="58">
        <v>16</v>
      </c>
      <c r="C37" s="152">
        <v>23.882000000000001</v>
      </c>
      <c r="D37" s="152">
        <v>23.882000000000001</v>
      </c>
      <c r="F37" s="57"/>
    </row>
    <row r="38" spans="2:6" ht="18.75" x14ac:dyDescent="0.25">
      <c r="B38" s="58">
        <v>17</v>
      </c>
      <c r="C38" s="152">
        <v>23.503</v>
      </c>
      <c r="D38" s="152">
        <v>23.503</v>
      </c>
      <c r="F38" s="57"/>
    </row>
    <row r="39" spans="2:6" ht="18.75" x14ac:dyDescent="0.25">
      <c r="B39" s="58">
        <v>18</v>
      </c>
      <c r="C39" s="152">
        <v>23.738</v>
      </c>
      <c r="D39" s="152">
        <v>23.738</v>
      </c>
      <c r="F39" s="57"/>
    </row>
    <row r="40" spans="2:6" ht="18.75" x14ac:dyDescent="0.25">
      <c r="B40" s="58">
        <v>19</v>
      </c>
      <c r="C40" s="152">
        <v>23.943999999999999</v>
      </c>
      <c r="D40" s="152">
        <v>23.943999999999999</v>
      </c>
      <c r="F40" s="57"/>
    </row>
    <row r="41" spans="2:6" ht="18.75" x14ac:dyDescent="0.25">
      <c r="B41" s="58">
        <v>20</v>
      </c>
      <c r="C41" s="152">
        <v>23.510999999999999</v>
      </c>
      <c r="D41" s="152">
        <v>23.510999999999999</v>
      </c>
      <c r="F41" s="57"/>
    </row>
    <row r="42" spans="2:6" ht="18.75" x14ac:dyDescent="0.25">
      <c r="B42" s="58">
        <v>21</v>
      </c>
      <c r="C42" s="152">
        <v>23.396000000000001</v>
      </c>
      <c r="D42" s="152">
        <v>23.396000000000001</v>
      </c>
      <c r="F42" s="57"/>
    </row>
    <row r="43" spans="2:6" ht="18.75" x14ac:dyDescent="0.25">
      <c r="B43" s="58">
        <v>22</v>
      </c>
      <c r="C43" s="152">
        <v>24.324000000000002</v>
      </c>
      <c r="D43" s="152">
        <v>24.324000000000002</v>
      </c>
      <c r="F43" s="57"/>
    </row>
    <row r="44" spans="2:6" ht="18.75" x14ac:dyDescent="0.25">
      <c r="B44" s="58">
        <v>23</v>
      </c>
      <c r="C44" s="152">
        <v>24.071999999999999</v>
      </c>
      <c r="D44" s="152">
        <v>24.071999999999999</v>
      </c>
      <c r="F44" s="57"/>
    </row>
    <row r="45" spans="2:6" ht="18.75" x14ac:dyDescent="0.25">
      <c r="B45" s="58">
        <v>24</v>
      </c>
      <c r="C45" s="152"/>
      <c r="D45" s="152"/>
    </row>
    <row r="46" spans="2:6" ht="33.75" customHeight="1" x14ac:dyDescent="0.25">
      <c r="B46" s="59" t="s">
        <v>45</v>
      </c>
      <c r="C46" s="155">
        <f>AVERAGE(C22:C45)</f>
        <v>22.942260869565217</v>
      </c>
      <c r="D46" s="155"/>
    </row>
    <row r="47" spans="2:6" ht="31.5" x14ac:dyDescent="0.25">
      <c r="B47" s="61" t="s">
        <v>46</v>
      </c>
      <c r="C47" s="60">
        <f>_xlfn.STDEV.S(C21:C45)</f>
        <v>1.3223566221832459</v>
      </c>
      <c r="D47" s="62" t="s">
        <v>47</v>
      </c>
    </row>
    <row r="48" spans="2:6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956B-0D96-4F80-BD2A-D4F357BF64E5}">
  <sheetPr codeName="Hoja20"/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'FOM303-32-Imprimir'!C29</f>
        <v>46041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'FOM303-32-Imprimir'!E29</f>
        <v>46041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62">
        <v>24.166</v>
      </c>
      <c r="D21" s="162">
        <v>24.166</v>
      </c>
    </row>
    <row r="22" spans="2:7" ht="18.75" x14ac:dyDescent="0.25">
      <c r="B22" s="58">
        <v>1</v>
      </c>
      <c r="C22" s="162">
        <v>23.881</v>
      </c>
      <c r="D22" s="162">
        <v>23.881</v>
      </c>
    </row>
    <row r="23" spans="2:7" ht="18.75" x14ac:dyDescent="0.25">
      <c r="B23" s="58">
        <v>2</v>
      </c>
      <c r="C23" s="162">
        <v>23.123999999999999</v>
      </c>
      <c r="D23" s="162">
        <v>23.123999999999999</v>
      </c>
    </row>
    <row r="24" spans="2:7" ht="18.75" x14ac:dyDescent="0.25">
      <c r="B24" s="58">
        <v>3</v>
      </c>
      <c r="C24" s="162">
        <v>22.526</v>
      </c>
      <c r="D24" s="162">
        <v>22.526</v>
      </c>
    </row>
    <row r="25" spans="2:7" ht="18.75" x14ac:dyDescent="0.25">
      <c r="B25" s="58">
        <v>4</v>
      </c>
      <c r="C25" s="162">
        <v>22.143999999999998</v>
      </c>
      <c r="D25" s="162">
        <v>22.143999999999998</v>
      </c>
    </row>
    <row r="26" spans="2:7" ht="18.75" x14ac:dyDescent="0.25">
      <c r="B26" s="58">
        <v>5</v>
      </c>
      <c r="C26" s="162">
        <v>21.826000000000001</v>
      </c>
      <c r="D26" s="162">
        <v>21.826000000000001</v>
      </c>
    </row>
    <row r="27" spans="2:7" ht="18.75" x14ac:dyDescent="0.25">
      <c r="B27" s="58">
        <v>6</v>
      </c>
      <c r="C27" s="162">
        <v>22.189</v>
      </c>
      <c r="D27" s="162">
        <v>22.189</v>
      </c>
    </row>
    <row r="28" spans="2:7" ht="18.75" x14ac:dyDescent="0.25">
      <c r="B28" s="58">
        <v>7</v>
      </c>
      <c r="C28" s="162">
        <v>23.44</v>
      </c>
      <c r="D28" s="162">
        <v>23.44</v>
      </c>
    </row>
    <row r="29" spans="2:7" ht="18.75" x14ac:dyDescent="0.25">
      <c r="B29" s="58">
        <v>8</v>
      </c>
      <c r="C29" s="162">
        <v>22.803999999999998</v>
      </c>
      <c r="D29" s="162">
        <v>22.803999999999998</v>
      </c>
    </row>
    <row r="30" spans="2:7" ht="18.75" x14ac:dyDescent="0.25">
      <c r="B30" s="58">
        <v>9</v>
      </c>
      <c r="C30" s="162">
        <v>23.158999999999999</v>
      </c>
      <c r="D30" s="162">
        <v>23.158999999999999</v>
      </c>
    </row>
    <row r="31" spans="2:7" ht="18.75" x14ac:dyDescent="0.25">
      <c r="B31" s="58">
        <v>10</v>
      </c>
      <c r="C31" s="162">
        <v>22.831</v>
      </c>
      <c r="D31" s="162">
        <v>22.831</v>
      </c>
    </row>
    <row r="32" spans="2:7" ht="18.75" x14ac:dyDescent="0.25">
      <c r="B32" s="58">
        <v>11</v>
      </c>
      <c r="C32" s="162">
        <v>22.905000000000001</v>
      </c>
      <c r="D32" s="162">
        <v>22.905000000000001</v>
      </c>
    </row>
    <row r="33" spans="2:4" ht="18.75" x14ac:dyDescent="0.25">
      <c r="B33" s="58">
        <v>12</v>
      </c>
      <c r="C33" s="162">
        <v>23.047999999999998</v>
      </c>
      <c r="D33" s="162">
        <v>23.047999999999998</v>
      </c>
    </row>
    <row r="34" spans="2:4" ht="18.75" x14ac:dyDescent="0.25">
      <c r="B34" s="58">
        <v>13</v>
      </c>
      <c r="C34" s="162">
        <v>22.527999999999999</v>
      </c>
      <c r="D34" s="162">
        <v>22.527999999999999</v>
      </c>
    </row>
    <row r="35" spans="2:4" ht="18.75" x14ac:dyDescent="0.25">
      <c r="B35" s="58">
        <v>14</v>
      </c>
      <c r="C35" s="162">
        <v>23.117999999999999</v>
      </c>
      <c r="D35" s="162">
        <v>23.117999999999999</v>
      </c>
    </row>
    <row r="36" spans="2:4" ht="18.75" x14ac:dyDescent="0.25">
      <c r="B36" s="58">
        <v>15</v>
      </c>
      <c r="C36" s="162">
        <v>23.361000000000001</v>
      </c>
      <c r="D36" s="162">
        <v>23.361000000000001</v>
      </c>
    </row>
    <row r="37" spans="2:4" ht="18.75" x14ac:dyDescent="0.25">
      <c r="B37" s="58">
        <v>16</v>
      </c>
      <c r="C37" s="162">
        <v>23.673999999999999</v>
      </c>
      <c r="D37" s="162">
        <v>23.673999999999999</v>
      </c>
    </row>
    <row r="38" spans="2:4" ht="18.75" x14ac:dyDescent="0.25">
      <c r="B38" s="58">
        <v>17</v>
      </c>
      <c r="C38" s="162">
        <v>23.596</v>
      </c>
      <c r="D38" s="162">
        <v>23.596</v>
      </c>
    </row>
    <row r="39" spans="2:4" ht="18.75" x14ac:dyDescent="0.25">
      <c r="B39" s="58">
        <v>18</v>
      </c>
      <c r="C39" s="162">
        <v>23.53</v>
      </c>
      <c r="D39" s="162">
        <v>23.53</v>
      </c>
    </row>
    <row r="40" spans="2:4" ht="18.75" x14ac:dyDescent="0.25">
      <c r="B40" s="58">
        <v>19</v>
      </c>
      <c r="C40" s="162">
        <v>23.617999999999999</v>
      </c>
      <c r="D40" s="162">
        <v>23.617999999999999</v>
      </c>
    </row>
    <row r="41" spans="2:4" ht="18.75" x14ac:dyDescent="0.25">
      <c r="B41" s="58">
        <v>20</v>
      </c>
      <c r="C41" s="162">
        <v>23.893999999999998</v>
      </c>
      <c r="D41" s="162">
        <v>23.893999999999998</v>
      </c>
    </row>
    <row r="42" spans="2:4" ht="18.75" x14ac:dyDescent="0.25">
      <c r="B42" s="58">
        <v>21</v>
      </c>
      <c r="C42" s="162">
        <v>23.9</v>
      </c>
      <c r="D42" s="162">
        <v>23.9</v>
      </c>
    </row>
    <row r="43" spans="2:4" ht="18.75" x14ac:dyDescent="0.25">
      <c r="B43" s="58">
        <v>22</v>
      </c>
      <c r="C43" s="162">
        <v>24.102</v>
      </c>
      <c r="D43" s="162">
        <v>24.102</v>
      </c>
    </row>
    <row r="44" spans="2:4" ht="18.75" x14ac:dyDescent="0.25">
      <c r="B44" s="58">
        <v>23</v>
      </c>
      <c r="C44" s="162">
        <v>24.263000000000002</v>
      </c>
      <c r="D44" s="162">
        <v>24.263000000000002</v>
      </c>
    </row>
    <row r="45" spans="2:4" ht="18.75" x14ac:dyDescent="0.25">
      <c r="B45" s="58">
        <v>24</v>
      </c>
      <c r="C45" s="162"/>
      <c r="D45" s="162"/>
    </row>
    <row r="46" spans="2:4" ht="33.75" customHeight="1" x14ac:dyDescent="0.25">
      <c r="B46" s="59" t="s">
        <v>45</v>
      </c>
      <c r="C46" s="155">
        <f>AVERAGE(C22:C45)</f>
        <v>23.193956521739125</v>
      </c>
      <c r="D46" s="155"/>
    </row>
    <row r="47" spans="2:4" ht="31.5" x14ac:dyDescent="0.25">
      <c r="B47" s="61" t="s">
        <v>46</v>
      </c>
      <c r="C47" s="60">
        <f>_xlfn.STDEV.S(C21:C45)</f>
        <v>0.67180956017678695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F535-A477-45B0-B981-213BDD960E54}">
  <sheetPr codeName="Hoja21"/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'FOM303-32-Imprimir'!C30</f>
        <v>46042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'FOM303-32-Imprimir'!E30</f>
        <v>46042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63">
        <v>24.405999999999999</v>
      </c>
      <c r="D21" s="164">
        <v>24.405999999999999</v>
      </c>
    </row>
    <row r="22" spans="2:7" ht="18.75" x14ac:dyDescent="0.25">
      <c r="B22" s="58">
        <v>1</v>
      </c>
      <c r="C22" s="163">
        <v>24.018999999999998</v>
      </c>
      <c r="D22" s="164">
        <v>24.018999999999998</v>
      </c>
    </row>
    <row r="23" spans="2:7" ht="18.75" x14ac:dyDescent="0.25">
      <c r="B23" s="58">
        <v>2</v>
      </c>
      <c r="C23" s="163">
        <v>23.704000000000001</v>
      </c>
      <c r="D23" s="164">
        <v>23.704000000000001</v>
      </c>
    </row>
    <row r="24" spans="2:7" ht="18.75" x14ac:dyDescent="0.25">
      <c r="B24" s="58">
        <v>3</v>
      </c>
      <c r="C24" s="163">
        <v>23.85</v>
      </c>
      <c r="D24" s="164">
        <v>23.85</v>
      </c>
    </row>
    <row r="25" spans="2:7" ht="18.75" x14ac:dyDescent="0.25">
      <c r="B25" s="58">
        <v>4</v>
      </c>
      <c r="C25" s="163">
        <v>24.175999999999998</v>
      </c>
      <c r="D25" s="164">
        <v>24.175999999999998</v>
      </c>
    </row>
    <row r="26" spans="2:7" ht="18.75" x14ac:dyDescent="0.25">
      <c r="B26" s="58">
        <v>5</v>
      </c>
      <c r="C26" s="163">
        <v>23.547999999999998</v>
      </c>
      <c r="D26" s="164">
        <v>23.547999999999998</v>
      </c>
    </row>
    <row r="27" spans="2:7" ht="18.75" x14ac:dyDescent="0.25">
      <c r="B27" s="58">
        <v>6</v>
      </c>
      <c r="C27" s="163">
        <v>23.372</v>
      </c>
      <c r="D27" s="164">
        <v>23.372</v>
      </c>
    </row>
    <row r="28" spans="2:7" ht="18.75" x14ac:dyDescent="0.25">
      <c r="B28" s="58">
        <v>7</v>
      </c>
      <c r="C28" s="163">
        <v>23.552</v>
      </c>
      <c r="D28" s="164">
        <v>23.552</v>
      </c>
    </row>
    <row r="29" spans="2:7" ht="18.75" x14ac:dyDescent="0.25">
      <c r="B29" s="58">
        <v>8</v>
      </c>
      <c r="C29" s="163">
        <v>22.504000000000001</v>
      </c>
      <c r="D29" s="164">
        <v>22.504000000000001</v>
      </c>
    </row>
    <row r="30" spans="2:7" ht="18.75" x14ac:dyDescent="0.25">
      <c r="B30" s="58">
        <v>9</v>
      </c>
      <c r="C30" s="163">
        <v>23.581</v>
      </c>
      <c r="D30" s="164">
        <v>23.581</v>
      </c>
    </row>
    <row r="31" spans="2:7" ht="18.75" x14ac:dyDescent="0.25">
      <c r="B31" s="58">
        <v>10</v>
      </c>
      <c r="C31" s="163">
        <v>23.158999999999999</v>
      </c>
      <c r="D31" s="164">
        <v>23.158999999999999</v>
      </c>
    </row>
    <row r="32" spans="2:7" ht="18.75" x14ac:dyDescent="0.25">
      <c r="B32" s="58">
        <v>11</v>
      </c>
      <c r="C32" s="163">
        <v>22.57</v>
      </c>
      <c r="D32" s="164">
        <v>22.57</v>
      </c>
    </row>
    <row r="33" spans="2:4" ht="18.75" x14ac:dyDescent="0.25">
      <c r="B33" s="58">
        <v>12</v>
      </c>
      <c r="C33" s="163">
        <v>23.102</v>
      </c>
      <c r="D33" s="164">
        <v>23.102</v>
      </c>
    </row>
    <row r="34" spans="2:4" ht="18.75" x14ac:dyDescent="0.25">
      <c r="B34" s="58">
        <v>13</v>
      </c>
      <c r="C34" s="163">
        <v>22.657</v>
      </c>
      <c r="D34" s="164">
        <v>22.657</v>
      </c>
    </row>
    <row r="35" spans="2:4" ht="18.75" x14ac:dyDescent="0.25">
      <c r="B35" s="58">
        <v>14</v>
      </c>
      <c r="C35" s="163">
        <v>23.254999999999999</v>
      </c>
      <c r="D35" s="164">
        <v>23.254999999999999</v>
      </c>
    </row>
    <row r="36" spans="2:4" ht="18.75" x14ac:dyDescent="0.25">
      <c r="B36" s="58">
        <v>15</v>
      </c>
      <c r="C36" s="163">
        <v>22.9</v>
      </c>
      <c r="D36" s="164">
        <v>22.9</v>
      </c>
    </row>
    <row r="37" spans="2:4" ht="18.75" x14ac:dyDescent="0.25">
      <c r="B37" s="58">
        <v>16</v>
      </c>
      <c r="C37" s="163">
        <v>22.911000000000001</v>
      </c>
      <c r="D37" s="164">
        <v>22.911000000000001</v>
      </c>
    </row>
    <row r="38" spans="2:4" ht="18.75" x14ac:dyDescent="0.25">
      <c r="B38" s="58">
        <v>17</v>
      </c>
      <c r="C38" s="163">
        <v>23.798999999999999</v>
      </c>
      <c r="D38" s="164">
        <v>23.798999999999999</v>
      </c>
    </row>
    <row r="39" spans="2:4" ht="18.75" x14ac:dyDescent="0.25">
      <c r="B39" s="58">
        <v>18</v>
      </c>
      <c r="C39" s="163">
        <v>23.568999999999999</v>
      </c>
      <c r="D39" s="164">
        <v>23.568999999999999</v>
      </c>
    </row>
    <row r="40" spans="2:4" ht="18.75" x14ac:dyDescent="0.25">
      <c r="B40" s="58">
        <v>19</v>
      </c>
      <c r="C40" s="163">
        <v>23.76</v>
      </c>
      <c r="D40" s="164">
        <v>23.76</v>
      </c>
    </row>
    <row r="41" spans="2:4" ht="18.75" x14ac:dyDescent="0.25">
      <c r="B41" s="58">
        <v>20</v>
      </c>
      <c r="C41" s="163">
        <v>23.588999999999999</v>
      </c>
      <c r="D41" s="164">
        <v>23.588999999999999</v>
      </c>
    </row>
    <row r="42" spans="2:4" ht="18.75" x14ac:dyDescent="0.25">
      <c r="B42" s="58">
        <v>21</v>
      </c>
      <c r="C42" s="163">
        <v>23.545999999999999</v>
      </c>
      <c r="D42" s="164">
        <v>23.545999999999999</v>
      </c>
    </row>
    <row r="43" spans="2:4" ht="18.75" x14ac:dyDescent="0.25">
      <c r="B43" s="58">
        <v>22</v>
      </c>
      <c r="C43" s="163">
        <v>23.864999999999998</v>
      </c>
      <c r="D43" s="164">
        <v>23.864999999999998</v>
      </c>
    </row>
    <row r="44" spans="2:4" ht="18.75" x14ac:dyDescent="0.25">
      <c r="B44" s="58">
        <v>23</v>
      </c>
      <c r="C44" s="163">
        <v>23.766999999999999</v>
      </c>
      <c r="D44" s="164">
        <v>23.766999999999999</v>
      </c>
    </row>
    <row r="45" spans="2:4" ht="18.75" x14ac:dyDescent="0.25">
      <c r="B45" s="58">
        <v>24</v>
      </c>
      <c r="C45" s="163"/>
      <c r="D45" s="164"/>
    </row>
    <row r="46" spans="2:4" ht="33.75" customHeight="1" x14ac:dyDescent="0.25">
      <c r="B46" s="59" t="s">
        <v>45</v>
      </c>
      <c r="C46" s="155">
        <f>AVERAGE(C22:C45)</f>
        <v>23.424130434782604</v>
      </c>
      <c r="D46" s="155"/>
    </row>
    <row r="47" spans="2:4" ht="31.5" x14ac:dyDescent="0.25">
      <c r="B47" s="61" t="s">
        <v>46</v>
      </c>
      <c r="C47" s="60">
        <f>_xlfn.STDEV.S(C21:C45)</f>
        <v>0.49762134016579851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23A8-9694-4FBC-A10C-6F0F4660BE81}">
  <sheetPr codeName="Hoja22"/>
  <dimension ref="A1:L50"/>
  <sheetViews>
    <sheetView showGridLines="0" view="pageBreakPreview" topLeftCell="A7" zoomScale="90" zoomScaleNormal="85" zoomScaleSheetLayoutView="90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'FOM303-32-Imprimir'!C31</f>
        <v>46043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'FOM303-32-Imprimir'!E31</f>
        <v>46043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62">
        <v>23.082999999999998</v>
      </c>
      <c r="D21" s="162">
        <v>23.082999999999998</v>
      </c>
    </row>
    <row r="22" spans="2:7" ht="18.75" x14ac:dyDescent="0.25">
      <c r="B22" s="58">
        <v>1</v>
      </c>
      <c r="C22" s="162">
        <v>22.254999999999999</v>
      </c>
      <c r="D22" s="162">
        <v>22.254999999999999</v>
      </c>
    </row>
    <row r="23" spans="2:7" ht="18.75" x14ac:dyDescent="0.25">
      <c r="B23" s="58">
        <v>2</v>
      </c>
      <c r="C23" s="162">
        <v>21.103999999999999</v>
      </c>
      <c r="D23" s="162">
        <v>21.103999999999999</v>
      </c>
    </row>
    <row r="24" spans="2:7" ht="18.75" x14ac:dyDescent="0.25">
      <c r="B24" s="58">
        <v>3</v>
      </c>
      <c r="C24" s="162">
        <v>20.280999999999999</v>
      </c>
      <c r="D24" s="162">
        <v>20.280999999999999</v>
      </c>
    </row>
    <row r="25" spans="2:7" ht="18.75" x14ac:dyDescent="0.25">
      <c r="B25" s="58">
        <v>4</v>
      </c>
      <c r="C25" s="162">
        <v>20.044</v>
      </c>
      <c r="D25" s="162">
        <v>20.044</v>
      </c>
    </row>
    <row r="26" spans="2:7" ht="18.75" x14ac:dyDescent="0.25">
      <c r="B26" s="58">
        <v>5</v>
      </c>
      <c r="C26" s="162">
        <v>19.797999999999998</v>
      </c>
      <c r="D26" s="162">
        <v>19.797999999999998</v>
      </c>
    </row>
    <row r="27" spans="2:7" ht="18.75" x14ac:dyDescent="0.25">
      <c r="B27" s="58">
        <v>6</v>
      </c>
      <c r="C27" s="162">
        <v>20.071999999999999</v>
      </c>
      <c r="D27" s="162">
        <v>20.071999999999999</v>
      </c>
    </row>
    <row r="28" spans="2:7" ht="18.75" x14ac:dyDescent="0.25">
      <c r="B28" s="58">
        <v>7</v>
      </c>
      <c r="C28" s="162">
        <v>23.236000000000001</v>
      </c>
      <c r="D28" s="162">
        <v>23.236000000000001</v>
      </c>
    </row>
    <row r="29" spans="2:7" ht="18.75" x14ac:dyDescent="0.25">
      <c r="B29" s="58">
        <v>8</v>
      </c>
      <c r="C29" s="162">
        <v>23.132999999999999</v>
      </c>
      <c r="D29" s="162">
        <v>23.132999999999999</v>
      </c>
    </row>
    <row r="30" spans="2:7" ht="18.75" x14ac:dyDescent="0.25">
      <c r="B30" s="58">
        <v>9</v>
      </c>
      <c r="C30" s="162">
        <v>22.423999999999999</v>
      </c>
      <c r="D30" s="162">
        <v>22.423999999999999</v>
      </c>
    </row>
    <row r="31" spans="2:7" ht="18.75" x14ac:dyDescent="0.25">
      <c r="B31" s="58">
        <v>10</v>
      </c>
      <c r="C31" s="162">
        <v>23.881</v>
      </c>
      <c r="D31" s="162">
        <v>23.881</v>
      </c>
    </row>
    <row r="32" spans="2:7" ht="18.75" x14ac:dyDescent="0.25">
      <c r="B32" s="58">
        <v>11</v>
      </c>
      <c r="C32" s="162">
        <v>23.690999999999999</v>
      </c>
      <c r="D32" s="162">
        <v>23.690999999999999</v>
      </c>
    </row>
    <row r="33" spans="2:4" ht="18.75" x14ac:dyDescent="0.25">
      <c r="B33" s="58">
        <v>12</v>
      </c>
      <c r="C33" s="162">
        <v>23.806999999999999</v>
      </c>
      <c r="D33" s="162">
        <v>23.806999999999999</v>
      </c>
    </row>
    <row r="34" spans="2:4" ht="18.75" x14ac:dyDescent="0.25">
      <c r="B34" s="58">
        <v>13</v>
      </c>
      <c r="C34" s="162">
        <v>23.875</v>
      </c>
      <c r="D34" s="162">
        <v>23.875</v>
      </c>
    </row>
    <row r="35" spans="2:4" ht="18.75" x14ac:dyDescent="0.25">
      <c r="B35" s="58">
        <v>14</v>
      </c>
      <c r="C35" s="162">
        <v>23.393999999999998</v>
      </c>
      <c r="D35" s="162">
        <v>23.393999999999998</v>
      </c>
    </row>
    <row r="36" spans="2:4" ht="18.75" x14ac:dyDescent="0.25">
      <c r="B36" s="58">
        <v>15</v>
      </c>
      <c r="C36" s="162">
        <v>23.2</v>
      </c>
      <c r="D36" s="162">
        <v>23.2</v>
      </c>
    </row>
    <row r="37" spans="2:4" ht="18.75" x14ac:dyDescent="0.25">
      <c r="B37" s="58">
        <v>16</v>
      </c>
      <c r="C37" s="162">
        <v>22.768000000000001</v>
      </c>
      <c r="D37" s="162">
        <v>22.768000000000001</v>
      </c>
    </row>
    <row r="38" spans="2:4" ht="18.75" x14ac:dyDescent="0.25">
      <c r="B38" s="58">
        <v>17</v>
      </c>
      <c r="C38" s="162">
        <v>23.425000000000001</v>
      </c>
      <c r="D38" s="162">
        <v>23.425000000000001</v>
      </c>
    </row>
    <row r="39" spans="2:4" ht="18.75" x14ac:dyDescent="0.25">
      <c r="B39" s="58">
        <v>18</v>
      </c>
      <c r="C39" s="162">
        <v>23.492000000000001</v>
      </c>
      <c r="D39" s="162">
        <v>23.492000000000001</v>
      </c>
    </row>
    <row r="40" spans="2:4" ht="18.75" x14ac:dyDescent="0.25">
      <c r="B40" s="58">
        <v>19</v>
      </c>
      <c r="C40" s="162">
        <v>23.704999999999998</v>
      </c>
      <c r="D40" s="162">
        <v>23.704999999999998</v>
      </c>
    </row>
    <row r="41" spans="2:4" ht="18.75" x14ac:dyDescent="0.25">
      <c r="B41" s="58">
        <v>20</v>
      </c>
      <c r="C41" s="162">
        <v>23.683</v>
      </c>
      <c r="D41" s="162">
        <v>23.683</v>
      </c>
    </row>
    <row r="42" spans="2:4" ht="18.75" x14ac:dyDescent="0.25">
      <c r="B42" s="58">
        <v>21</v>
      </c>
      <c r="C42" s="162">
        <v>23.815999999999999</v>
      </c>
      <c r="D42" s="162">
        <v>23.815999999999999</v>
      </c>
    </row>
    <row r="43" spans="2:4" ht="18.75" x14ac:dyDescent="0.25">
      <c r="B43" s="58">
        <v>22</v>
      </c>
      <c r="C43" s="162">
        <v>23.702999999999999</v>
      </c>
      <c r="D43" s="162">
        <v>23.702999999999999</v>
      </c>
    </row>
    <row r="44" spans="2:4" ht="18.75" x14ac:dyDescent="0.25">
      <c r="B44" s="58">
        <v>23</v>
      </c>
      <c r="C44" s="162">
        <v>24.059000000000001</v>
      </c>
      <c r="D44" s="162">
        <v>24.059000000000001</v>
      </c>
    </row>
    <row r="45" spans="2:4" ht="18.75" x14ac:dyDescent="0.25">
      <c r="B45" s="58">
        <v>24</v>
      </c>
      <c r="C45" s="162"/>
      <c r="D45" s="162"/>
    </row>
    <row r="46" spans="2:4" ht="33.75" customHeight="1" x14ac:dyDescent="0.25">
      <c r="B46" s="59" t="s">
        <v>45</v>
      </c>
      <c r="C46" s="155">
        <f>AVERAGE(C22:C45)</f>
        <v>22.732434782608692</v>
      </c>
      <c r="D46" s="155"/>
    </row>
    <row r="47" spans="2:4" ht="31.5" x14ac:dyDescent="0.25">
      <c r="B47" s="61" t="s">
        <v>46</v>
      </c>
      <c r="C47" s="60">
        <f>_xlfn.STDEV.S(C21:C45)</f>
        <v>1.3920643250744298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CC69-A5D7-4FA7-B3BB-85D22F7FFE8B}">
  <sheetPr codeName="Hoja23"/>
  <dimension ref="A1:L50"/>
  <sheetViews>
    <sheetView showGridLines="0" view="pageBreakPreview" zoomScale="85" zoomScaleNormal="85" zoomScaleSheetLayoutView="85" workbookViewId="0">
      <selection activeCell="C21" sqref="C21:D3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'FOM303-32-Imprimir'!C32</f>
        <v>46044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'FOM303-32-Imprimir'!E32</f>
        <v>46044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23.745999999999999</v>
      </c>
      <c r="D21" s="152">
        <v>23.745999999999999</v>
      </c>
    </row>
    <row r="22" spans="2:7" ht="18.75" x14ac:dyDescent="0.25">
      <c r="B22" s="58">
        <v>1</v>
      </c>
      <c r="C22" s="152">
        <v>23.443000000000001</v>
      </c>
      <c r="D22" s="152">
        <v>23.443000000000001</v>
      </c>
    </row>
    <row r="23" spans="2:7" ht="18.75" x14ac:dyDescent="0.25">
      <c r="B23" s="58">
        <v>2</v>
      </c>
      <c r="C23" s="152">
        <v>24.015999999999998</v>
      </c>
      <c r="D23" s="152">
        <v>24.015999999999998</v>
      </c>
    </row>
    <row r="24" spans="2:7" ht="18.75" x14ac:dyDescent="0.25">
      <c r="B24" s="58">
        <v>3</v>
      </c>
      <c r="C24" s="152">
        <v>23.701000000000001</v>
      </c>
      <c r="D24" s="152">
        <v>23.701000000000001</v>
      </c>
    </row>
    <row r="25" spans="2:7" ht="18.75" x14ac:dyDescent="0.25">
      <c r="B25" s="58">
        <v>4</v>
      </c>
      <c r="C25" s="152">
        <v>23.175999999999998</v>
      </c>
      <c r="D25" s="152">
        <v>23.175999999999998</v>
      </c>
    </row>
    <row r="26" spans="2:7" ht="18.75" x14ac:dyDescent="0.25">
      <c r="B26" s="58">
        <v>5</v>
      </c>
      <c r="C26" s="152">
        <v>23.015000000000001</v>
      </c>
      <c r="D26" s="152">
        <v>23.015000000000001</v>
      </c>
    </row>
    <row r="27" spans="2:7" ht="18.75" x14ac:dyDescent="0.25">
      <c r="B27" s="58">
        <v>6</v>
      </c>
      <c r="C27" s="152">
        <v>23.561</v>
      </c>
      <c r="D27" s="152">
        <v>23.561</v>
      </c>
    </row>
    <row r="28" spans="2:7" ht="18.75" x14ac:dyDescent="0.25">
      <c r="B28" s="58">
        <v>7</v>
      </c>
      <c r="C28" s="152">
        <v>23.785</v>
      </c>
      <c r="D28" s="152">
        <v>23.785</v>
      </c>
    </row>
    <row r="29" spans="2:7" ht="18.75" x14ac:dyDescent="0.25">
      <c r="B29" s="58">
        <v>8</v>
      </c>
      <c r="C29" s="152">
        <v>23.643000000000001</v>
      </c>
      <c r="D29" s="152">
        <v>23.643000000000001</v>
      </c>
    </row>
    <row r="30" spans="2:7" ht="18.75" x14ac:dyDescent="0.25">
      <c r="B30" s="58">
        <v>9</v>
      </c>
      <c r="C30" s="152">
        <v>24.036999999999999</v>
      </c>
      <c r="D30" s="152">
        <v>24.036999999999999</v>
      </c>
    </row>
    <row r="31" spans="2:7" ht="18.75" x14ac:dyDescent="0.25">
      <c r="B31" s="58">
        <v>10</v>
      </c>
      <c r="C31" s="152">
        <v>23.597000000000001</v>
      </c>
      <c r="D31" s="152">
        <v>23.597000000000001</v>
      </c>
    </row>
    <row r="32" spans="2:7" ht="18.75" x14ac:dyDescent="0.25">
      <c r="B32" s="58">
        <v>11</v>
      </c>
      <c r="C32" s="152">
        <v>23.884</v>
      </c>
      <c r="D32" s="152">
        <v>23.884</v>
      </c>
    </row>
    <row r="33" spans="2:4" ht="18.75" x14ac:dyDescent="0.25">
      <c r="B33" s="58">
        <v>12</v>
      </c>
      <c r="C33" s="152">
        <v>23.888000000000002</v>
      </c>
      <c r="D33" s="152">
        <v>23.888000000000002</v>
      </c>
    </row>
    <row r="34" spans="2:4" ht="18.75" x14ac:dyDescent="0.25">
      <c r="B34" s="58">
        <v>13</v>
      </c>
      <c r="C34" s="152">
        <v>23.579000000000001</v>
      </c>
      <c r="D34" s="152">
        <v>23.579000000000001</v>
      </c>
    </row>
    <row r="35" spans="2:4" ht="18.75" x14ac:dyDescent="0.25">
      <c r="B35" s="58">
        <v>14</v>
      </c>
      <c r="C35" s="152">
        <v>24.350999999999999</v>
      </c>
      <c r="D35" s="152"/>
    </row>
    <row r="36" spans="2:4" ht="18.75" x14ac:dyDescent="0.25">
      <c r="B36" s="58">
        <v>15</v>
      </c>
      <c r="C36" s="152">
        <v>23.75</v>
      </c>
      <c r="D36" s="152"/>
    </row>
    <row r="37" spans="2:4" ht="18.75" x14ac:dyDescent="0.25">
      <c r="B37" s="58">
        <v>16</v>
      </c>
      <c r="C37" s="152">
        <v>22.818000000000001</v>
      </c>
      <c r="D37" s="152"/>
    </row>
    <row r="38" spans="2:4" ht="18.75" x14ac:dyDescent="0.25">
      <c r="B38" s="58">
        <v>17</v>
      </c>
      <c r="C38" s="152">
        <v>21.99</v>
      </c>
      <c r="D38" s="152"/>
    </row>
    <row r="39" spans="2:4" ht="18.75" x14ac:dyDescent="0.25">
      <c r="B39" s="58">
        <v>18</v>
      </c>
      <c r="C39" s="152">
        <v>21.100999999999999</v>
      </c>
      <c r="D39" s="152"/>
    </row>
    <row r="40" spans="2:4" ht="18.75" x14ac:dyDescent="0.25">
      <c r="B40" s="58">
        <v>19</v>
      </c>
      <c r="C40" s="152">
        <v>21.088000000000001</v>
      </c>
      <c r="D40" s="152"/>
    </row>
    <row r="41" spans="2:4" ht="18.75" x14ac:dyDescent="0.25">
      <c r="B41" s="58">
        <v>20</v>
      </c>
      <c r="C41" s="152">
        <v>20.966000000000001</v>
      </c>
      <c r="D41" s="152"/>
    </row>
    <row r="42" spans="2:4" ht="18.75" x14ac:dyDescent="0.25">
      <c r="B42" s="58">
        <v>21</v>
      </c>
      <c r="C42" s="152">
        <v>20.797999999999998</v>
      </c>
      <c r="D42" s="152"/>
    </row>
    <row r="43" spans="2:4" ht="18.75" x14ac:dyDescent="0.25">
      <c r="B43" s="58">
        <v>22</v>
      </c>
      <c r="C43" s="152">
        <v>20.561</v>
      </c>
      <c r="D43" s="152"/>
    </row>
    <row r="44" spans="2:4" ht="18.75" x14ac:dyDescent="0.25">
      <c r="B44" s="58">
        <v>23</v>
      </c>
      <c r="C44" s="152">
        <v>20.396000000000001</v>
      </c>
      <c r="D44" s="152"/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22.832347826086956</v>
      </c>
      <c r="D46" s="155"/>
    </row>
    <row r="47" spans="2:4" ht="31.5" x14ac:dyDescent="0.25">
      <c r="B47" s="61" t="s">
        <v>46</v>
      </c>
      <c r="C47" s="60">
        <f>_xlfn.STDEV.S(C21:C45)</f>
        <v>1.3022455494316318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D0C9-04B5-4B15-86CF-19BA7C5BC1E5}">
  <sheetPr codeName="Hoja24"/>
  <dimension ref="A1:L50"/>
  <sheetViews>
    <sheetView showGridLines="0" view="pageBreakPreview" topLeftCell="A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'FOM303-32-Imprimir'!C33</f>
        <v>46045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'FOM303-32-Imprimir'!E33</f>
        <v>46045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62">
        <v>23.815999999999999</v>
      </c>
      <c r="D21" s="162">
        <v>23.815999999999999</v>
      </c>
    </row>
    <row r="22" spans="2:7" ht="18.75" x14ac:dyDescent="0.25">
      <c r="B22" s="58">
        <v>1</v>
      </c>
      <c r="C22" s="162">
        <v>23.608000000000001</v>
      </c>
      <c r="D22" s="162">
        <v>23.608000000000001</v>
      </c>
    </row>
    <row r="23" spans="2:7" ht="18.75" x14ac:dyDescent="0.25">
      <c r="B23" s="58">
        <v>2</v>
      </c>
      <c r="C23" s="162">
        <v>23.742999999999999</v>
      </c>
      <c r="D23" s="162">
        <v>23.742999999999999</v>
      </c>
    </row>
    <row r="24" spans="2:7" ht="18.75" x14ac:dyDescent="0.25">
      <c r="B24" s="58">
        <v>3</v>
      </c>
      <c r="C24" s="162">
        <v>23.858000000000001</v>
      </c>
      <c r="D24" s="162">
        <v>23.858000000000001</v>
      </c>
    </row>
    <row r="25" spans="2:7" ht="18.75" x14ac:dyDescent="0.25">
      <c r="B25" s="58">
        <v>4</v>
      </c>
      <c r="C25" s="162">
        <v>23.888999999999999</v>
      </c>
      <c r="D25" s="162">
        <v>23.888999999999999</v>
      </c>
    </row>
    <row r="26" spans="2:7" ht="18.75" x14ac:dyDescent="0.25">
      <c r="B26" s="58">
        <v>5</v>
      </c>
      <c r="C26" s="162">
        <v>24.244</v>
      </c>
      <c r="D26" s="162">
        <v>24.244</v>
      </c>
    </row>
    <row r="27" spans="2:7" ht="18.75" x14ac:dyDescent="0.25">
      <c r="B27" s="58">
        <v>6</v>
      </c>
      <c r="C27" s="162">
        <v>23.927</v>
      </c>
      <c r="D27" s="162">
        <v>23.927</v>
      </c>
    </row>
    <row r="28" spans="2:7" ht="18.75" x14ac:dyDescent="0.25">
      <c r="B28" s="58">
        <v>7</v>
      </c>
      <c r="C28" s="162">
        <v>23.260999999999999</v>
      </c>
      <c r="D28" s="162">
        <v>23.260999999999999</v>
      </c>
    </row>
    <row r="29" spans="2:7" ht="18.75" x14ac:dyDescent="0.25">
      <c r="B29" s="58">
        <v>8</v>
      </c>
      <c r="C29" s="162">
        <v>23.341999999999999</v>
      </c>
      <c r="D29" s="162">
        <v>23.341999999999999</v>
      </c>
    </row>
    <row r="30" spans="2:7" ht="18.75" x14ac:dyDescent="0.25">
      <c r="B30" s="58">
        <v>9</v>
      </c>
      <c r="C30" s="162">
        <v>22.863</v>
      </c>
      <c r="D30" s="162">
        <v>22.863</v>
      </c>
    </row>
    <row r="31" spans="2:7" ht="18.75" x14ac:dyDescent="0.25">
      <c r="B31" s="58">
        <v>10</v>
      </c>
      <c r="C31" s="162">
        <v>23.081</v>
      </c>
      <c r="D31" s="162">
        <v>23.081</v>
      </c>
    </row>
    <row r="32" spans="2:7" ht="18.75" x14ac:dyDescent="0.25">
      <c r="B32" s="58">
        <v>11</v>
      </c>
      <c r="C32" s="162">
        <v>22.765999999999998</v>
      </c>
      <c r="D32" s="162">
        <v>22.765999999999998</v>
      </c>
    </row>
    <row r="33" spans="2:4" ht="18.75" x14ac:dyDescent="0.25">
      <c r="B33" s="58">
        <v>12</v>
      </c>
      <c r="C33" s="162">
        <v>23.552</v>
      </c>
      <c r="D33" s="162">
        <v>23.552</v>
      </c>
    </row>
    <row r="34" spans="2:4" ht="18.75" x14ac:dyDescent="0.25">
      <c r="B34" s="58">
        <v>13</v>
      </c>
      <c r="C34" s="162">
        <v>23.58</v>
      </c>
      <c r="D34" s="162">
        <v>23.58</v>
      </c>
    </row>
    <row r="35" spans="2:4" ht="18.75" x14ac:dyDescent="0.25">
      <c r="B35" s="58">
        <v>14</v>
      </c>
      <c r="C35" s="162">
        <v>23.22</v>
      </c>
      <c r="D35" s="162">
        <v>23.22</v>
      </c>
    </row>
    <row r="36" spans="2:4" ht="18.75" x14ac:dyDescent="0.25">
      <c r="B36" s="58">
        <v>15</v>
      </c>
      <c r="C36" s="162">
        <v>22.902999999999999</v>
      </c>
      <c r="D36" s="162">
        <v>22.902999999999999</v>
      </c>
    </row>
    <row r="37" spans="2:4" ht="18.75" x14ac:dyDescent="0.25">
      <c r="B37" s="58">
        <v>16</v>
      </c>
      <c r="C37" s="162">
        <v>23.739000000000001</v>
      </c>
      <c r="D37" s="162">
        <v>23.739000000000001</v>
      </c>
    </row>
    <row r="38" spans="2:4" ht="18.75" x14ac:dyDescent="0.25">
      <c r="B38" s="58">
        <v>17</v>
      </c>
      <c r="C38" s="162">
        <v>23.652000000000001</v>
      </c>
      <c r="D38" s="162">
        <v>23.652000000000001</v>
      </c>
    </row>
    <row r="39" spans="2:4" ht="18.75" x14ac:dyDescent="0.25">
      <c r="B39" s="58">
        <v>18</v>
      </c>
      <c r="C39" s="162">
        <v>23.640999999999998</v>
      </c>
      <c r="D39" s="162">
        <v>23.640999999999998</v>
      </c>
    </row>
    <row r="40" spans="2:4" ht="18.75" x14ac:dyDescent="0.25">
      <c r="B40" s="58">
        <v>19</v>
      </c>
      <c r="C40" s="162">
        <v>23.484999999999999</v>
      </c>
      <c r="D40" s="162">
        <v>23.484999999999999</v>
      </c>
    </row>
    <row r="41" spans="2:4" ht="18.75" x14ac:dyDescent="0.25">
      <c r="B41" s="58">
        <v>20</v>
      </c>
      <c r="C41" s="162">
        <v>23.67</v>
      </c>
      <c r="D41" s="162">
        <v>23.67</v>
      </c>
    </row>
    <row r="42" spans="2:4" ht="18.75" x14ac:dyDescent="0.25">
      <c r="B42" s="58">
        <v>21</v>
      </c>
      <c r="C42" s="162">
        <v>23.367000000000001</v>
      </c>
      <c r="D42" s="162">
        <v>23.367000000000001</v>
      </c>
    </row>
    <row r="43" spans="2:4" ht="18.75" x14ac:dyDescent="0.25">
      <c r="B43" s="58">
        <v>22</v>
      </c>
      <c r="C43" s="162">
        <v>23.535</v>
      </c>
      <c r="D43" s="162">
        <v>23.535</v>
      </c>
    </row>
    <row r="44" spans="2:4" ht="18.75" x14ac:dyDescent="0.25">
      <c r="B44" s="58">
        <v>23</v>
      </c>
      <c r="C44" s="162">
        <v>23.611000000000001</v>
      </c>
      <c r="D44" s="162">
        <v>23.611000000000001</v>
      </c>
    </row>
    <row r="45" spans="2:4" ht="18.75" x14ac:dyDescent="0.25">
      <c r="B45" s="58">
        <v>24</v>
      </c>
      <c r="C45" s="162"/>
      <c r="D45" s="162"/>
    </row>
    <row r="46" spans="2:4" ht="33.75" customHeight="1" x14ac:dyDescent="0.25">
      <c r="B46" s="59" t="s">
        <v>45</v>
      </c>
      <c r="C46" s="155">
        <f>AVERAGE(C22:C45)</f>
        <v>23.501608695652177</v>
      </c>
      <c r="D46" s="155"/>
    </row>
    <row r="47" spans="2:4" ht="31.5" x14ac:dyDescent="0.25">
      <c r="B47" s="61" t="s">
        <v>46</v>
      </c>
      <c r="C47" s="60">
        <f>_xlfn.STDEV.S(C21:C45)</f>
        <v>0.36039090843701677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990-C68A-48F5-8EFA-27247719016E}">
  <sheetPr codeName="Hoja25"/>
  <dimension ref="A1:L50"/>
  <sheetViews>
    <sheetView showGridLines="0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'FOM303-32-Imprimir'!C34</f>
        <v>46046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'FOM303-32-Imprimir'!E34</f>
        <v>46046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23.864000000000001</v>
      </c>
      <c r="D21" s="152">
        <v>23.864000000000001</v>
      </c>
    </row>
    <row r="22" spans="2:7" ht="18.75" x14ac:dyDescent="0.25">
      <c r="B22" s="58">
        <v>1</v>
      </c>
      <c r="C22" s="152">
        <v>23.728000000000002</v>
      </c>
      <c r="D22" s="152">
        <v>23.728000000000002</v>
      </c>
    </row>
    <row r="23" spans="2:7" ht="18.75" x14ac:dyDescent="0.25">
      <c r="B23" s="58">
        <v>2</v>
      </c>
      <c r="C23" s="152">
        <v>23.712</v>
      </c>
      <c r="D23" s="152">
        <v>23.712</v>
      </c>
    </row>
    <row r="24" spans="2:7" ht="18.75" x14ac:dyDescent="0.25">
      <c r="B24" s="58">
        <v>3</v>
      </c>
      <c r="C24" s="152">
        <v>23.869</v>
      </c>
      <c r="D24" s="152">
        <v>23.869</v>
      </c>
    </row>
    <row r="25" spans="2:7" ht="18.75" x14ac:dyDescent="0.25">
      <c r="B25" s="58">
        <v>4</v>
      </c>
      <c r="C25" s="152">
        <v>23.803999999999998</v>
      </c>
      <c r="D25" s="152">
        <v>23.803999999999998</v>
      </c>
    </row>
    <row r="26" spans="2:7" ht="18.75" x14ac:dyDescent="0.25">
      <c r="B26" s="58">
        <v>5</v>
      </c>
      <c r="C26" s="152">
        <v>24.231000000000002</v>
      </c>
      <c r="D26" s="152">
        <v>24.231000000000002</v>
      </c>
    </row>
    <row r="27" spans="2:7" ht="18.75" x14ac:dyDescent="0.25">
      <c r="B27" s="58">
        <v>6</v>
      </c>
      <c r="C27" s="152">
        <v>23.609000000000002</v>
      </c>
      <c r="D27" s="152">
        <v>23.609000000000002</v>
      </c>
    </row>
    <row r="28" spans="2:7" ht="18.75" x14ac:dyDescent="0.25">
      <c r="B28" s="58">
        <v>7</v>
      </c>
      <c r="C28" s="152">
        <v>23.707000000000001</v>
      </c>
      <c r="D28" s="152">
        <v>23.707000000000001</v>
      </c>
    </row>
    <row r="29" spans="2:7" ht="18.75" x14ac:dyDescent="0.25">
      <c r="B29" s="58">
        <v>8</v>
      </c>
      <c r="C29" s="152">
        <v>22.611000000000001</v>
      </c>
      <c r="D29" s="152">
        <v>22.611000000000001</v>
      </c>
    </row>
    <row r="30" spans="2:7" ht="18.75" x14ac:dyDescent="0.25">
      <c r="B30" s="58">
        <v>9</v>
      </c>
      <c r="C30" s="152">
        <v>23.687000000000001</v>
      </c>
      <c r="D30" s="152">
        <v>23.687000000000001</v>
      </c>
    </row>
    <row r="31" spans="2:7" ht="18.75" x14ac:dyDescent="0.25">
      <c r="B31" s="58">
        <v>10</v>
      </c>
      <c r="C31" s="152">
        <v>23.234999999999999</v>
      </c>
      <c r="D31" s="152">
        <v>23.234999999999999</v>
      </c>
    </row>
    <row r="32" spans="2:7" ht="18.75" x14ac:dyDescent="0.25">
      <c r="B32" s="58">
        <v>11</v>
      </c>
      <c r="C32" s="152">
        <v>23.353000000000002</v>
      </c>
      <c r="D32" s="152">
        <v>23.353000000000002</v>
      </c>
    </row>
    <row r="33" spans="2:4" ht="18.75" x14ac:dyDescent="0.25">
      <c r="B33" s="58">
        <v>12</v>
      </c>
      <c r="C33" s="152">
        <v>22.648</v>
      </c>
      <c r="D33" s="152">
        <v>22.648</v>
      </c>
    </row>
    <row r="34" spans="2:4" ht="18.75" x14ac:dyDescent="0.25">
      <c r="B34" s="58">
        <v>13</v>
      </c>
      <c r="C34" s="152">
        <v>22.763000000000002</v>
      </c>
      <c r="D34" s="152">
        <v>22.763000000000002</v>
      </c>
    </row>
    <row r="35" spans="2:4" ht="18.75" x14ac:dyDescent="0.25">
      <c r="B35" s="58">
        <v>14</v>
      </c>
      <c r="C35" s="152">
        <v>23.15</v>
      </c>
      <c r="D35" s="152">
        <v>23.15</v>
      </c>
    </row>
    <row r="36" spans="2:4" ht="18.75" x14ac:dyDescent="0.25">
      <c r="B36" s="58">
        <v>15</v>
      </c>
      <c r="C36" s="152">
        <v>22.846</v>
      </c>
      <c r="D36" s="152">
        <v>22.846</v>
      </c>
    </row>
    <row r="37" spans="2:4" ht="18.75" x14ac:dyDescent="0.25">
      <c r="B37" s="58">
        <v>16</v>
      </c>
      <c r="C37" s="152">
        <v>23.109000000000002</v>
      </c>
      <c r="D37" s="152">
        <v>23.109000000000002</v>
      </c>
    </row>
    <row r="38" spans="2:4" ht="18.75" x14ac:dyDescent="0.25">
      <c r="B38" s="58">
        <v>17</v>
      </c>
      <c r="C38" s="152">
        <v>23.733000000000001</v>
      </c>
      <c r="D38" s="152">
        <v>23.733000000000001</v>
      </c>
    </row>
    <row r="39" spans="2:4" ht="18.75" x14ac:dyDescent="0.25">
      <c r="B39" s="58">
        <v>18</v>
      </c>
      <c r="C39" s="152">
        <v>24</v>
      </c>
      <c r="D39" s="152">
        <v>24</v>
      </c>
    </row>
    <row r="40" spans="2:4" ht="18.75" x14ac:dyDescent="0.25">
      <c r="B40" s="58">
        <v>19</v>
      </c>
      <c r="C40" s="152">
        <v>23.475000000000001</v>
      </c>
      <c r="D40" s="152">
        <v>23.475000000000001</v>
      </c>
    </row>
    <row r="41" spans="2:4" ht="18.75" x14ac:dyDescent="0.25">
      <c r="B41" s="58">
        <v>20</v>
      </c>
      <c r="C41" s="152">
        <v>23.7</v>
      </c>
      <c r="D41" s="152">
        <v>23.7</v>
      </c>
    </row>
    <row r="42" spans="2:4" ht="18.75" x14ac:dyDescent="0.25">
      <c r="B42" s="58">
        <v>21</v>
      </c>
      <c r="C42" s="152">
        <v>23.722000000000001</v>
      </c>
      <c r="D42" s="152">
        <v>23.722000000000001</v>
      </c>
    </row>
    <row r="43" spans="2:4" ht="18.75" x14ac:dyDescent="0.25">
      <c r="B43" s="58">
        <v>22</v>
      </c>
      <c r="C43" s="152">
        <v>23.425999999999998</v>
      </c>
      <c r="D43" s="152">
        <v>23.425999999999998</v>
      </c>
    </row>
    <row r="44" spans="2:4" ht="18.75" x14ac:dyDescent="0.25">
      <c r="B44" s="58">
        <v>23</v>
      </c>
      <c r="C44" s="152">
        <v>23.434999999999999</v>
      </c>
      <c r="D44" s="152">
        <v>23.434999999999999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23.458826086956517</v>
      </c>
      <c r="D46" s="155"/>
    </row>
    <row r="47" spans="2:4" ht="31.5" x14ac:dyDescent="0.25">
      <c r="B47" s="61" t="s">
        <v>46</v>
      </c>
      <c r="C47" s="60">
        <f>_xlfn.STDEV.S(C21:C45)</f>
        <v>0.43369609467486786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72CB-E892-491B-BFBD-72C7D4AECE90}">
  <sheetPr codeName="Hoja26"/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'FOM303-32-Imprimir'!C35</f>
        <v>46047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'FOM303-32-Imprimir'!E35</f>
        <v>46047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23.460999999999999</v>
      </c>
      <c r="D21" s="152">
        <v>23.460999999999999</v>
      </c>
    </row>
    <row r="22" spans="2:7" ht="18.75" x14ac:dyDescent="0.25">
      <c r="B22" s="58">
        <v>1</v>
      </c>
      <c r="C22" s="152">
        <v>23.372</v>
      </c>
      <c r="D22" s="152">
        <v>23.372</v>
      </c>
    </row>
    <row r="23" spans="2:7" ht="18.75" x14ac:dyDescent="0.25">
      <c r="B23" s="58">
        <v>2</v>
      </c>
      <c r="C23" s="152">
        <v>23.321999999999999</v>
      </c>
      <c r="D23" s="152">
        <v>23.321999999999999</v>
      </c>
    </row>
    <row r="24" spans="2:7" ht="18.75" x14ac:dyDescent="0.25">
      <c r="B24" s="58">
        <v>3</v>
      </c>
      <c r="C24" s="152">
        <v>23.361000000000001</v>
      </c>
      <c r="D24" s="152">
        <v>23.361000000000001</v>
      </c>
    </row>
    <row r="25" spans="2:7" ht="18.75" x14ac:dyDescent="0.25">
      <c r="B25" s="58">
        <v>4</v>
      </c>
      <c r="C25" s="152">
        <v>23.326000000000001</v>
      </c>
      <c r="D25" s="152">
        <v>23.326000000000001</v>
      </c>
    </row>
    <row r="26" spans="2:7" ht="18.75" x14ac:dyDescent="0.25">
      <c r="B26" s="58">
        <v>5</v>
      </c>
      <c r="C26" s="152">
        <v>23.867999999999999</v>
      </c>
      <c r="D26" s="152">
        <v>23.867999999999999</v>
      </c>
    </row>
    <row r="27" spans="2:7" ht="18.75" x14ac:dyDescent="0.25">
      <c r="B27" s="58">
        <v>6</v>
      </c>
      <c r="C27" s="152">
        <v>23.692</v>
      </c>
      <c r="D27" s="152">
        <v>23.692</v>
      </c>
    </row>
    <row r="28" spans="2:7" ht="18.75" x14ac:dyDescent="0.25">
      <c r="B28" s="58">
        <v>7</v>
      </c>
      <c r="C28" s="152">
        <v>23.474</v>
      </c>
      <c r="D28" s="152">
        <v>23.474</v>
      </c>
    </row>
    <row r="29" spans="2:7" ht="18.75" x14ac:dyDescent="0.25">
      <c r="B29" s="58">
        <v>8</v>
      </c>
      <c r="C29" s="152">
        <v>22.454999999999998</v>
      </c>
      <c r="D29" s="152">
        <v>22.454999999999998</v>
      </c>
    </row>
    <row r="30" spans="2:7" ht="18.75" x14ac:dyDescent="0.25">
      <c r="B30" s="58">
        <v>9</v>
      </c>
      <c r="C30" s="152">
        <v>22.433</v>
      </c>
      <c r="D30" s="152">
        <v>22.433</v>
      </c>
    </row>
    <row r="31" spans="2:7" ht="18.75" x14ac:dyDescent="0.25">
      <c r="B31" s="58">
        <v>10</v>
      </c>
      <c r="C31" s="152">
        <v>22.956</v>
      </c>
      <c r="D31" s="152">
        <v>22.956</v>
      </c>
    </row>
    <row r="32" spans="2:7" ht="18.75" x14ac:dyDescent="0.25">
      <c r="B32" s="58">
        <v>11</v>
      </c>
      <c r="C32" s="152">
        <v>23.158999999999999</v>
      </c>
      <c r="D32" s="152">
        <v>23.158999999999999</v>
      </c>
    </row>
    <row r="33" spans="2:4" ht="18.75" x14ac:dyDescent="0.25">
      <c r="B33" s="58">
        <v>12</v>
      </c>
      <c r="C33" s="152">
        <v>22.817</v>
      </c>
      <c r="D33" s="152">
        <v>22.817</v>
      </c>
    </row>
    <row r="34" spans="2:4" ht="18.75" x14ac:dyDescent="0.25">
      <c r="B34" s="58">
        <v>13</v>
      </c>
      <c r="C34" s="152">
        <v>23.77</v>
      </c>
      <c r="D34" s="152">
        <v>23.77</v>
      </c>
    </row>
    <row r="35" spans="2:4" ht="18.75" x14ac:dyDescent="0.25">
      <c r="B35" s="58">
        <v>14</v>
      </c>
      <c r="C35" s="152">
        <v>23.762</v>
      </c>
      <c r="D35" s="152">
        <v>23.762</v>
      </c>
    </row>
    <row r="36" spans="2:4" ht="18.75" x14ac:dyDescent="0.25">
      <c r="B36" s="58">
        <v>15</v>
      </c>
      <c r="C36" s="152">
        <v>22.983000000000001</v>
      </c>
      <c r="D36" s="152">
        <v>22.983000000000001</v>
      </c>
    </row>
    <row r="37" spans="2:4" ht="18.75" x14ac:dyDescent="0.25">
      <c r="B37" s="58">
        <v>16</v>
      </c>
      <c r="C37" s="152">
        <v>23.855</v>
      </c>
      <c r="D37" s="152">
        <v>23.855</v>
      </c>
    </row>
    <row r="38" spans="2:4" ht="18.75" x14ac:dyDescent="0.25">
      <c r="B38" s="58">
        <v>17</v>
      </c>
      <c r="C38" s="152">
        <v>24.065999999999999</v>
      </c>
      <c r="D38" s="152">
        <v>24.065999999999999</v>
      </c>
    </row>
    <row r="39" spans="2:4" ht="18.75" x14ac:dyDescent="0.25">
      <c r="B39" s="58">
        <v>18</v>
      </c>
      <c r="C39" s="152">
        <v>23.925999999999998</v>
      </c>
      <c r="D39" s="152">
        <v>23.925999999999998</v>
      </c>
    </row>
    <row r="40" spans="2:4" ht="18.75" x14ac:dyDescent="0.25">
      <c r="B40" s="58">
        <v>19</v>
      </c>
      <c r="C40" s="152">
        <v>23.792999999999999</v>
      </c>
      <c r="D40" s="152">
        <v>23.792999999999999</v>
      </c>
    </row>
    <row r="41" spans="2:4" ht="18.75" x14ac:dyDescent="0.25">
      <c r="B41" s="58">
        <v>20</v>
      </c>
      <c r="C41" s="152">
        <v>23.584</v>
      </c>
      <c r="D41" s="152">
        <v>23.584</v>
      </c>
    </row>
    <row r="42" spans="2:4" ht="18.75" x14ac:dyDescent="0.25">
      <c r="B42" s="58">
        <v>21</v>
      </c>
      <c r="C42" s="152">
        <v>23.78</v>
      </c>
      <c r="D42" s="152">
        <v>23.78</v>
      </c>
    </row>
    <row r="43" spans="2:4" ht="18.75" x14ac:dyDescent="0.25">
      <c r="B43" s="58">
        <v>22</v>
      </c>
      <c r="C43" s="152">
        <v>23.716999999999999</v>
      </c>
      <c r="D43" s="152">
        <v>23.716999999999999</v>
      </c>
    </row>
    <row r="44" spans="2:4" ht="18.75" x14ac:dyDescent="0.25">
      <c r="B44" s="58">
        <v>23</v>
      </c>
      <c r="C44" s="152">
        <v>23.798999999999999</v>
      </c>
      <c r="D44" s="152">
        <v>23.798999999999999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23.446521739130429</v>
      </c>
      <c r="D46" s="155"/>
    </row>
    <row r="47" spans="2:4" ht="31.5" x14ac:dyDescent="0.25">
      <c r="B47" s="61" t="s">
        <v>46</v>
      </c>
      <c r="C47" s="60">
        <f>_xlfn.STDEV.S(C21:C45)</f>
        <v>0.45006070242753382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F157-ECE8-4106-940C-B69EF7EAC330}">
  <sheetPr codeName="Hoja27"/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'FOM303-32-Imprimir'!C36</f>
        <v>46048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'FOM303-32-Imprimir'!E36</f>
        <v>46048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23.707999999999998</v>
      </c>
      <c r="D21" s="152">
        <v>23.707999999999998</v>
      </c>
    </row>
    <row r="22" spans="2:7" ht="18.75" x14ac:dyDescent="0.25">
      <c r="B22" s="58">
        <v>1</v>
      </c>
      <c r="C22" s="152">
        <v>23.776</v>
      </c>
      <c r="D22" s="152">
        <v>23.776</v>
      </c>
    </row>
    <row r="23" spans="2:7" ht="18.75" x14ac:dyDescent="0.25">
      <c r="B23" s="58">
        <v>2</v>
      </c>
      <c r="C23" s="152">
        <v>23.939</v>
      </c>
      <c r="D23" s="152">
        <v>23.939</v>
      </c>
    </row>
    <row r="24" spans="2:7" ht="18.75" x14ac:dyDescent="0.25">
      <c r="B24" s="58">
        <v>3</v>
      </c>
      <c r="C24" s="152">
        <v>23.934999999999999</v>
      </c>
      <c r="D24" s="152">
        <v>23.934999999999999</v>
      </c>
    </row>
    <row r="25" spans="2:7" ht="18.75" x14ac:dyDescent="0.25">
      <c r="B25" s="58">
        <v>4</v>
      </c>
      <c r="C25" s="152">
        <v>23.812999999999999</v>
      </c>
      <c r="D25" s="152">
        <v>23.812999999999999</v>
      </c>
    </row>
    <row r="26" spans="2:7" ht="18.75" x14ac:dyDescent="0.25">
      <c r="B26" s="58">
        <v>5</v>
      </c>
      <c r="C26" s="152">
        <v>23.92</v>
      </c>
      <c r="D26" s="152">
        <v>23.92</v>
      </c>
    </row>
    <row r="27" spans="2:7" ht="18.75" x14ac:dyDescent="0.25">
      <c r="B27" s="58">
        <v>6</v>
      </c>
      <c r="C27" s="152">
        <v>23.946000000000002</v>
      </c>
      <c r="D27" s="152">
        <v>23.946000000000002</v>
      </c>
    </row>
    <row r="28" spans="2:7" ht="18.75" x14ac:dyDescent="0.25">
      <c r="B28" s="58">
        <v>7</v>
      </c>
      <c r="C28" s="152">
        <v>23.835000000000001</v>
      </c>
      <c r="D28" s="152">
        <v>23.835000000000001</v>
      </c>
    </row>
    <row r="29" spans="2:7" ht="18.75" x14ac:dyDescent="0.25">
      <c r="B29" s="58">
        <v>8</v>
      </c>
      <c r="C29" s="152">
        <v>23.190999999999999</v>
      </c>
      <c r="D29" s="152">
        <v>23.190999999999999</v>
      </c>
    </row>
    <row r="30" spans="2:7" ht="18.75" x14ac:dyDescent="0.25">
      <c r="B30" s="58">
        <v>9</v>
      </c>
      <c r="C30" s="152">
        <v>23.47</v>
      </c>
      <c r="D30" s="152">
        <v>23.47</v>
      </c>
    </row>
    <row r="31" spans="2:7" ht="18.75" x14ac:dyDescent="0.25">
      <c r="B31" s="58">
        <v>10</v>
      </c>
      <c r="C31" s="152">
        <v>23.83</v>
      </c>
      <c r="D31" s="152">
        <v>23.83</v>
      </c>
    </row>
    <row r="32" spans="2:7" ht="18.75" x14ac:dyDescent="0.25">
      <c r="B32" s="58">
        <v>11</v>
      </c>
      <c r="C32" s="152">
        <v>23.715</v>
      </c>
      <c r="D32" s="152">
        <v>23.715</v>
      </c>
    </row>
    <row r="33" spans="2:4" ht="18.75" x14ac:dyDescent="0.25">
      <c r="B33" s="58">
        <v>12</v>
      </c>
      <c r="C33" s="152">
        <v>23.338999999999999</v>
      </c>
      <c r="D33" s="152">
        <v>23.338999999999999</v>
      </c>
    </row>
    <row r="34" spans="2:4" ht="18.75" x14ac:dyDescent="0.25">
      <c r="B34" s="58">
        <v>13</v>
      </c>
      <c r="C34" s="152">
        <v>22.827000000000002</v>
      </c>
      <c r="D34" s="152">
        <v>22.827000000000002</v>
      </c>
    </row>
    <row r="35" spans="2:4" ht="18.75" x14ac:dyDescent="0.25">
      <c r="B35" s="58">
        <v>14</v>
      </c>
      <c r="C35" s="152">
        <v>23.774000000000001</v>
      </c>
      <c r="D35" s="152">
        <v>23.774000000000001</v>
      </c>
    </row>
    <row r="36" spans="2:4" ht="18.75" x14ac:dyDescent="0.25">
      <c r="B36" s="58">
        <v>15</v>
      </c>
      <c r="C36" s="152">
        <v>23.83</v>
      </c>
      <c r="D36" s="152">
        <v>23.83</v>
      </c>
    </row>
    <row r="37" spans="2:4" ht="18.75" x14ac:dyDescent="0.25">
      <c r="B37" s="58">
        <v>16</v>
      </c>
      <c r="C37" s="152">
        <v>23.042999999999999</v>
      </c>
      <c r="D37" s="152">
        <v>23.042999999999999</v>
      </c>
    </row>
    <row r="38" spans="2:4" ht="18.75" x14ac:dyDescent="0.25">
      <c r="B38" s="58">
        <v>17</v>
      </c>
      <c r="C38" s="152">
        <v>23.516999999999999</v>
      </c>
      <c r="D38" s="152">
        <v>23.516999999999999</v>
      </c>
    </row>
    <row r="39" spans="2:4" ht="18.75" x14ac:dyDescent="0.25">
      <c r="B39" s="58">
        <v>18</v>
      </c>
      <c r="C39" s="152">
        <v>23.899000000000001</v>
      </c>
      <c r="D39" s="152">
        <v>23.899000000000001</v>
      </c>
    </row>
    <row r="40" spans="2:4" ht="18.75" x14ac:dyDescent="0.25">
      <c r="B40" s="58">
        <v>19</v>
      </c>
      <c r="C40" s="152">
        <v>23.620999999999999</v>
      </c>
      <c r="D40" s="152">
        <v>23.620999999999999</v>
      </c>
    </row>
    <row r="41" spans="2:4" ht="18.75" x14ac:dyDescent="0.25">
      <c r="B41" s="58">
        <v>20</v>
      </c>
      <c r="C41" s="152">
        <v>23.745000000000001</v>
      </c>
      <c r="D41" s="152">
        <v>23.745000000000001</v>
      </c>
    </row>
    <row r="42" spans="2:4" ht="18.75" x14ac:dyDescent="0.25">
      <c r="B42" s="58">
        <v>21</v>
      </c>
      <c r="C42" s="152">
        <v>23.599</v>
      </c>
      <c r="D42" s="152">
        <v>23.599</v>
      </c>
    </row>
    <row r="43" spans="2:4" ht="18.75" x14ac:dyDescent="0.25">
      <c r="B43" s="58">
        <v>22</v>
      </c>
      <c r="C43" s="152">
        <v>23.609000000000002</v>
      </c>
      <c r="D43" s="152">
        <v>23.609000000000002</v>
      </c>
    </row>
    <row r="44" spans="2:4" ht="18.75" x14ac:dyDescent="0.25">
      <c r="B44" s="58">
        <v>23</v>
      </c>
      <c r="C44" s="152">
        <v>23.747</v>
      </c>
      <c r="D44" s="152">
        <v>23.747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23.64869565217391</v>
      </c>
      <c r="D46" s="155"/>
    </row>
    <row r="47" spans="2:4" ht="31.5" x14ac:dyDescent="0.25">
      <c r="B47" s="61" t="s">
        <v>46</v>
      </c>
      <c r="C47" s="60">
        <f>_xlfn.STDEV.S(C21:C45)</f>
        <v>0.29329398616207702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7065-3E5C-4B91-850C-5E0A9FFFF6CD}">
  <sheetPr codeName="Hoja28"/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'FOM303-32-Imprimir'!C37</f>
        <v>46049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'FOM303-32-Imprimir'!E37</f>
        <v>46049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23.991</v>
      </c>
      <c r="D21" s="152">
        <v>23.991</v>
      </c>
    </row>
    <row r="22" spans="2:7" ht="18.75" x14ac:dyDescent="0.25">
      <c r="B22" s="58">
        <v>1</v>
      </c>
      <c r="C22" s="152">
        <v>24.085000000000001</v>
      </c>
      <c r="D22" s="152">
        <v>24.085000000000001</v>
      </c>
    </row>
    <row r="23" spans="2:7" ht="18.75" x14ac:dyDescent="0.25">
      <c r="B23" s="58">
        <v>2</v>
      </c>
      <c r="C23" s="152">
        <v>24.018000000000001</v>
      </c>
      <c r="D23" s="152">
        <v>24.018000000000001</v>
      </c>
    </row>
    <row r="24" spans="2:7" ht="18.75" x14ac:dyDescent="0.25">
      <c r="B24" s="58">
        <v>3</v>
      </c>
      <c r="C24" s="152">
        <v>24.25</v>
      </c>
      <c r="D24" s="152">
        <v>24.25</v>
      </c>
    </row>
    <row r="25" spans="2:7" ht="18.75" x14ac:dyDescent="0.25">
      <c r="B25" s="58">
        <v>4</v>
      </c>
      <c r="C25" s="152">
        <v>24.420999999999999</v>
      </c>
      <c r="D25" s="152">
        <v>24.420999999999999</v>
      </c>
    </row>
    <row r="26" spans="2:7" ht="18.75" x14ac:dyDescent="0.25">
      <c r="B26" s="58">
        <v>5</v>
      </c>
      <c r="C26" s="152">
        <v>24.378</v>
      </c>
      <c r="D26" s="152">
        <v>24.378</v>
      </c>
    </row>
    <row r="27" spans="2:7" ht="18.75" x14ac:dyDescent="0.25">
      <c r="B27" s="58">
        <v>6</v>
      </c>
      <c r="C27" s="152">
        <v>24.013000000000002</v>
      </c>
      <c r="D27" s="152">
        <v>24.013000000000002</v>
      </c>
    </row>
    <row r="28" spans="2:7" ht="18.75" x14ac:dyDescent="0.25">
      <c r="B28" s="58">
        <v>7</v>
      </c>
      <c r="C28" s="152">
        <v>23.675999999999998</v>
      </c>
      <c r="D28" s="152">
        <v>23.675999999999998</v>
      </c>
    </row>
    <row r="29" spans="2:7" ht="18.75" x14ac:dyDescent="0.25">
      <c r="B29" s="58">
        <v>8</v>
      </c>
      <c r="C29" s="152">
        <v>23.515000000000001</v>
      </c>
      <c r="D29" s="152">
        <v>23.515000000000001</v>
      </c>
    </row>
    <row r="30" spans="2:7" ht="18.75" x14ac:dyDescent="0.25">
      <c r="B30" s="58">
        <v>9</v>
      </c>
      <c r="C30" s="152">
        <v>23.433</v>
      </c>
      <c r="D30" s="152">
        <v>23.433</v>
      </c>
    </row>
    <row r="31" spans="2:7" ht="18.75" x14ac:dyDescent="0.25">
      <c r="B31" s="58">
        <v>10</v>
      </c>
      <c r="C31" s="152">
        <v>23.239000000000001</v>
      </c>
      <c r="D31" s="152">
        <v>23.239000000000001</v>
      </c>
    </row>
    <row r="32" spans="2:7" ht="18.75" x14ac:dyDescent="0.25">
      <c r="B32" s="58">
        <v>11</v>
      </c>
      <c r="C32" s="152">
        <v>23.893000000000001</v>
      </c>
      <c r="D32" s="152">
        <v>23.893000000000001</v>
      </c>
    </row>
    <row r="33" spans="2:4" ht="18.75" x14ac:dyDescent="0.25">
      <c r="B33" s="58">
        <v>12</v>
      </c>
      <c r="C33" s="152">
        <v>23.756</v>
      </c>
      <c r="D33" s="152">
        <v>23.756</v>
      </c>
    </row>
    <row r="34" spans="2:4" ht="18.75" x14ac:dyDescent="0.25">
      <c r="B34" s="58">
        <v>13</v>
      </c>
      <c r="C34" s="152">
        <v>23.8</v>
      </c>
      <c r="D34" s="152">
        <v>23.8</v>
      </c>
    </row>
    <row r="35" spans="2:4" ht="18.75" x14ac:dyDescent="0.25">
      <c r="B35" s="58">
        <v>14</v>
      </c>
      <c r="C35" s="152">
        <v>23.928999999999998</v>
      </c>
      <c r="D35" s="152">
        <v>23.928999999999998</v>
      </c>
    </row>
    <row r="36" spans="2:4" ht="18.75" x14ac:dyDescent="0.25">
      <c r="B36" s="58">
        <v>15</v>
      </c>
      <c r="C36" s="152">
        <v>23.744</v>
      </c>
      <c r="D36" s="152">
        <v>23.744</v>
      </c>
    </row>
    <row r="37" spans="2:4" ht="18.75" x14ac:dyDescent="0.25">
      <c r="B37" s="58">
        <v>16</v>
      </c>
      <c r="C37" s="152">
        <v>23.613</v>
      </c>
      <c r="D37" s="152">
        <v>23.613</v>
      </c>
    </row>
    <row r="38" spans="2:4" ht="18.75" x14ac:dyDescent="0.25">
      <c r="B38" s="58">
        <v>17</v>
      </c>
      <c r="C38" s="152">
        <v>23.263999999999999</v>
      </c>
      <c r="D38" s="152">
        <v>23.263999999999999</v>
      </c>
    </row>
    <row r="39" spans="2:4" ht="18.75" x14ac:dyDescent="0.25">
      <c r="B39" s="58">
        <v>18</v>
      </c>
      <c r="C39" s="152">
        <v>23.65</v>
      </c>
      <c r="D39" s="152">
        <v>23.65</v>
      </c>
    </row>
    <row r="40" spans="2:4" ht="18.75" x14ac:dyDescent="0.25">
      <c r="B40" s="58">
        <v>19</v>
      </c>
      <c r="C40" s="152">
        <v>24.050999999999998</v>
      </c>
      <c r="D40" s="152">
        <v>24.050999999999998</v>
      </c>
    </row>
    <row r="41" spans="2:4" ht="18.75" x14ac:dyDescent="0.25">
      <c r="B41" s="58">
        <v>20</v>
      </c>
      <c r="C41" s="152">
        <v>24.26</v>
      </c>
      <c r="D41" s="152">
        <v>24.26</v>
      </c>
    </row>
    <row r="42" spans="2:4" ht="18.75" x14ac:dyDescent="0.25">
      <c r="B42" s="58">
        <v>21</v>
      </c>
      <c r="C42" s="152">
        <v>23.736999999999998</v>
      </c>
      <c r="D42" s="152">
        <v>23.736999999999998</v>
      </c>
    </row>
    <row r="43" spans="2:4" ht="18.75" x14ac:dyDescent="0.25">
      <c r="B43" s="58">
        <v>22</v>
      </c>
      <c r="C43" s="152">
        <v>23.207000000000001</v>
      </c>
      <c r="D43" s="152">
        <v>23.207000000000001</v>
      </c>
    </row>
    <row r="44" spans="2:4" ht="18.75" x14ac:dyDescent="0.25">
      <c r="B44" s="58">
        <v>23</v>
      </c>
      <c r="C44" s="152">
        <v>23.507000000000001</v>
      </c>
      <c r="D44" s="152">
        <v>23.507000000000001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23.801695652173912</v>
      </c>
      <c r="D46" s="155"/>
    </row>
    <row r="47" spans="2:4" ht="31.5" x14ac:dyDescent="0.25">
      <c r="B47" s="61" t="s">
        <v>46</v>
      </c>
      <c r="C47" s="60">
        <f>_xlfn.STDEV.S(C21:C45)</f>
        <v>0.34690092767703634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C910-A343-43E7-B712-C2126D6082D7}">
  <sheetPr codeName="Hoja29"/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'FOM303-32-Imprimir'!C38</f>
        <v>46050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'FOM303-32-Imprimir'!E38</f>
        <v>46050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23.783000000000001</v>
      </c>
      <c r="D21" s="152">
        <v>23.783000000000001</v>
      </c>
    </row>
    <row r="22" spans="2:7" ht="18.75" x14ac:dyDescent="0.25">
      <c r="B22" s="58">
        <v>1</v>
      </c>
      <c r="C22" s="152">
        <v>23.216000000000001</v>
      </c>
      <c r="D22" s="152">
        <v>23.216000000000001</v>
      </c>
    </row>
    <row r="23" spans="2:7" ht="18.75" x14ac:dyDescent="0.25">
      <c r="B23" s="58">
        <v>2</v>
      </c>
      <c r="C23" s="152">
        <v>22.463000000000001</v>
      </c>
      <c r="D23" s="152">
        <v>22.463000000000001</v>
      </c>
    </row>
    <row r="24" spans="2:7" ht="18.75" x14ac:dyDescent="0.25">
      <c r="B24" s="58">
        <v>3</v>
      </c>
      <c r="C24" s="152">
        <v>21.866</v>
      </c>
      <c r="D24" s="152">
        <v>21.866</v>
      </c>
    </row>
    <row r="25" spans="2:7" ht="18.75" x14ac:dyDescent="0.25">
      <c r="B25" s="58">
        <v>4</v>
      </c>
      <c r="C25" s="152">
        <v>21.738</v>
      </c>
      <c r="D25" s="152">
        <v>21.738</v>
      </c>
    </row>
    <row r="26" spans="2:7" ht="18.75" x14ac:dyDescent="0.25">
      <c r="B26" s="58">
        <v>5</v>
      </c>
      <c r="C26" s="152">
        <v>22.276</v>
      </c>
      <c r="D26" s="152">
        <v>22.276</v>
      </c>
    </row>
    <row r="27" spans="2:7" ht="18.75" x14ac:dyDescent="0.25">
      <c r="B27" s="58">
        <v>6</v>
      </c>
      <c r="C27" s="152">
        <v>22.433</v>
      </c>
      <c r="D27" s="152">
        <v>22.433</v>
      </c>
    </row>
    <row r="28" spans="2:7" ht="18.75" x14ac:dyDescent="0.25">
      <c r="B28" s="58">
        <v>7</v>
      </c>
      <c r="C28" s="152">
        <v>23.478999999999999</v>
      </c>
      <c r="D28" s="152">
        <v>23.478999999999999</v>
      </c>
    </row>
    <row r="29" spans="2:7" ht="18.75" x14ac:dyDescent="0.25">
      <c r="B29" s="58">
        <v>8</v>
      </c>
      <c r="C29" s="152">
        <v>23.606000000000002</v>
      </c>
      <c r="D29" s="152">
        <v>23.606000000000002</v>
      </c>
    </row>
    <row r="30" spans="2:7" ht="18.75" x14ac:dyDescent="0.25">
      <c r="B30" s="58">
        <v>9</v>
      </c>
      <c r="C30" s="152">
        <v>23.513000000000002</v>
      </c>
      <c r="D30" s="152">
        <v>23.513000000000002</v>
      </c>
    </row>
    <row r="31" spans="2:7" ht="18.75" x14ac:dyDescent="0.25">
      <c r="B31" s="58">
        <v>10</v>
      </c>
      <c r="C31" s="152">
        <v>23.166</v>
      </c>
      <c r="D31" s="152">
        <v>23.166</v>
      </c>
    </row>
    <row r="32" spans="2:7" ht="18.75" x14ac:dyDescent="0.25">
      <c r="B32" s="58">
        <v>11</v>
      </c>
      <c r="C32" s="152">
        <v>23.771999999999998</v>
      </c>
      <c r="D32" s="152">
        <v>23.771999999999998</v>
      </c>
    </row>
    <row r="33" spans="2:4" ht="18.75" x14ac:dyDescent="0.25">
      <c r="B33" s="58">
        <v>12</v>
      </c>
      <c r="C33" s="152">
        <v>23.771999999999998</v>
      </c>
      <c r="D33" s="152">
        <v>23.771999999999998</v>
      </c>
    </row>
    <row r="34" spans="2:4" ht="18.75" x14ac:dyDescent="0.25">
      <c r="B34" s="58">
        <v>13</v>
      </c>
      <c r="C34" s="152">
        <v>23.905999999999999</v>
      </c>
      <c r="D34" s="152">
        <v>23.905999999999999</v>
      </c>
    </row>
    <row r="35" spans="2:4" ht="18.75" x14ac:dyDescent="0.25">
      <c r="B35" s="58">
        <v>14</v>
      </c>
      <c r="C35" s="152">
        <v>23.879000000000001</v>
      </c>
      <c r="D35" s="152">
        <v>23.879000000000001</v>
      </c>
    </row>
    <row r="36" spans="2:4" ht="18.75" x14ac:dyDescent="0.25">
      <c r="B36" s="58">
        <v>15</v>
      </c>
      <c r="C36" s="152">
        <v>23.541</v>
      </c>
      <c r="D36" s="152">
        <v>23.541</v>
      </c>
    </row>
    <row r="37" spans="2:4" ht="18.75" x14ac:dyDescent="0.25">
      <c r="B37" s="58">
        <v>16</v>
      </c>
      <c r="C37" s="152">
        <v>23.373999999999999</v>
      </c>
      <c r="D37" s="152">
        <v>23.373999999999999</v>
      </c>
    </row>
    <row r="38" spans="2:4" ht="18.75" x14ac:dyDescent="0.25">
      <c r="B38" s="58">
        <v>17</v>
      </c>
      <c r="C38" s="152">
        <v>23.74</v>
      </c>
      <c r="D38" s="152">
        <v>23.74</v>
      </c>
    </row>
    <row r="39" spans="2:4" ht="18.75" x14ac:dyDescent="0.25">
      <c r="B39" s="58">
        <v>18</v>
      </c>
      <c r="C39" s="152">
        <v>23.777000000000001</v>
      </c>
      <c r="D39" s="152">
        <v>23.777000000000001</v>
      </c>
    </row>
    <row r="40" spans="2:4" ht="18.75" x14ac:dyDescent="0.25">
      <c r="B40" s="58">
        <v>19</v>
      </c>
      <c r="C40" s="152">
        <v>23.684999999999999</v>
      </c>
      <c r="D40" s="152">
        <v>23.684999999999999</v>
      </c>
    </row>
    <row r="41" spans="2:4" ht="18.75" x14ac:dyDescent="0.25">
      <c r="B41" s="58">
        <v>20</v>
      </c>
      <c r="C41" s="152">
        <v>23.904</v>
      </c>
      <c r="D41" s="152">
        <v>23.904</v>
      </c>
    </row>
    <row r="42" spans="2:4" ht="18.75" x14ac:dyDescent="0.25">
      <c r="B42" s="58">
        <v>21</v>
      </c>
      <c r="C42" s="152">
        <v>23.658000000000001</v>
      </c>
      <c r="D42" s="152">
        <v>23.658000000000001</v>
      </c>
    </row>
    <row r="43" spans="2:4" ht="18.75" x14ac:dyDescent="0.25">
      <c r="B43" s="58">
        <v>22</v>
      </c>
      <c r="C43" s="152">
        <v>23.609000000000002</v>
      </c>
      <c r="D43" s="152">
        <v>23.609000000000002</v>
      </c>
    </row>
    <row r="44" spans="2:4" ht="18.75" x14ac:dyDescent="0.25">
      <c r="B44" s="58">
        <v>23</v>
      </c>
      <c r="C44" s="152">
        <v>23.978999999999999</v>
      </c>
      <c r="D44" s="152">
        <v>23.978999999999999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23.319652173913049</v>
      </c>
      <c r="D46" s="155"/>
    </row>
    <row r="47" spans="2:4" ht="31.5" x14ac:dyDescent="0.25">
      <c r="B47" s="61" t="s">
        <v>46</v>
      </c>
      <c r="C47" s="60">
        <f>_xlfn.STDEV.S(C21:C45)</f>
        <v>0.66660766632037871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3573-E5E3-47A3-B00C-54D0B3397A9B}">
  <sheetPr codeName="Hoja30"/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'FOM303-32-Imprimir'!C39</f>
        <v>46051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'FOM303-32-Imprimir'!E39</f>
        <v>46051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ht="12.95" customHeight="1" x14ac:dyDescent="0.25">
      <c r="B17" s="154" t="s">
        <v>43</v>
      </c>
      <c r="C17" s="154" t="s">
        <v>44</v>
      </c>
      <c r="D17" s="154"/>
      <c r="E17" s="38"/>
      <c r="G17" s="38"/>
    </row>
    <row r="18" spans="2:7" ht="12.95" customHeight="1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23.459</v>
      </c>
      <c r="D21" s="152">
        <v>23.459</v>
      </c>
    </row>
    <row r="22" spans="2:7" ht="18.75" x14ac:dyDescent="0.25">
      <c r="B22" s="58">
        <v>1</v>
      </c>
      <c r="C22" s="152">
        <v>23.506</v>
      </c>
      <c r="D22" s="152">
        <v>23.506</v>
      </c>
    </row>
    <row r="23" spans="2:7" ht="18.75" x14ac:dyDescent="0.25">
      <c r="B23" s="58">
        <v>2</v>
      </c>
      <c r="C23" s="152">
        <v>23.404</v>
      </c>
      <c r="D23" s="152">
        <v>23.404</v>
      </c>
    </row>
    <row r="24" spans="2:7" ht="18.75" x14ac:dyDescent="0.25">
      <c r="B24" s="58">
        <v>3</v>
      </c>
      <c r="C24" s="152">
        <v>22.77</v>
      </c>
      <c r="D24" s="152">
        <v>22.77</v>
      </c>
    </row>
    <row r="25" spans="2:7" ht="18.75" x14ac:dyDescent="0.25">
      <c r="B25" s="58">
        <v>4</v>
      </c>
      <c r="C25" s="152">
        <v>22.614000000000001</v>
      </c>
      <c r="D25" s="152">
        <v>22.614000000000001</v>
      </c>
    </row>
    <row r="26" spans="2:7" ht="18.75" x14ac:dyDescent="0.25">
      <c r="B26" s="58">
        <v>5</v>
      </c>
      <c r="C26" s="152">
        <v>22.37</v>
      </c>
      <c r="D26" s="152">
        <v>22.37</v>
      </c>
    </row>
    <row r="27" spans="2:7" ht="18.75" x14ac:dyDescent="0.25">
      <c r="B27" s="58">
        <v>6</v>
      </c>
      <c r="C27" s="152">
        <v>22.696000000000002</v>
      </c>
      <c r="D27" s="152">
        <v>22.696000000000002</v>
      </c>
    </row>
    <row r="28" spans="2:7" ht="18.75" x14ac:dyDescent="0.25">
      <c r="B28" s="58">
        <v>7</v>
      </c>
      <c r="C28" s="152">
        <v>23.821999999999999</v>
      </c>
      <c r="D28" s="152">
        <v>23.821999999999999</v>
      </c>
    </row>
    <row r="29" spans="2:7" ht="18.75" x14ac:dyDescent="0.25">
      <c r="B29" s="58">
        <v>8</v>
      </c>
      <c r="C29" s="152">
        <v>23.582999999999998</v>
      </c>
      <c r="D29" s="152">
        <v>23.582999999999998</v>
      </c>
    </row>
    <row r="30" spans="2:7" ht="18.75" x14ac:dyDescent="0.25">
      <c r="B30" s="58">
        <v>9</v>
      </c>
      <c r="C30" s="152">
        <v>23.152000000000001</v>
      </c>
      <c r="D30" s="152">
        <v>23.152000000000001</v>
      </c>
    </row>
    <row r="31" spans="2:7" ht="18.75" x14ac:dyDescent="0.25">
      <c r="B31" s="58">
        <v>10</v>
      </c>
      <c r="C31" s="152">
        <v>23.957000000000001</v>
      </c>
      <c r="D31" s="152">
        <v>23.957000000000001</v>
      </c>
    </row>
    <row r="32" spans="2:7" ht="18.75" x14ac:dyDescent="0.25">
      <c r="B32" s="58">
        <v>11</v>
      </c>
      <c r="C32" s="152">
        <v>23.213000000000001</v>
      </c>
      <c r="D32" s="152">
        <v>23.213000000000001</v>
      </c>
    </row>
    <row r="33" spans="2:4" ht="18.75" x14ac:dyDescent="0.25">
      <c r="B33" s="58">
        <v>12</v>
      </c>
      <c r="C33" s="152">
        <v>22.783000000000001</v>
      </c>
      <c r="D33" s="152">
        <v>22.783000000000001</v>
      </c>
    </row>
    <row r="34" spans="2:4" ht="18.75" x14ac:dyDescent="0.25">
      <c r="B34" s="58">
        <v>13</v>
      </c>
      <c r="C34" s="152">
        <v>23.45</v>
      </c>
      <c r="D34" s="152">
        <v>23.45</v>
      </c>
    </row>
    <row r="35" spans="2:4" ht="18.75" x14ac:dyDescent="0.25">
      <c r="B35" s="58">
        <v>14</v>
      </c>
      <c r="C35" s="152">
        <v>23.361000000000001</v>
      </c>
      <c r="D35" s="152">
        <v>23.361000000000001</v>
      </c>
    </row>
    <row r="36" spans="2:4" ht="18.75" x14ac:dyDescent="0.25">
      <c r="B36" s="58">
        <v>15</v>
      </c>
      <c r="C36" s="152">
        <v>22.831</v>
      </c>
      <c r="D36" s="152">
        <v>22.831</v>
      </c>
    </row>
    <row r="37" spans="2:4" ht="18.75" x14ac:dyDescent="0.25">
      <c r="B37" s="58">
        <v>16</v>
      </c>
      <c r="C37" s="152">
        <v>22.988</v>
      </c>
      <c r="D37" s="152">
        <v>22.988</v>
      </c>
    </row>
    <row r="38" spans="2:4" ht="18.75" x14ac:dyDescent="0.25">
      <c r="B38" s="58">
        <v>17</v>
      </c>
      <c r="C38" s="152">
        <v>23.756</v>
      </c>
      <c r="D38" s="152">
        <v>23.756</v>
      </c>
    </row>
    <row r="39" spans="2:4" ht="18.75" x14ac:dyDescent="0.25">
      <c r="B39" s="58">
        <v>18</v>
      </c>
      <c r="C39" s="152">
        <v>24.04</v>
      </c>
      <c r="D39" s="152">
        <v>24.04</v>
      </c>
    </row>
    <row r="40" spans="2:4" ht="18.75" x14ac:dyDescent="0.25">
      <c r="B40" s="58">
        <v>19</v>
      </c>
      <c r="C40" s="152">
        <v>23.946000000000002</v>
      </c>
      <c r="D40" s="152">
        <v>23.946000000000002</v>
      </c>
    </row>
    <row r="41" spans="2:4" ht="18.75" x14ac:dyDescent="0.25">
      <c r="B41" s="58">
        <v>20</v>
      </c>
      <c r="C41" s="152">
        <v>23.867999999999999</v>
      </c>
      <c r="D41" s="152">
        <v>23.867999999999999</v>
      </c>
    </row>
    <row r="42" spans="2:4" ht="18.75" x14ac:dyDescent="0.25">
      <c r="B42" s="58">
        <v>21</v>
      </c>
      <c r="C42" s="152">
        <v>24.106000000000002</v>
      </c>
      <c r="D42" s="152">
        <v>24.106000000000002</v>
      </c>
    </row>
    <row r="43" spans="2:4" ht="18.75" x14ac:dyDescent="0.25">
      <c r="B43" s="58">
        <v>22</v>
      </c>
      <c r="C43" s="152">
        <v>23.96</v>
      </c>
      <c r="D43" s="152">
        <v>23.96</v>
      </c>
    </row>
    <row r="44" spans="2:4" ht="18.75" x14ac:dyDescent="0.25">
      <c r="B44" s="58">
        <v>23</v>
      </c>
      <c r="C44" s="152">
        <v>23.760999999999999</v>
      </c>
      <c r="D44" s="152">
        <v>23.760999999999999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23.388565217391307</v>
      </c>
      <c r="D46" s="155"/>
    </row>
    <row r="47" spans="2:4" ht="31.5" x14ac:dyDescent="0.25">
      <c r="B47" s="61" t="s">
        <v>46</v>
      </c>
      <c r="C47" s="60">
        <f>_xlfn.STDEV.S(C21:C45)</f>
        <v>0.51400194552160972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4B56-BD9A-4900-826C-D52801A02291}">
  <sheetPr codeName="Hoja31"/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'FOM303-32-Imprimir'!C40</f>
        <v>46052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'FOM303-32-Imprimir'!E40</f>
        <v>46052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x14ac:dyDescent="0.25"/>
    <row r="17" spans="2:7" x14ac:dyDescent="0.25">
      <c r="B17" s="154" t="s">
        <v>43</v>
      </c>
      <c r="C17" s="154" t="s">
        <v>44</v>
      </c>
      <c r="D17" s="154"/>
      <c r="E17" s="38"/>
      <c r="G17" s="38"/>
    </row>
    <row r="18" spans="2:7" x14ac:dyDescent="0.25">
      <c r="B18" s="154"/>
      <c r="C18" s="154"/>
      <c r="D18" s="154"/>
      <c r="E18" s="38"/>
      <c r="G18" s="38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58">
        <v>0</v>
      </c>
      <c r="C21" s="152">
        <v>23.597999999999999</v>
      </c>
      <c r="D21" s="152">
        <v>23.597999999999999</v>
      </c>
    </row>
    <row r="22" spans="2:7" ht="18.75" x14ac:dyDescent="0.25">
      <c r="B22" s="58">
        <v>1</v>
      </c>
      <c r="C22" s="152">
        <v>23.885000000000002</v>
      </c>
      <c r="D22" s="152">
        <v>23.885000000000002</v>
      </c>
    </row>
    <row r="23" spans="2:7" ht="18.75" x14ac:dyDescent="0.25">
      <c r="B23" s="58">
        <v>2</v>
      </c>
      <c r="C23" s="152">
        <v>24.266999999999999</v>
      </c>
      <c r="D23" s="152">
        <v>24.266999999999999</v>
      </c>
    </row>
    <row r="24" spans="2:7" ht="18.75" x14ac:dyDescent="0.25">
      <c r="B24" s="58">
        <v>3</v>
      </c>
      <c r="C24" s="152">
        <v>23.913</v>
      </c>
      <c r="D24" s="152">
        <v>23.913</v>
      </c>
    </row>
    <row r="25" spans="2:7" ht="18.75" x14ac:dyDescent="0.25">
      <c r="B25" s="58">
        <v>4</v>
      </c>
      <c r="C25" s="152">
        <v>23.347999999999999</v>
      </c>
      <c r="D25" s="152">
        <v>23.347999999999999</v>
      </c>
    </row>
    <row r="26" spans="2:7" ht="18.75" x14ac:dyDescent="0.25">
      <c r="B26" s="58">
        <v>5</v>
      </c>
      <c r="C26" s="152">
        <v>23.335000000000001</v>
      </c>
      <c r="D26" s="152">
        <v>23.335000000000001</v>
      </c>
    </row>
    <row r="27" spans="2:7" ht="18.75" x14ac:dyDescent="0.25">
      <c r="B27" s="58">
        <v>6</v>
      </c>
      <c r="C27" s="152">
        <v>23.736999999999998</v>
      </c>
      <c r="D27" s="152">
        <v>23.736999999999998</v>
      </c>
    </row>
    <row r="28" spans="2:7" ht="18.75" x14ac:dyDescent="0.25">
      <c r="B28" s="58">
        <v>7</v>
      </c>
      <c r="C28" s="152">
        <v>23.859000000000002</v>
      </c>
      <c r="D28" s="152">
        <v>23.859000000000002</v>
      </c>
    </row>
    <row r="29" spans="2:7" ht="18.75" x14ac:dyDescent="0.25">
      <c r="B29" s="58">
        <v>8</v>
      </c>
      <c r="C29" s="152">
        <v>23.385000000000002</v>
      </c>
      <c r="D29" s="152">
        <v>23.385000000000002</v>
      </c>
    </row>
    <row r="30" spans="2:7" ht="18.75" x14ac:dyDescent="0.25">
      <c r="B30" s="58">
        <v>9</v>
      </c>
      <c r="C30" s="152">
        <v>23.808</v>
      </c>
      <c r="D30" s="152">
        <v>23.808</v>
      </c>
    </row>
    <row r="31" spans="2:7" ht="18.75" x14ac:dyDescent="0.25">
      <c r="B31" s="58">
        <v>10</v>
      </c>
      <c r="C31" s="152">
        <v>23.809000000000001</v>
      </c>
      <c r="D31" s="152">
        <v>23.809000000000001</v>
      </c>
    </row>
    <row r="32" spans="2:7" ht="18.75" x14ac:dyDescent="0.25">
      <c r="B32" s="58">
        <v>11</v>
      </c>
      <c r="C32" s="152">
        <v>23.122</v>
      </c>
      <c r="D32" s="152">
        <v>23.122</v>
      </c>
    </row>
    <row r="33" spans="2:4" ht="18.75" x14ac:dyDescent="0.25">
      <c r="B33" s="58">
        <v>12</v>
      </c>
      <c r="C33" s="152">
        <v>23.606999999999999</v>
      </c>
      <c r="D33" s="152">
        <v>23.606999999999999</v>
      </c>
    </row>
    <row r="34" spans="2:4" ht="18.75" x14ac:dyDescent="0.25">
      <c r="B34" s="58">
        <v>13</v>
      </c>
      <c r="C34" s="152">
        <v>23.638000000000002</v>
      </c>
      <c r="D34" s="152">
        <v>23.638000000000002</v>
      </c>
    </row>
    <row r="35" spans="2:4" ht="18.75" x14ac:dyDescent="0.25">
      <c r="B35" s="58">
        <v>14</v>
      </c>
      <c r="C35" s="152">
        <v>23.991</v>
      </c>
      <c r="D35" s="152">
        <v>23.991</v>
      </c>
    </row>
    <row r="36" spans="2:4" ht="18.75" x14ac:dyDescent="0.25">
      <c r="B36" s="58">
        <v>15</v>
      </c>
      <c r="C36" s="152">
        <v>23.637</v>
      </c>
      <c r="D36" s="152">
        <v>23.637</v>
      </c>
    </row>
    <row r="37" spans="2:4" ht="18.75" x14ac:dyDescent="0.25">
      <c r="B37" s="58">
        <v>16</v>
      </c>
      <c r="C37" s="152">
        <v>23.756</v>
      </c>
      <c r="D37" s="152">
        <v>23.756</v>
      </c>
    </row>
    <row r="38" spans="2:4" ht="18.75" x14ac:dyDescent="0.25">
      <c r="B38" s="58">
        <v>17</v>
      </c>
      <c r="C38" s="152">
        <v>23.620999999999999</v>
      </c>
      <c r="D38" s="152">
        <v>23.620999999999999</v>
      </c>
    </row>
    <row r="39" spans="2:4" ht="18.75" x14ac:dyDescent="0.25">
      <c r="B39" s="58">
        <v>18</v>
      </c>
      <c r="C39" s="152">
        <v>24.010999999999999</v>
      </c>
      <c r="D39" s="152">
        <v>24.010999999999999</v>
      </c>
    </row>
    <row r="40" spans="2:4" ht="18.75" x14ac:dyDescent="0.25">
      <c r="B40" s="58">
        <v>19</v>
      </c>
      <c r="C40" s="152">
        <v>23.696000000000002</v>
      </c>
      <c r="D40" s="152">
        <v>23.696000000000002</v>
      </c>
    </row>
    <row r="41" spans="2:4" ht="18.75" x14ac:dyDescent="0.25">
      <c r="B41" s="58">
        <v>20</v>
      </c>
      <c r="C41" s="152">
        <v>23.274000000000001</v>
      </c>
      <c r="D41" s="152">
        <v>23.274000000000001</v>
      </c>
    </row>
    <row r="42" spans="2:4" ht="18.75" x14ac:dyDescent="0.25">
      <c r="B42" s="58">
        <v>21</v>
      </c>
      <c r="C42" s="152">
        <v>22.977</v>
      </c>
      <c r="D42" s="152">
        <v>22.977</v>
      </c>
    </row>
    <row r="43" spans="2:4" ht="18.75" x14ac:dyDescent="0.25">
      <c r="B43" s="58">
        <v>22</v>
      </c>
      <c r="C43" s="152">
        <v>22.545999999999999</v>
      </c>
      <c r="D43" s="152">
        <v>22.545999999999999</v>
      </c>
    </row>
    <row r="44" spans="2:4" ht="18.75" x14ac:dyDescent="0.25">
      <c r="B44" s="58">
        <v>23</v>
      </c>
      <c r="C44" s="152">
        <v>22.286999999999999</v>
      </c>
      <c r="D44" s="152">
        <v>22.286999999999999</v>
      </c>
    </row>
    <row r="45" spans="2:4" ht="18.75" x14ac:dyDescent="0.25">
      <c r="B45" s="58">
        <v>24</v>
      </c>
      <c r="C45" s="152"/>
      <c r="D45" s="152"/>
    </row>
    <row r="46" spans="2:4" ht="33.75" customHeight="1" x14ac:dyDescent="0.25">
      <c r="B46" s="59" t="s">
        <v>45</v>
      </c>
      <c r="C46" s="155">
        <f>AVERAGE(C22:C45)</f>
        <v>23.543869565217388</v>
      </c>
      <c r="D46" s="155"/>
    </row>
    <row r="47" spans="2:4" ht="31.5" x14ac:dyDescent="0.25">
      <c r="B47" s="61" t="s">
        <v>46</v>
      </c>
      <c r="C47" s="60">
        <f>_xlfn.STDEV.S(C21:C45)</f>
        <v>0.45795417584504367</v>
      </c>
      <c r="D47" s="62" t="s">
        <v>47</v>
      </c>
    </row>
    <row r="48" spans="2:4" ht="15.75" x14ac:dyDescent="0.25">
      <c r="B48" s="59" t="s">
        <v>48</v>
      </c>
      <c r="C48" s="156" t="str">
        <f>IF(ABS(C47)&gt;=2.5,"NO CUMPLE CON DS T°C DEL SHELTER"," CUMPLE CON DS T°C DEL SHELTER")</f>
        <v xml:space="preserve"> CUMPLE CON DS T°C DEL SHELTER</v>
      </c>
      <c r="D48" s="15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A875-66BB-450E-BBB4-DC0FE3B42EFF}">
  <sheetPr codeName="Hoja32"/>
  <dimension ref="A1:L50"/>
  <sheetViews>
    <sheetView showGridLines="0" view="pageBreakPreview" topLeftCell="A7" zoomScale="85" zoomScaleNormal="85" zoomScaleSheetLayoutView="85" workbookViewId="0">
      <selection activeCell="C27" sqref="C27:D27"/>
    </sheetView>
  </sheetViews>
  <sheetFormatPr baseColWidth="10" defaultColWidth="11.42578125" defaultRowHeight="12.75" x14ac:dyDescent="0.25"/>
  <cols>
    <col min="1" max="1" width="24.5703125" style="29" customWidth="1"/>
    <col min="2" max="2" width="27" style="29" customWidth="1"/>
    <col min="3" max="3" width="18.140625" style="29" customWidth="1"/>
    <col min="4" max="4" width="17" style="29" customWidth="1"/>
    <col min="5" max="5" width="10.28515625" style="29" bestFit="1" customWidth="1"/>
    <col min="6" max="7" width="11.42578125" style="29"/>
    <col min="8" max="8" width="5" style="29" customWidth="1"/>
    <col min="9" max="16384" width="11.42578125" style="29"/>
  </cols>
  <sheetData>
    <row r="1" spans="1:12" s="31" customFormat="1" ht="22.5" customHeight="1" thickBot="1" x14ac:dyDescent="0.3">
      <c r="A1" s="25"/>
      <c r="B1" s="133" t="s">
        <v>0</v>
      </c>
      <c r="C1" s="134"/>
      <c r="D1" s="134"/>
      <c r="E1" s="135"/>
      <c r="F1" s="136" t="s">
        <v>33</v>
      </c>
      <c r="G1" s="137"/>
      <c r="H1" s="29"/>
      <c r="I1" s="29"/>
      <c r="J1" s="1"/>
      <c r="K1" s="1"/>
      <c r="L1" s="1"/>
    </row>
    <row r="2" spans="1:12" s="31" customFormat="1" ht="22.5" customHeight="1" x14ac:dyDescent="0.25">
      <c r="A2" s="26"/>
      <c r="B2" s="142" t="s">
        <v>2</v>
      </c>
      <c r="C2" s="143"/>
      <c r="D2" s="143"/>
      <c r="E2" s="144"/>
      <c r="F2" s="138"/>
      <c r="G2" s="139"/>
      <c r="H2" s="29"/>
      <c r="I2" s="29"/>
      <c r="J2" s="1"/>
      <c r="K2" s="1"/>
      <c r="L2" s="1"/>
    </row>
    <row r="3" spans="1:12" s="31" customFormat="1" ht="22.5" customHeight="1" thickBot="1" x14ac:dyDescent="0.3">
      <c r="A3" s="27"/>
      <c r="B3" s="145"/>
      <c r="C3" s="146"/>
      <c r="D3" s="146"/>
      <c r="E3" s="147"/>
      <c r="F3" s="140"/>
      <c r="G3" s="141"/>
      <c r="H3" s="29"/>
      <c r="I3" s="29"/>
      <c r="J3" s="2"/>
      <c r="K3" s="2"/>
      <c r="L3" s="2"/>
    </row>
    <row r="4" spans="1:12" ht="7.5" customHeight="1" x14ac:dyDescent="0.25">
      <c r="A4" s="49"/>
      <c r="B4" s="49"/>
      <c r="C4" s="49"/>
      <c r="D4" s="49"/>
      <c r="E4" s="49"/>
      <c r="F4" s="49"/>
      <c r="G4" s="49"/>
    </row>
    <row r="5" spans="1:12" ht="15.75" x14ac:dyDescent="0.25">
      <c r="A5" s="32"/>
      <c r="B5" s="32"/>
      <c r="C5" s="32"/>
      <c r="D5" s="32"/>
      <c r="E5" s="32"/>
    </row>
    <row r="7" spans="1:12" ht="15.75" x14ac:dyDescent="0.25">
      <c r="A7" s="33" t="s">
        <v>3</v>
      </c>
      <c r="B7" s="130" t="str" cm="1">
        <f t="array" ref="B7">'Dia 1'!B7:B7</f>
        <v>Aerocivil</v>
      </c>
      <c r="C7" s="131"/>
      <c r="D7" s="33" t="s">
        <v>5</v>
      </c>
      <c r="E7" s="132" t="str" cm="1">
        <f t="array" ref="E7">'Dia 1'!E7:E7</f>
        <v>Bogotá</v>
      </c>
      <c r="F7" s="132"/>
      <c r="G7" s="132"/>
    </row>
    <row r="8" spans="1:12" ht="15.75" x14ac:dyDescent="0.25">
      <c r="A8" s="33" t="s">
        <v>34</v>
      </c>
      <c r="B8" s="130" t="str" cm="1">
        <f t="array" ref="B8">'Dia 1'!B8:B8</f>
        <v>CA1 Engativa</v>
      </c>
      <c r="C8" s="131"/>
      <c r="D8" s="34" t="s">
        <v>10</v>
      </c>
      <c r="E8" s="132" t="str" cm="1">
        <f t="array" ref="E8">'Dia 1'!E8:E8</f>
        <v>Distrito Capital</v>
      </c>
      <c r="F8" s="132"/>
      <c r="G8" s="132"/>
    </row>
    <row r="9" spans="1:12" ht="15.75" x14ac:dyDescent="0.25">
      <c r="A9" s="33" t="s">
        <v>9</v>
      </c>
      <c r="B9" s="130" cm="1">
        <f t="array" ref="B9">'Dia 1'!B9:B9</f>
        <v>2077821.666</v>
      </c>
      <c r="C9" s="131"/>
      <c r="D9" s="34" t="s">
        <v>13</v>
      </c>
      <c r="E9" s="132" cm="1">
        <f t="array" ref="E9">'Dia 1'!E9:E9</f>
        <v>4874451.25</v>
      </c>
      <c r="F9" s="132"/>
      <c r="G9" s="132"/>
    </row>
    <row r="10" spans="1:12" ht="15.75" x14ac:dyDescent="0.25">
      <c r="A10" s="33" t="s">
        <v>35</v>
      </c>
      <c r="B10" s="130" t="str" cm="1">
        <f t="array" ref="B10">'Dia 1'!B10:B10</f>
        <v>Leonardo Pérez</v>
      </c>
      <c r="C10" s="131"/>
      <c r="D10" s="33" t="s">
        <v>37</v>
      </c>
      <c r="E10" s="132" cm="1">
        <f t="array" ref="E10">'Dia 1'!E10:E10</f>
        <v>2551</v>
      </c>
      <c r="F10" s="132"/>
      <c r="G10" s="132"/>
    </row>
    <row r="11" spans="1:12" ht="15.75" x14ac:dyDescent="0.25">
      <c r="A11" s="35" t="s">
        <v>38</v>
      </c>
      <c r="B11" s="149">
        <f>'FOM303-32-Imprimir'!C41</f>
        <v>46053</v>
      </c>
      <c r="C11" s="150"/>
      <c r="D11" s="36" t="s">
        <v>39</v>
      </c>
      <c r="E11" s="151" cm="1">
        <f t="array" ref="E11">'Dia 1'!E11:E11</f>
        <v>0</v>
      </c>
      <c r="F11" s="151"/>
      <c r="G11" s="151"/>
    </row>
    <row r="12" spans="1:12" ht="15.75" x14ac:dyDescent="0.25">
      <c r="A12" s="35" t="s">
        <v>40</v>
      </c>
      <c r="B12" s="149">
        <f>'FOM303-32-Imprimir'!E41</f>
        <v>46053</v>
      </c>
      <c r="C12" s="150"/>
      <c r="D12" s="35" t="s">
        <v>41</v>
      </c>
      <c r="E12" s="151" cm="1">
        <f t="array" ref="E12">'Dia 1'!E12:E12</f>
        <v>0.95833333333333337</v>
      </c>
      <c r="F12" s="151"/>
      <c r="G12" s="151"/>
    </row>
    <row r="15" spans="1:12" x14ac:dyDescent="0.25">
      <c r="B15" s="153" t="s">
        <v>42</v>
      </c>
      <c r="C15" s="153"/>
      <c r="D15" s="153"/>
      <c r="E15" s="37"/>
    </row>
    <row r="16" spans="1:12" ht="12.75" customHeight="1" thickBot="1" x14ac:dyDescent="0.3"/>
    <row r="17" spans="2:7" x14ac:dyDescent="0.25">
      <c r="B17" s="167" t="s">
        <v>43</v>
      </c>
      <c r="C17" s="167" t="s">
        <v>44</v>
      </c>
      <c r="D17" s="169"/>
      <c r="E17" s="38"/>
      <c r="G17" s="38"/>
    </row>
    <row r="18" spans="2:7" x14ac:dyDescent="0.25">
      <c r="B18" s="168"/>
      <c r="C18" s="168"/>
      <c r="D18" s="170"/>
      <c r="E18" s="38"/>
      <c r="G18" s="38"/>
    </row>
    <row r="19" spans="2:7" ht="18.75" customHeight="1" x14ac:dyDescent="0.25">
      <c r="B19" s="168"/>
      <c r="C19" s="168"/>
      <c r="D19" s="170"/>
    </row>
    <row r="20" spans="2:7" x14ac:dyDescent="0.25">
      <c r="B20" s="168"/>
      <c r="C20" s="168"/>
      <c r="D20" s="170"/>
    </row>
    <row r="21" spans="2:7" ht="18.75" x14ac:dyDescent="0.25">
      <c r="B21" s="18">
        <v>0</v>
      </c>
      <c r="C21" s="171">
        <v>23.521999999999998</v>
      </c>
      <c r="D21" s="172">
        <v>23.521999999999998</v>
      </c>
    </row>
    <row r="22" spans="2:7" ht="18.75" x14ac:dyDescent="0.25">
      <c r="B22" s="19">
        <v>1</v>
      </c>
      <c r="C22" s="165">
        <v>22.617000000000001</v>
      </c>
      <c r="D22" s="166">
        <v>22.617000000000001</v>
      </c>
    </row>
    <row r="23" spans="2:7" ht="18.75" x14ac:dyDescent="0.25">
      <c r="B23" s="19">
        <v>2</v>
      </c>
      <c r="C23" s="165">
        <v>21.734999999999999</v>
      </c>
      <c r="D23" s="166">
        <v>21.734999999999999</v>
      </c>
    </row>
    <row r="24" spans="2:7" ht="18.75" x14ac:dyDescent="0.25">
      <c r="B24" s="20">
        <v>3</v>
      </c>
      <c r="C24" s="165">
        <v>21.22</v>
      </c>
      <c r="D24" s="166">
        <v>21.22</v>
      </c>
    </row>
    <row r="25" spans="2:7" ht="18.75" x14ac:dyDescent="0.25">
      <c r="B25" s="19">
        <v>4</v>
      </c>
      <c r="C25" s="165">
        <v>21.187000000000001</v>
      </c>
      <c r="D25" s="166">
        <v>21.187000000000001</v>
      </c>
    </row>
    <row r="26" spans="2:7" ht="18.75" x14ac:dyDescent="0.25">
      <c r="B26" s="19">
        <v>5</v>
      </c>
      <c r="C26" s="165">
        <v>21.102</v>
      </c>
      <c r="D26" s="166">
        <v>21.102</v>
      </c>
    </row>
    <row r="27" spans="2:7" ht="18.75" x14ac:dyDescent="0.25">
      <c r="B27" s="19">
        <v>6</v>
      </c>
      <c r="C27" s="165">
        <v>22.547999999999998</v>
      </c>
      <c r="D27" s="166">
        <v>22.547999999999998</v>
      </c>
    </row>
    <row r="28" spans="2:7" ht="18.75" x14ac:dyDescent="0.25">
      <c r="B28" s="20">
        <v>7</v>
      </c>
      <c r="C28" s="165">
        <v>23.942</v>
      </c>
      <c r="D28" s="166">
        <v>23.942</v>
      </c>
    </row>
    <row r="29" spans="2:7" ht="18.75" x14ac:dyDescent="0.25">
      <c r="B29" s="19">
        <v>8</v>
      </c>
      <c r="C29" s="165">
        <v>23.919</v>
      </c>
      <c r="D29" s="166">
        <v>23.919</v>
      </c>
    </row>
    <row r="30" spans="2:7" ht="18.75" x14ac:dyDescent="0.25">
      <c r="B30" s="19">
        <v>9</v>
      </c>
      <c r="C30" s="165">
        <v>23.7</v>
      </c>
      <c r="D30" s="166">
        <v>23.7</v>
      </c>
    </row>
    <row r="31" spans="2:7" ht="18.75" x14ac:dyDescent="0.25">
      <c r="B31" s="20">
        <v>10</v>
      </c>
      <c r="C31" s="165">
        <v>23.861999999999998</v>
      </c>
      <c r="D31" s="166">
        <v>23.861999999999998</v>
      </c>
    </row>
    <row r="32" spans="2:7" ht="18.75" x14ac:dyDescent="0.25">
      <c r="B32" s="19">
        <v>11</v>
      </c>
      <c r="C32" s="165">
        <v>23.812000000000001</v>
      </c>
      <c r="D32" s="166">
        <v>23.812000000000001</v>
      </c>
    </row>
    <row r="33" spans="2:4" ht="18.75" x14ac:dyDescent="0.25">
      <c r="B33" s="19">
        <v>12</v>
      </c>
      <c r="C33" s="165">
        <v>23.968</v>
      </c>
      <c r="D33" s="166">
        <v>23.968</v>
      </c>
    </row>
    <row r="34" spans="2:4" ht="18.75" x14ac:dyDescent="0.25">
      <c r="B34" s="20">
        <v>13</v>
      </c>
      <c r="C34" s="165">
        <v>23.922999999999998</v>
      </c>
      <c r="D34" s="166">
        <v>23.922999999999998</v>
      </c>
    </row>
    <row r="35" spans="2:4" ht="18.75" x14ac:dyDescent="0.25">
      <c r="B35" s="19">
        <v>14</v>
      </c>
      <c r="C35" s="165">
        <v>23.795000000000002</v>
      </c>
      <c r="D35" s="166">
        <v>23.795000000000002</v>
      </c>
    </row>
    <row r="36" spans="2:4" ht="18.75" x14ac:dyDescent="0.25">
      <c r="B36" s="19">
        <v>15</v>
      </c>
      <c r="C36" s="165">
        <v>23.927</v>
      </c>
      <c r="D36" s="166">
        <v>23.927</v>
      </c>
    </row>
    <row r="37" spans="2:4" ht="18.75" x14ac:dyDescent="0.25">
      <c r="B37" s="20">
        <v>16</v>
      </c>
      <c r="C37" s="165">
        <v>23.765999999999998</v>
      </c>
      <c r="D37" s="166">
        <v>23.765999999999998</v>
      </c>
    </row>
    <row r="38" spans="2:4" ht="18.75" x14ac:dyDescent="0.25">
      <c r="B38" s="19">
        <v>17</v>
      </c>
      <c r="C38" s="165">
        <v>23.742999999999999</v>
      </c>
      <c r="D38" s="166">
        <v>23.742999999999999</v>
      </c>
    </row>
    <row r="39" spans="2:4" ht="18.75" x14ac:dyDescent="0.25">
      <c r="B39" s="19">
        <v>18</v>
      </c>
      <c r="C39" s="165">
        <v>23.844000000000001</v>
      </c>
      <c r="D39" s="166">
        <v>23.844000000000001</v>
      </c>
    </row>
    <row r="40" spans="2:4" ht="18.75" x14ac:dyDescent="0.25">
      <c r="B40" s="20">
        <v>19</v>
      </c>
      <c r="C40" s="165">
        <v>23.931000000000001</v>
      </c>
      <c r="D40" s="166">
        <v>23.931000000000001</v>
      </c>
    </row>
    <row r="41" spans="2:4" ht="18.75" x14ac:dyDescent="0.25">
      <c r="B41" s="19">
        <v>20</v>
      </c>
      <c r="C41" s="165">
        <v>23.815000000000001</v>
      </c>
      <c r="D41" s="166">
        <v>23.815000000000001</v>
      </c>
    </row>
    <row r="42" spans="2:4" ht="18.75" x14ac:dyDescent="0.25">
      <c r="B42" s="19">
        <v>21</v>
      </c>
      <c r="C42" s="165">
        <v>23.69</v>
      </c>
      <c r="D42" s="166">
        <v>23.69</v>
      </c>
    </row>
    <row r="43" spans="2:4" ht="18.75" x14ac:dyDescent="0.25">
      <c r="B43" s="20">
        <v>22</v>
      </c>
      <c r="C43" s="165">
        <v>24.024000000000001</v>
      </c>
      <c r="D43" s="166">
        <v>24.024000000000001</v>
      </c>
    </row>
    <row r="44" spans="2:4" ht="18.75" x14ac:dyDescent="0.25">
      <c r="B44" s="19">
        <v>23</v>
      </c>
      <c r="C44" s="165">
        <v>23.981000000000002</v>
      </c>
      <c r="D44" s="166">
        <v>23.981000000000002</v>
      </c>
    </row>
    <row r="45" spans="2:4" ht="18.75" x14ac:dyDescent="0.25">
      <c r="B45" s="21">
        <v>24</v>
      </c>
      <c r="C45" s="177"/>
      <c r="D45" s="178"/>
    </row>
    <row r="46" spans="2:4" ht="33.75" customHeight="1" x14ac:dyDescent="0.25">
      <c r="B46" s="23" t="s">
        <v>45</v>
      </c>
      <c r="C46" s="173">
        <f>AVERAGE(C22:C45)</f>
        <v>23.306565217391306</v>
      </c>
      <c r="D46" s="174"/>
    </row>
    <row r="47" spans="2:4" ht="31.5" x14ac:dyDescent="0.25">
      <c r="B47" s="28" t="s">
        <v>46</v>
      </c>
      <c r="C47" s="30">
        <f>_xlfn.STDEV.S(C21:C45)</f>
        <v>0.99270517446309192</v>
      </c>
      <c r="D47" s="22" t="s">
        <v>47</v>
      </c>
    </row>
    <row r="48" spans="2:4" ht="16.5" thickBot="1" x14ac:dyDescent="0.3">
      <c r="B48" s="24" t="s">
        <v>48</v>
      </c>
      <c r="C48" s="175" t="str">
        <f>IF(ABS(C47)&gt;=2.5,"NO CUMPLE CON DS T°C DEL SHELTER"," CUMPLE CON DS T°C DEL SHELTER")</f>
        <v xml:space="preserve"> CUMPLE CON DS T°C DEL SHELTER</v>
      </c>
      <c r="D48" s="176"/>
    </row>
    <row r="50" spans="1:5" ht="15.75" x14ac:dyDescent="0.25">
      <c r="A50" s="157"/>
      <c r="B50" s="157"/>
      <c r="C50" s="157"/>
      <c r="D50" s="157"/>
      <c r="E50" s="157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1911-DEA9-4B0B-8DA6-B88F3F6CB3BE}">
  <sheetPr codeName="Hoja33"/>
  <dimension ref="A2:C8"/>
  <sheetViews>
    <sheetView workbookViewId="0">
      <selection activeCell="A6" sqref="A6"/>
    </sheetView>
  </sheetViews>
  <sheetFormatPr baseColWidth="10" defaultColWidth="11.42578125" defaultRowHeight="14.25" x14ac:dyDescent="0.2"/>
  <cols>
    <col min="1" max="2" width="15" style="40" customWidth="1"/>
    <col min="3" max="3" width="67.5703125" style="40" customWidth="1"/>
    <col min="4" max="16384" width="11.42578125" style="40"/>
  </cols>
  <sheetData>
    <row r="2" spans="1:3" ht="15" x14ac:dyDescent="0.25">
      <c r="A2" s="39" t="s">
        <v>49</v>
      </c>
    </row>
    <row r="4" spans="1:3" ht="15" x14ac:dyDescent="0.25">
      <c r="A4" s="41" t="s">
        <v>50</v>
      </c>
      <c r="B4" s="41" t="s">
        <v>51</v>
      </c>
      <c r="C4" s="41" t="s">
        <v>52</v>
      </c>
    </row>
    <row r="5" spans="1:3" x14ac:dyDescent="0.2">
      <c r="A5" s="42">
        <v>44278</v>
      </c>
      <c r="B5" s="43">
        <v>6</v>
      </c>
      <c r="C5" s="44" t="s">
        <v>53</v>
      </c>
    </row>
    <row r="6" spans="1:3" x14ac:dyDescent="0.2">
      <c r="A6" s="42">
        <v>45439</v>
      </c>
      <c r="B6" s="43">
        <v>7</v>
      </c>
      <c r="C6" s="44" t="s">
        <v>54</v>
      </c>
    </row>
    <row r="7" spans="1:3" x14ac:dyDescent="0.2">
      <c r="A7" s="42"/>
      <c r="B7" s="43"/>
      <c r="C7" s="44"/>
    </row>
    <row r="8" spans="1:3" x14ac:dyDescent="0.2">
      <c r="A8" s="42"/>
      <c r="B8" s="43"/>
      <c r="C8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2BB90B061994897228AC2F8EC1EB9" ma:contentTypeVersion="15" ma:contentTypeDescription="Crear nuevo documento." ma:contentTypeScope="" ma:versionID="5ef8a178b4d87847eaf7a90f592341d2">
  <xsd:schema xmlns:xsd="http://www.w3.org/2001/XMLSchema" xmlns:xs="http://www.w3.org/2001/XMLSchema" xmlns:p="http://schemas.microsoft.com/office/2006/metadata/properties" xmlns:ns2="d970cbae-6609-4866-a885-3cd45369ac38" xmlns:ns3="99b40104-e46f-45fd-a394-93ed8643469b" targetNamespace="http://schemas.microsoft.com/office/2006/metadata/properties" ma:root="true" ma:fieldsID="4f40d6015346fdebf5f519fb13ef6111" ns2:_="" ns3:_="">
    <xsd:import namespace="d970cbae-6609-4866-a885-3cd45369ac38"/>
    <xsd:import namespace="99b40104-e46f-45fd-a394-93ed86434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0cbae-6609-4866-a885-3cd45369a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40104-e46f-45fd-a394-93ed86434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efd92c0-483a-41b5-8fc2-05089f184f93}" ma:internalName="TaxCatchAll" ma:showField="CatchAllData" ma:web="99b40104-e46f-45fd-a394-93ed86434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70cbae-6609-4866-a885-3cd45369ac38">
      <Terms xmlns="http://schemas.microsoft.com/office/infopath/2007/PartnerControls"/>
    </lcf76f155ced4ddcb4097134ff3c332f>
    <TaxCatchAll xmlns="99b40104-e46f-45fd-a394-93ed864346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D5E9A2-77B4-48C5-9620-E4D893368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70cbae-6609-4866-a885-3cd45369ac38"/>
    <ds:schemaRef ds:uri="99b40104-e46f-45fd-a394-93ed86434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70DE25-D260-45D8-AAF5-5C98CEDB8EF0}">
  <ds:schemaRefs>
    <ds:schemaRef ds:uri="http://schemas.microsoft.com/office/2006/metadata/properties"/>
    <ds:schemaRef ds:uri="http://schemas.microsoft.com/office/infopath/2007/PartnerControls"/>
    <ds:schemaRef ds:uri="d970cbae-6609-4866-a885-3cd45369ac38"/>
    <ds:schemaRef ds:uri="99b40104-e46f-45fd-a394-93ed8643469b"/>
  </ds:schemaRefs>
</ds:datastoreItem>
</file>

<file path=customXml/itemProps3.xml><?xml version="1.0" encoding="utf-8"?>
<ds:datastoreItem xmlns:ds="http://schemas.openxmlformats.org/officeDocument/2006/customXml" ds:itemID="{1D3F99DC-F011-4FF5-A9EA-617FC0242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32</vt:i4>
      </vt:variant>
    </vt:vector>
  </HeadingPairs>
  <TitlesOfParts>
    <vt:vector size="65" baseType="lpstr">
      <vt:lpstr>FOM303-32-Imprimir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  <vt:lpstr>Dia 31</vt:lpstr>
      <vt:lpstr>Cambios</vt:lpstr>
      <vt:lpstr>'Dia 1'!Área_de_impresión</vt:lpstr>
      <vt:lpstr>'Dia 10'!Área_de_impresión</vt:lpstr>
      <vt:lpstr>'Dia 11'!Área_de_impresión</vt:lpstr>
      <vt:lpstr>'Dia 12'!Área_de_impresión</vt:lpstr>
      <vt:lpstr>'Dia 13'!Área_de_impresión</vt:lpstr>
      <vt:lpstr>'Dia 14'!Área_de_impresión</vt:lpstr>
      <vt:lpstr>'Dia 15'!Área_de_impresión</vt:lpstr>
      <vt:lpstr>'Dia 16'!Área_de_impresión</vt:lpstr>
      <vt:lpstr>'Dia 17'!Área_de_impresión</vt:lpstr>
      <vt:lpstr>'Dia 18'!Área_de_impresión</vt:lpstr>
      <vt:lpstr>'Dia 19'!Área_de_impresión</vt:lpstr>
      <vt:lpstr>'Dia 2'!Área_de_impresión</vt:lpstr>
      <vt:lpstr>'Dia 20'!Área_de_impresión</vt:lpstr>
      <vt:lpstr>'Dia 21'!Área_de_impresión</vt:lpstr>
      <vt:lpstr>'Dia 22'!Área_de_impresión</vt:lpstr>
      <vt:lpstr>'Dia 23'!Área_de_impresión</vt:lpstr>
      <vt:lpstr>'Dia 24'!Área_de_impresión</vt:lpstr>
      <vt:lpstr>'Dia 25'!Área_de_impresión</vt:lpstr>
      <vt:lpstr>'Dia 26'!Área_de_impresión</vt:lpstr>
      <vt:lpstr>'Dia 27'!Área_de_impresión</vt:lpstr>
      <vt:lpstr>'Dia 28'!Área_de_impresión</vt:lpstr>
      <vt:lpstr>'Dia 29'!Área_de_impresión</vt:lpstr>
      <vt:lpstr>'Dia 3'!Área_de_impresión</vt:lpstr>
      <vt:lpstr>'Dia 30'!Área_de_impresión</vt:lpstr>
      <vt:lpstr>'Dia 31'!Área_de_impresión</vt:lpstr>
      <vt:lpstr>'Dia 4'!Área_de_impresión</vt:lpstr>
      <vt:lpstr>'Dia 5'!Área_de_impresión</vt:lpstr>
      <vt:lpstr>'Dia 6'!Área_de_impresión</vt:lpstr>
      <vt:lpstr>'Dia 7'!Área_de_impresión</vt:lpstr>
      <vt:lpstr>'Dia 8'!Área_de_impresión</vt:lpstr>
      <vt:lpstr>'Dia 9'!Área_de_impresión</vt:lpstr>
      <vt:lpstr>'FOM303-32-Imprimir'!Área_de_impresión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g.figueroa</dc:creator>
  <cp:keywords/>
  <dc:description/>
  <cp:lastModifiedBy>Holman Leonardo Perez Diaz</cp:lastModifiedBy>
  <cp:revision/>
  <dcterms:created xsi:type="dcterms:W3CDTF">2011-10-24T03:32:12Z</dcterms:created>
  <dcterms:modified xsi:type="dcterms:W3CDTF">2026-02-18T12:54:58Z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0x010100D2D2BB90B061994897228AC2F8EC1EB9</vt:lpwstr>
  </property>
</Properties>
</file>