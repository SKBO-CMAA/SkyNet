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Meteorologia\"/>
    </mc:Choice>
  </mc:AlternateContent>
  <xr:revisionPtr revIDLastSave="0" documentId="13_ncr:1_{54599B4B-3C8A-4BE8-8104-1130DAE7E507}" xr6:coauthVersionLast="47" xr6:coauthVersionMax="47" xr10:uidLastSave="{00000000-0000-0000-0000-000000000000}"/>
  <bookViews>
    <workbookView xWindow="20385" yWindow="-855" windowWidth="14610" windowHeight="15585" firstSheet="3" activeTab="6" xr2:uid="{4774ADFB-FF2A-4B7A-BDA5-628D9C712F2F}"/>
  </bookViews>
  <sheets>
    <sheet name="Fechas " sheetId="1" r:id="rId1"/>
    <sheet name="230303" sheetId="6" state="hidden" r:id="rId2"/>
    <sheet name="230903" sheetId="5" state="hidden" r:id="rId3"/>
    <sheet name="23-11-17" sheetId="2" r:id="rId4"/>
    <sheet name="24-05-16" sheetId="9" r:id="rId5"/>
    <sheet name="24-11-18" sheetId="3" r:id="rId6"/>
    <sheet name="25-05-22" sheetId="7" r:id="rId7"/>
    <sheet name="Cambios" sheetId="10" r:id="rId8"/>
  </sheets>
  <externalReferences>
    <externalReference r:id="rId9"/>
    <externalReference r:id="rId10"/>
  </externalReferences>
  <definedNames>
    <definedName name="_xlnm._FilterDatabase" localSheetId="0" hidden="1">'Fechas '!$B$2:$E$2</definedName>
    <definedName name="ubiog">'[1]U. Biogeografica'!$E$2:$E$18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" i="9" l="1"/>
  <c r="Z35" i="9"/>
  <c r="Y35" i="9"/>
  <c r="X35" i="9"/>
  <c r="W35" i="9"/>
  <c r="V35" i="9"/>
  <c r="U35" i="9"/>
  <c r="T35" i="9"/>
  <c r="AA34" i="9"/>
  <c r="Z34" i="9"/>
  <c r="Y34" i="9"/>
  <c r="X34" i="9"/>
  <c r="W34" i="9"/>
  <c r="V34" i="9"/>
  <c r="U34" i="9"/>
  <c r="T34" i="9"/>
  <c r="AA33" i="9"/>
  <c r="Z33" i="9"/>
  <c r="Y33" i="9"/>
  <c r="X33" i="9"/>
  <c r="W33" i="9"/>
  <c r="V33" i="9"/>
  <c r="U33" i="9"/>
  <c r="T33" i="9"/>
  <c r="AA32" i="9"/>
  <c r="Z32" i="9"/>
  <c r="Y32" i="9"/>
  <c r="X32" i="9"/>
  <c r="W32" i="9"/>
  <c r="V32" i="9"/>
  <c r="U32" i="9"/>
  <c r="T32" i="9"/>
  <c r="AA31" i="9"/>
  <c r="Z31" i="9"/>
  <c r="Y31" i="9"/>
  <c r="X31" i="9"/>
  <c r="W31" i="9"/>
  <c r="V31" i="9"/>
  <c r="U31" i="9"/>
  <c r="T31" i="9"/>
  <c r="AA30" i="9"/>
  <c r="Z30" i="9"/>
  <c r="Y30" i="9"/>
  <c r="X30" i="9"/>
  <c r="W30" i="9"/>
  <c r="V30" i="9"/>
  <c r="U30" i="9"/>
  <c r="T30" i="9"/>
  <c r="AA29" i="9"/>
  <c r="Z29" i="9"/>
  <c r="Y29" i="9"/>
  <c r="X29" i="9"/>
  <c r="W29" i="9"/>
  <c r="V29" i="9"/>
  <c r="U29" i="9"/>
  <c r="T29" i="9"/>
  <c r="AA28" i="9"/>
  <c r="Z28" i="9"/>
  <c r="Y28" i="9"/>
  <c r="X28" i="9"/>
  <c r="W28" i="9"/>
  <c r="V28" i="9"/>
  <c r="U28" i="9"/>
  <c r="T28" i="9"/>
  <c r="AA27" i="9"/>
  <c r="Z27" i="9"/>
  <c r="Y27" i="9"/>
  <c r="X27" i="9"/>
  <c r="W27" i="9"/>
  <c r="V27" i="9"/>
  <c r="U27" i="9"/>
  <c r="T27" i="9"/>
  <c r="AA26" i="9"/>
  <c r="Z26" i="9"/>
  <c r="Y26" i="9"/>
  <c r="X26" i="9"/>
  <c r="W26" i="9"/>
  <c r="V26" i="9"/>
  <c r="U26" i="9"/>
  <c r="T26" i="9"/>
  <c r="AA25" i="9"/>
  <c r="Z25" i="9"/>
  <c r="Y25" i="9"/>
  <c r="X25" i="9"/>
  <c r="W25" i="9"/>
  <c r="V25" i="9"/>
  <c r="U25" i="9"/>
  <c r="T25" i="9"/>
  <c r="AA24" i="9"/>
  <c r="Z24" i="9"/>
  <c r="Y24" i="9"/>
  <c r="X24" i="9"/>
  <c r="W24" i="9"/>
  <c r="V24" i="9"/>
  <c r="U24" i="9"/>
  <c r="T24" i="9"/>
  <c r="AA23" i="9"/>
  <c r="Z23" i="9"/>
  <c r="Y23" i="9"/>
  <c r="X23" i="9"/>
  <c r="W23" i="9"/>
  <c r="V23" i="9"/>
  <c r="U23" i="9"/>
  <c r="T23" i="9"/>
  <c r="AA22" i="9"/>
  <c r="Z22" i="9"/>
  <c r="Y22" i="9"/>
  <c r="X22" i="9"/>
  <c r="W22" i="9"/>
  <c r="V22" i="9"/>
  <c r="U22" i="9"/>
  <c r="T22" i="9"/>
  <c r="AA21" i="9"/>
  <c r="Z21" i="9"/>
  <c r="Y21" i="9"/>
  <c r="X21" i="9"/>
  <c r="W21" i="9"/>
  <c r="V21" i="9"/>
  <c r="U21" i="9"/>
  <c r="T21" i="9"/>
  <c r="AA20" i="9"/>
  <c r="Z20" i="9"/>
  <c r="Y20" i="9"/>
  <c r="X20" i="9"/>
  <c r="W20" i="9"/>
  <c r="V20" i="9"/>
  <c r="U20" i="9"/>
  <c r="T20" i="9"/>
  <c r="AA19" i="9"/>
  <c r="Z19" i="9"/>
  <c r="Y19" i="9"/>
  <c r="X19" i="9"/>
  <c r="W19" i="9"/>
  <c r="V19" i="9"/>
  <c r="U19" i="9"/>
  <c r="T19" i="9"/>
  <c r="AA18" i="9"/>
  <c r="Z18" i="9"/>
  <c r="Y18" i="9"/>
  <c r="X18" i="9"/>
  <c r="W18" i="9"/>
  <c r="V18" i="9"/>
  <c r="U18" i="9"/>
  <c r="T18" i="9"/>
  <c r="AA17" i="9"/>
  <c r="Z17" i="9"/>
  <c r="Y17" i="9"/>
  <c r="X17" i="9"/>
  <c r="W17" i="9"/>
  <c r="V17" i="9"/>
  <c r="U17" i="9"/>
  <c r="T17" i="9"/>
  <c r="AA16" i="9"/>
  <c r="Z16" i="9"/>
  <c r="Y16" i="9"/>
  <c r="X16" i="9"/>
  <c r="W16" i="9"/>
  <c r="V16" i="9"/>
  <c r="U16" i="9"/>
  <c r="T16" i="9"/>
  <c r="AA15" i="9"/>
  <c r="Z15" i="9"/>
  <c r="Y15" i="9"/>
  <c r="X15" i="9"/>
  <c r="W15" i="9"/>
  <c r="V15" i="9"/>
  <c r="U15" i="9"/>
  <c r="T15" i="9"/>
  <c r="AA14" i="9"/>
  <c r="Z14" i="9"/>
  <c r="Y14" i="9"/>
  <c r="X14" i="9"/>
  <c r="W14" i="9"/>
  <c r="V14" i="9"/>
  <c r="U14" i="9"/>
  <c r="T14" i="9"/>
  <c r="AA13" i="9"/>
  <c r="Z13" i="9"/>
  <c r="Y13" i="9"/>
  <c r="X13" i="9"/>
  <c r="W13" i="9"/>
  <c r="V13" i="9"/>
  <c r="U13" i="9"/>
  <c r="T13" i="9"/>
  <c r="AA12" i="9"/>
  <c r="Z12" i="9"/>
  <c r="Y12" i="9"/>
  <c r="X12" i="9"/>
  <c r="W12" i="9"/>
  <c r="V12" i="9"/>
  <c r="U12" i="9"/>
  <c r="T12" i="9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12" i="7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12" i="3"/>
  <c r="AA12" i="2"/>
  <c r="AB31" i="9" l="1"/>
  <c r="AB35" i="9"/>
  <c r="AB20" i="9"/>
  <c r="AB23" i="9"/>
  <c r="AB15" i="9"/>
  <c r="AB27" i="9"/>
  <c r="AB34" i="9"/>
  <c r="AB28" i="9"/>
  <c r="AB19" i="9"/>
  <c r="AB16" i="9"/>
  <c r="AB18" i="9"/>
  <c r="AB12" i="9"/>
  <c r="AB24" i="9"/>
  <c r="AB30" i="9"/>
  <c r="AB14" i="9"/>
  <c r="AB33" i="9"/>
  <c r="AB29" i="9"/>
  <c r="AB26" i="9"/>
  <c r="AB17" i="9"/>
  <c r="AB32" i="9"/>
  <c r="AB13" i="9"/>
  <c r="AB25" i="9"/>
  <c r="AB22" i="9"/>
  <c r="AB21" i="9"/>
  <c r="AA14" i="2"/>
  <c r="AA13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Z35" i="7" l="1"/>
  <c r="Y35" i="7"/>
  <c r="X35" i="7"/>
  <c r="W35" i="7"/>
  <c r="V35" i="7"/>
  <c r="U35" i="7"/>
  <c r="T35" i="7"/>
  <c r="Z34" i="7"/>
  <c r="Y34" i="7"/>
  <c r="X34" i="7"/>
  <c r="W34" i="7"/>
  <c r="V34" i="7"/>
  <c r="U34" i="7"/>
  <c r="T34" i="7"/>
  <c r="Z33" i="7"/>
  <c r="Y33" i="7"/>
  <c r="X33" i="7"/>
  <c r="W33" i="7"/>
  <c r="V33" i="7"/>
  <c r="U33" i="7"/>
  <c r="T33" i="7"/>
  <c r="Z32" i="7"/>
  <c r="Y32" i="7"/>
  <c r="X32" i="7"/>
  <c r="W32" i="7"/>
  <c r="V32" i="7"/>
  <c r="U32" i="7"/>
  <c r="T32" i="7"/>
  <c r="Z31" i="7"/>
  <c r="Y31" i="7"/>
  <c r="X31" i="7"/>
  <c r="W31" i="7"/>
  <c r="V31" i="7"/>
  <c r="U31" i="7"/>
  <c r="T31" i="7"/>
  <c r="Z30" i="7"/>
  <c r="Y30" i="7"/>
  <c r="X30" i="7"/>
  <c r="W30" i="7"/>
  <c r="V30" i="7"/>
  <c r="U30" i="7"/>
  <c r="T30" i="7"/>
  <c r="Z29" i="7"/>
  <c r="Y29" i="7"/>
  <c r="X29" i="7"/>
  <c r="W29" i="7"/>
  <c r="V29" i="7"/>
  <c r="U29" i="7"/>
  <c r="T29" i="7"/>
  <c r="Z28" i="7"/>
  <c r="Y28" i="7"/>
  <c r="X28" i="7"/>
  <c r="W28" i="7"/>
  <c r="V28" i="7"/>
  <c r="U28" i="7"/>
  <c r="T28" i="7"/>
  <c r="Z27" i="7"/>
  <c r="Y27" i="7"/>
  <c r="X27" i="7"/>
  <c r="W27" i="7"/>
  <c r="V27" i="7"/>
  <c r="U27" i="7"/>
  <c r="T27" i="7"/>
  <c r="Z26" i="7"/>
  <c r="Y26" i="7"/>
  <c r="X26" i="7"/>
  <c r="W26" i="7"/>
  <c r="V26" i="7"/>
  <c r="U26" i="7"/>
  <c r="T26" i="7"/>
  <c r="Z25" i="7"/>
  <c r="Y25" i="7"/>
  <c r="X25" i="7"/>
  <c r="W25" i="7"/>
  <c r="V25" i="7"/>
  <c r="U25" i="7"/>
  <c r="T25" i="7"/>
  <c r="Z24" i="7"/>
  <c r="Y24" i="7"/>
  <c r="X24" i="7"/>
  <c r="W24" i="7"/>
  <c r="V24" i="7"/>
  <c r="U24" i="7"/>
  <c r="T24" i="7"/>
  <c r="AB24" i="7" s="1"/>
  <c r="Z23" i="7"/>
  <c r="Y23" i="7"/>
  <c r="X23" i="7"/>
  <c r="W23" i="7"/>
  <c r="V23" i="7"/>
  <c r="U23" i="7"/>
  <c r="T23" i="7"/>
  <c r="Z22" i="7"/>
  <c r="Y22" i="7"/>
  <c r="X22" i="7"/>
  <c r="W22" i="7"/>
  <c r="V22" i="7"/>
  <c r="U22" i="7"/>
  <c r="T22" i="7"/>
  <c r="Z21" i="7"/>
  <c r="Y21" i="7"/>
  <c r="X21" i="7"/>
  <c r="W21" i="7"/>
  <c r="V21" i="7"/>
  <c r="U21" i="7"/>
  <c r="T21" i="7"/>
  <c r="Z20" i="7"/>
  <c r="Y20" i="7"/>
  <c r="X20" i="7"/>
  <c r="W20" i="7"/>
  <c r="V20" i="7"/>
  <c r="U20" i="7"/>
  <c r="T20" i="7"/>
  <c r="Z19" i="7"/>
  <c r="Y19" i="7"/>
  <c r="X19" i="7"/>
  <c r="W19" i="7"/>
  <c r="V19" i="7"/>
  <c r="U19" i="7"/>
  <c r="T19" i="7"/>
  <c r="AB19" i="7" s="1"/>
  <c r="Z18" i="7"/>
  <c r="Y18" i="7"/>
  <c r="X18" i="7"/>
  <c r="W18" i="7"/>
  <c r="V18" i="7"/>
  <c r="U18" i="7"/>
  <c r="T18" i="7"/>
  <c r="Z17" i="7"/>
  <c r="Y17" i="7"/>
  <c r="X17" i="7"/>
  <c r="W17" i="7"/>
  <c r="V17" i="7"/>
  <c r="U17" i="7"/>
  <c r="T17" i="7"/>
  <c r="Z16" i="7"/>
  <c r="Y16" i="7"/>
  <c r="X16" i="7"/>
  <c r="W16" i="7"/>
  <c r="V16" i="7"/>
  <c r="U16" i="7"/>
  <c r="T16" i="7"/>
  <c r="AB16" i="7" s="1"/>
  <c r="Z15" i="7"/>
  <c r="Y15" i="7"/>
  <c r="X15" i="7"/>
  <c r="W15" i="7"/>
  <c r="V15" i="7"/>
  <c r="U15" i="7"/>
  <c r="T15" i="7"/>
  <c r="Z14" i="7"/>
  <c r="Y14" i="7"/>
  <c r="X14" i="7"/>
  <c r="W14" i="7"/>
  <c r="V14" i="7"/>
  <c r="U14" i="7"/>
  <c r="T14" i="7"/>
  <c r="Z13" i="7"/>
  <c r="Y13" i="7"/>
  <c r="X13" i="7"/>
  <c r="W13" i="7"/>
  <c r="V13" i="7"/>
  <c r="U13" i="7"/>
  <c r="T13" i="7"/>
  <c r="Z12" i="7"/>
  <c r="Y12" i="7"/>
  <c r="X12" i="7"/>
  <c r="W12" i="7"/>
  <c r="V12" i="7"/>
  <c r="U12" i="7"/>
  <c r="T12" i="7"/>
  <c r="AA35" i="6"/>
  <c r="Z35" i="6"/>
  <c r="Y35" i="6"/>
  <c r="X35" i="6"/>
  <c r="W35" i="6"/>
  <c r="V35" i="6"/>
  <c r="U35" i="6"/>
  <c r="T35" i="6"/>
  <c r="AA34" i="6"/>
  <c r="Z34" i="6"/>
  <c r="Y34" i="6"/>
  <c r="X34" i="6"/>
  <c r="W34" i="6"/>
  <c r="V34" i="6"/>
  <c r="U34" i="6"/>
  <c r="T34" i="6"/>
  <c r="AA33" i="6"/>
  <c r="Z33" i="6"/>
  <c r="Y33" i="6"/>
  <c r="X33" i="6"/>
  <c r="W33" i="6"/>
  <c r="V33" i="6"/>
  <c r="U33" i="6"/>
  <c r="T33" i="6"/>
  <c r="AA32" i="6"/>
  <c r="Z32" i="6"/>
  <c r="Y32" i="6"/>
  <c r="X32" i="6"/>
  <c r="W32" i="6"/>
  <c r="V32" i="6"/>
  <c r="U32" i="6"/>
  <c r="T32" i="6"/>
  <c r="AA31" i="6"/>
  <c r="Z31" i="6"/>
  <c r="Y31" i="6"/>
  <c r="X31" i="6"/>
  <c r="W31" i="6"/>
  <c r="V31" i="6"/>
  <c r="U31" i="6"/>
  <c r="T31" i="6"/>
  <c r="AA30" i="6"/>
  <c r="Z30" i="6"/>
  <c r="Y30" i="6"/>
  <c r="X30" i="6"/>
  <c r="W30" i="6"/>
  <c r="V30" i="6"/>
  <c r="U30" i="6"/>
  <c r="T30" i="6"/>
  <c r="AA29" i="6"/>
  <c r="Z29" i="6"/>
  <c r="Y29" i="6"/>
  <c r="X29" i="6"/>
  <c r="W29" i="6"/>
  <c r="V29" i="6"/>
  <c r="U29" i="6"/>
  <c r="T29" i="6"/>
  <c r="AA28" i="6"/>
  <c r="Z28" i="6"/>
  <c r="Y28" i="6"/>
  <c r="X28" i="6"/>
  <c r="W28" i="6"/>
  <c r="V28" i="6"/>
  <c r="U28" i="6"/>
  <c r="T28" i="6"/>
  <c r="AA27" i="6"/>
  <c r="Z27" i="6"/>
  <c r="Y27" i="6"/>
  <c r="X27" i="6"/>
  <c r="W27" i="6"/>
  <c r="V27" i="6"/>
  <c r="U27" i="6"/>
  <c r="T27" i="6"/>
  <c r="AA26" i="6"/>
  <c r="Z26" i="6"/>
  <c r="Y26" i="6"/>
  <c r="X26" i="6"/>
  <c r="W26" i="6"/>
  <c r="V26" i="6"/>
  <c r="U26" i="6"/>
  <c r="T26" i="6"/>
  <c r="AA25" i="6"/>
  <c r="Z25" i="6"/>
  <c r="Y25" i="6"/>
  <c r="X25" i="6"/>
  <c r="W25" i="6"/>
  <c r="V25" i="6"/>
  <c r="U25" i="6"/>
  <c r="T25" i="6"/>
  <c r="AA24" i="6"/>
  <c r="Z24" i="6"/>
  <c r="Y24" i="6"/>
  <c r="X24" i="6"/>
  <c r="W24" i="6"/>
  <c r="V24" i="6"/>
  <c r="U24" i="6"/>
  <c r="T24" i="6"/>
  <c r="AA23" i="6"/>
  <c r="Z23" i="6"/>
  <c r="Y23" i="6"/>
  <c r="X23" i="6"/>
  <c r="W23" i="6"/>
  <c r="V23" i="6"/>
  <c r="U23" i="6"/>
  <c r="T23" i="6"/>
  <c r="AA22" i="6"/>
  <c r="Z22" i="6"/>
  <c r="Y22" i="6"/>
  <c r="X22" i="6"/>
  <c r="W22" i="6"/>
  <c r="V22" i="6"/>
  <c r="U22" i="6"/>
  <c r="T22" i="6"/>
  <c r="AA21" i="6"/>
  <c r="Z21" i="6"/>
  <c r="Y21" i="6"/>
  <c r="X21" i="6"/>
  <c r="W21" i="6"/>
  <c r="V21" i="6"/>
  <c r="U21" i="6"/>
  <c r="T21" i="6"/>
  <c r="AA20" i="6"/>
  <c r="Z20" i="6"/>
  <c r="Y20" i="6"/>
  <c r="X20" i="6"/>
  <c r="W20" i="6"/>
  <c r="V20" i="6"/>
  <c r="U20" i="6"/>
  <c r="T20" i="6"/>
  <c r="AA19" i="6"/>
  <c r="Z19" i="6"/>
  <c r="Y19" i="6"/>
  <c r="X19" i="6"/>
  <c r="W19" i="6"/>
  <c r="V19" i="6"/>
  <c r="U19" i="6"/>
  <c r="T19" i="6"/>
  <c r="AA18" i="6"/>
  <c r="Z18" i="6"/>
  <c r="Y18" i="6"/>
  <c r="X18" i="6"/>
  <c r="W18" i="6"/>
  <c r="V18" i="6"/>
  <c r="U18" i="6"/>
  <c r="T18" i="6"/>
  <c r="AA17" i="6"/>
  <c r="Z17" i="6"/>
  <c r="Y17" i="6"/>
  <c r="X17" i="6"/>
  <c r="W17" i="6"/>
  <c r="V17" i="6"/>
  <c r="U17" i="6"/>
  <c r="T17" i="6"/>
  <c r="AA16" i="6"/>
  <c r="Z16" i="6"/>
  <c r="Y16" i="6"/>
  <c r="X16" i="6"/>
  <c r="W16" i="6"/>
  <c r="V16" i="6"/>
  <c r="U16" i="6"/>
  <c r="T16" i="6"/>
  <c r="AA15" i="6"/>
  <c r="Z15" i="6"/>
  <c r="Y15" i="6"/>
  <c r="X15" i="6"/>
  <c r="W15" i="6"/>
  <c r="V15" i="6"/>
  <c r="U15" i="6"/>
  <c r="T15" i="6"/>
  <c r="AA14" i="6"/>
  <c r="Z14" i="6"/>
  <c r="Y14" i="6"/>
  <c r="X14" i="6"/>
  <c r="W14" i="6"/>
  <c r="V14" i="6"/>
  <c r="U14" i="6"/>
  <c r="T14" i="6"/>
  <c r="AA13" i="6"/>
  <c r="Z13" i="6"/>
  <c r="Y13" i="6"/>
  <c r="X13" i="6"/>
  <c r="W13" i="6"/>
  <c r="V13" i="6"/>
  <c r="U13" i="6"/>
  <c r="T13" i="6"/>
  <c r="AA12" i="6"/>
  <c r="Z12" i="6"/>
  <c r="Y12" i="6"/>
  <c r="X12" i="6"/>
  <c r="W12" i="6"/>
  <c r="V12" i="6"/>
  <c r="U12" i="6"/>
  <c r="T12" i="6"/>
  <c r="AA35" i="5"/>
  <c r="Z35" i="5"/>
  <c r="Y35" i="5"/>
  <c r="X35" i="5"/>
  <c r="W35" i="5"/>
  <c r="V35" i="5"/>
  <c r="U35" i="5"/>
  <c r="T35" i="5"/>
  <c r="AA34" i="5"/>
  <c r="Z34" i="5"/>
  <c r="Y34" i="5"/>
  <c r="X34" i="5"/>
  <c r="W34" i="5"/>
  <c r="V34" i="5"/>
  <c r="U34" i="5"/>
  <c r="T34" i="5"/>
  <c r="AA33" i="5"/>
  <c r="Z33" i="5"/>
  <c r="Y33" i="5"/>
  <c r="X33" i="5"/>
  <c r="W33" i="5"/>
  <c r="V33" i="5"/>
  <c r="U33" i="5"/>
  <c r="T33" i="5"/>
  <c r="AA32" i="5"/>
  <c r="Z32" i="5"/>
  <c r="Y32" i="5"/>
  <c r="X32" i="5"/>
  <c r="W32" i="5"/>
  <c r="V32" i="5"/>
  <c r="U32" i="5"/>
  <c r="T32" i="5"/>
  <c r="AA31" i="5"/>
  <c r="Z31" i="5"/>
  <c r="Y31" i="5"/>
  <c r="X31" i="5"/>
  <c r="W31" i="5"/>
  <c r="V31" i="5"/>
  <c r="U31" i="5"/>
  <c r="T31" i="5"/>
  <c r="AA30" i="5"/>
  <c r="Z30" i="5"/>
  <c r="Y30" i="5"/>
  <c r="X30" i="5"/>
  <c r="W30" i="5"/>
  <c r="V30" i="5"/>
  <c r="U30" i="5"/>
  <c r="T30" i="5"/>
  <c r="AA29" i="5"/>
  <c r="Z29" i="5"/>
  <c r="Y29" i="5"/>
  <c r="X29" i="5"/>
  <c r="W29" i="5"/>
  <c r="V29" i="5"/>
  <c r="U29" i="5"/>
  <c r="T29" i="5"/>
  <c r="AA28" i="5"/>
  <c r="Z28" i="5"/>
  <c r="Y28" i="5"/>
  <c r="X28" i="5"/>
  <c r="W28" i="5"/>
  <c r="V28" i="5"/>
  <c r="U28" i="5"/>
  <c r="T28" i="5"/>
  <c r="AA27" i="5"/>
  <c r="Z27" i="5"/>
  <c r="Y27" i="5"/>
  <c r="X27" i="5"/>
  <c r="W27" i="5"/>
  <c r="V27" i="5"/>
  <c r="U27" i="5"/>
  <c r="T27" i="5"/>
  <c r="AA26" i="5"/>
  <c r="Z26" i="5"/>
  <c r="Y26" i="5"/>
  <c r="X26" i="5"/>
  <c r="W26" i="5"/>
  <c r="V26" i="5"/>
  <c r="U26" i="5"/>
  <c r="T26" i="5"/>
  <c r="AA25" i="5"/>
  <c r="Z25" i="5"/>
  <c r="Y25" i="5"/>
  <c r="X25" i="5"/>
  <c r="W25" i="5"/>
  <c r="V25" i="5"/>
  <c r="U25" i="5"/>
  <c r="T25" i="5"/>
  <c r="AA24" i="5"/>
  <c r="Z24" i="5"/>
  <c r="Y24" i="5"/>
  <c r="X24" i="5"/>
  <c r="W24" i="5"/>
  <c r="V24" i="5"/>
  <c r="U24" i="5"/>
  <c r="T24" i="5"/>
  <c r="AA23" i="5"/>
  <c r="Z23" i="5"/>
  <c r="Y23" i="5"/>
  <c r="X23" i="5"/>
  <c r="W23" i="5"/>
  <c r="V23" i="5"/>
  <c r="U23" i="5"/>
  <c r="T23" i="5"/>
  <c r="AA22" i="5"/>
  <c r="Z22" i="5"/>
  <c r="Y22" i="5"/>
  <c r="X22" i="5"/>
  <c r="W22" i="5"/>
  <c r="V22" i="5"/>
  <c r="U22" i="5"/>
  <c r="T22" i="5"/>
  <c r="AA21" i="5"/>
  <c r="Z21" i="5"/>
  <c r="Y21" i="5"/>
  <c r="X21" i="5"/>
  <c r="W21" i="5"/>
  <c r="V21" i="5"/>
  <c r="U21" i="5"/>
  <c r="T21" i="5"/>
  <c r="AA20" i="5"/>
  <c r="Z20" i="5"/>
  <c r="Y20" i="5"/>
  <c r="X20" i="5"/>
  <c r="W20" i="5"/>
  <c r="V20" i="5"/>
  <c r="U20" i="5"/>
  <c r="T20" i="5"/>
  <c r="AA19" i="5"/>
  <c r="Z19" i="5"/>
  <c r="Y19" i="5"/>
  <c r="X19" i="5"/>
  <c r="W19" i="5"/>
  <c r="V19" i="5"/>
  <c r="U19" i="5"/>
  <c r="T19" i="5"/>
  <c r="AA18" i="5"/>
  <c r="Z18" i="5"/>
  <c r="Y18" i="5"/>
  <c r="X18" i="5"/>
  <c r="W18" i="5"/>
  <c r="V18" i="5"/>
  <c r="U18" i="5"/>
  <c r="T18" i="5"/>
  <c r="AA17" i="5"/>
  <c r="Z17" i="5"/>
  <c r="Y17" i="5"/>
  <c r="X17" i="5"/>
  <c r="W17" i="5"/>
  <c r="V17" i="5"/>
  <c r="U17" i="5"/>
  <c r="T17" i="5"/>
  <c r="AA16" i="5"/>
  <c r="Z16" i="5"/>
  <c r="Y16" i="5"/>
  <c r="X16" i="5"/>
  <c r="W16" i="5"/>
  <c r="V16" i="5"/>
  <c r="U16" i="5"/>
  <c r="T16" i="5"/>
  <c r="AA15" i="5"/>
  <c r="Z15" i="5"/>
  <c r="Y15" i="5"/>
  <c r="X15" i="5"/>
  <c r="W15" i="5"/>
  <c r="V15" i="5"/>
  <c r="U15" i="5"/>
  <c r="T15" i="5"/>
  <c r="AA14" i="5"/>
  <c r="Z14" i="5"/>
  <c r="Y14" i="5"/>
  <c r="X14" i="5"/>
  <c r="W14" i="5"/>
  <c r="V14" i="5"/>
  <c r="U14" i="5"/>
  <c r="T14" i="5"/>
  <c r="AA13" i="5"/>
  <c r="Z13" i="5"/>
  <c r="Y13" i="5"/>
  <c r="X13" i="5"/>
  <c r="W13" i="5"/>
  <c r="V13" i="5"/>
  <c r="U13" i="5"/>
  <c r="T13" i="5"/>
  <c r="AA12" i="5"/>
  <c r="Z12" i="5"/>
  <c r="Y12" i="5"/>
  <c r="X12" i="5"/>
  <c r="W12" i="5"/>
  <c r="V12" i="5"/>
  <c r="U12" i="5"/>
  <c r="T12" i="5"/>
  <c r="Z35" i="3"/>
  <c r="Y35" i="3"/>
  <c r="X35" i="3"/>
  <c r="W35" i="3"/>
  <c r="V35" i="3"/>
  <c r="U35" i="3"/>
  <c r="T35" i="3"/>
  <c r="Z34" i="3"/>
  <c r="Y34" i="3"/>
  <c r="X34" i="3"/>
  <c r="W34" i="3"/>
  <c r="V34" i="3"/>
  <c r="U34" i="3"/>
  <c r="T34" i="3"/>
  <c r="Z33" i="3"/>
  <c r="Y33" i="3"/>
  <c r="X33" i="3"/>
  <c r="W33" i="3"/>
  <c r="V33" i="3"/>
  <c r="U33" i="3"/>
  <c r="T33" i="3"/>
  <c r="Z32" i="3"/>
  <c r="Y32" i="3"/>
  <c r="X32" i="3"/>
  <c r="W32" i="3"/>
  <c r="V32" i="3"/>
  <c r="U32" i="3"/>
  <c r="T32" i="3"/>
  <c r="Z31" i="3"/>
  <c r="Y31" i="3"/>
  <c r="X31" i="3"/>
  <c r="W31" i="3"/>
  <c r="V31" i="3"/>
  <c r="U31" i="3"/>
  <c r="T31" i="3"/>
  <c r="Z30" i="3"/>
  <c r="Y30" i="3"/>
  <c r="X30" i="3"/>
  <c r="W30" i="3"/>
  <c r="V30" i="3"/>
  <c r="U30" i="3"/>
  <c r="T30" i="3"/>
  <c r="Z29" i="3"/>
  <c r="Y29" i="3"/>
  <c r="X29" i="3"/>
  <c r="W29" i="3"/>
  <c r="V29" i="3"/>
  <c r="U29" i="3"/>
  <c r="T29" i="3"/>
  <c r="Z28" i="3"/>
  <c r="Y28" i="3"/>
  <c r="X28" i="3"/>
  <c r="W28" i="3"/>
  <c r="V28" i="3"/>
  <c r="U28" i="3"/>
  <c r="T28" i="3"/>
  <c r="Z27" i="3"/>
  <c r="Y27" i="3"/>
  <c r="X27" i="3"/>
  <c r="W27" i="3"/>
  <c r="V27" i="3"/>
  <c r="U27" i="3"/>
  <c r="T27" i="3"/>
  <c r="Z26" i="3"/>
  <c r="Y26" i="3"/>
  <c r="X26" i="3"/>
  <c r="W26" i="3"/>
  <c r="V26" i="3"/>
  <c r="U26" i="3"/>
  <c r="T26" i="3"/>
  <c r="Z25" i="3"/>
  <c r="Y25" i="3"/>
  <c r="X25" i="3"/>
  <c r="W25" i="3"/>
  <c r="V25" i="3"/>
  <c r="U25" i="3"/>
  <c r="T25" i="3"/>
  <c r="Z24" i="3"/>
  <c r="Y24" i="3"/>
  <c r="X24" i="3"/>
  <c r="W24" i="3"/>
  <c r="V24" i="3"/>
  <c r="U24" i="3"/>
  <c r="T24" i="3"/>
  <c r="Z23" i="3"/>
  <c r="Y23" i="3"/>
  <c r="X23" i="3"/>
  <c r="W23" i="3"/>
  <c r="V23" i="3"/>
  <c r="U23" i="3"/>
  <c r="T23" i="3"/>
  <c r="Z22" i="3"/>
  <c r="Y22" i="3"/>
  <c r="X22" i="3"/>
  <c r="W22" i="3"/>
  <c r="V22" i="3"/>
  <c r="U22" i="3"/>
  <c r="T22" i="3"/>
  <c r="Z21" i="3"/>
  <c r="Y21" i="3"/>
  <c r="X21" i="3"/>
  <c r="W21" i="3"/>
  <c r="V21" i="3"/>
  <c r="U21" i="3"/>
  <c r="T21" i="3"/>
  <c r="Z20" i="3"/>
  <c r="Y20" i="3"/>
  <c r="X20" i="3"/>
  <c r="W20" i="3"/>
  <c r="V20" i="3"/>
  <c r="U20" i="3"/>
  <c r="T20" i="3"/>
  <c r="Z19" i="3"/>
  <c r="Y19" i="3"/>
  <c r="X19" i="3"/>
  <c r="W19" i="3"/>
  <c r="V19" i="3"/>
  <c r="U19" i="3"/>
  <c r="T19" i="3"/>
  <c r="Z18" i="3"/>
  <c r="Y18" i="3"/>
  <c r="X18" i="3"/>
  <c r="W18" i="3"/>
  <c r="V18" i="3"/>
  <c r="U18" i="3"/>
  <c r="T18" i="3"/>
  <c r="Z17" i="3"/>
  <c r="Y17" i="3"/>
  <c r="X17" i="3"/>
  <c r="W17" i="3"/>
  <c r="V17" i="3"/>
  <c r="U17" i="3"/>
  <c r="T17" i="3"/>
  <c r="Z16" i="3"/>
  <c r="Y16" i="3"/>
  <c r="X16" i="3"/>
  <c r="W16" i="3"/>
  <c r="V16" i="3"/>
  <c r="U16" i="3"/>
  <c r="T16" i="3"/>
  <c r="Z15" i="3"/>
  <c r="Y15" i="3"/>
  <c r="X15" i="3"/>
  <c r="W15" i="3"/>
  <c r="V15" i="3"/>
  <c r="U15" i="3"/>
  <c r="T15" i="3"/>
  <c r="Z14" i="3"/>
  <c r="Y14" i="3"/>
  <c r="X14" i="3"/>
  <c r="W14" i="3"/>
  <c r="V14" i="3"/>
  <c r="U14" i="3"/>
  <c r="T14" i="3"/>
  <c r="Z13" i="3"/>
  <c r="Y13" i="3"/>
  <c r="X13" i="3"/>
  <c r="W13" i="3"/>
  <c r="V13" i="3"/>
  <c r="U13" i="3"/>
  <c r="T13" i="3"/>
  <c r="Z12" i="3"/>
  <c r="Y12" i="3"/>
  <c r="X12" i="3"/>
  <c r="W12" i="3"/>
  <c r="V12" i="3"/>
  <c r="U12" i="3"/>
  <c r="T12" i="3"/>
  <c r="AB31" i="7" l="1"/>
  <c r="AB12" i="7"/>
  <c r="AB28" i="3"/>
  <c r="AB23" i="3"/>
  <c r="AB16" i="3"/>
  <c r="AB31" i="3"/>
  <c r="AB35" i="3"/>
  <c r="AB28" i="7"/>
  <c r="AB23" i="7"/>
  <c r="AB35" i="7"/>
  <c r="AB18" i="7"/>
  <c r="AB30" i="7"/>
  <c r="AB22" i="7"/>
  <c r="AB34" i="7"/>
  <c r="AB20" i="7"/>
  <c r="AB32" i="7"/>
  <c r="AB15" i="7"/>
  <c r="AB27" i="7"/>
  <c r="AB29" i="7"/>
  <c r="AB21" i="7"/>
  <c r="AB33" i="7"/>
  <c r="AB26" i="7"/>
  <c r="AB13" i="7"/>
  <c r="AB25" i="7"/>
  <c r="AB17" i="7"/>
  <c r="AB14" i="7"/>
  <c r="AB27" i="3"/>
  <c r="AB19" i="3"/>
  <c r="AB21" i="3"/>
  <c r="AB32" i="3"/>
  <c r="AB15" i="3"/>
  <c r="AB20" i="3"/>
  <c r="AB34" i="3"/>
  <c r="AB14" i="3"/>
  <c r="AB26" i="3"/>
  <c r="AB22" i="3"/>
  <c r="AB29" i="3"/>
  <c r="AB12" i="3"/>
  <c r="AB18" i="3"/>
  <c r="AB25" i="3"/>
  <c r="AB13" i="3"/>
  <c r="AB33" i="3"/>
  <c r="AB17" i="3"/>
  <c r="AB24" i="3"/>
  <c r="AB30" i="3"/>
  <c r="Z35" i="2"/>
  <c r="Y35" i="2"/>
  <c r="X35" i="2"/>
  <c r="W35" i="2"/>
  <c r="V35" i="2"/>
  <c r="U35" i="2"/>
  <c r="T35" i="2"/>
  <c r="Z34" i="2"/>
  <c r="Y34" i="2"/>
  <c r="X34" i="2"/>
  <c r="W34" i="2"/>
  <c r="V34" i="2"/>
  <c r="U34" i="2"/>
  <c r="T34" i="2"/>
  <c r="Z33" i="2"/>
  <c r="Y33" i="2"/>
  <c r="X33" i="2"/>
  <c r="W33" i="2"/>
  <c r="V33" i="2"/>
  <c r="U33" i="2"/>
  <c r="T33" i="2"/>
  <c r="Z32" i="2"/>
  <c r="Y32" i="2"/>
  <c r="X32" i="2"/>
  <c r="W32" i="2"/>
  <c r="V32" i="2"/>
  <c r="U32" i="2"/>
  <c r="T32" i="2"/>
  <c r="Z31" i="2"/>
  <c r="Y31" i="2"/>
  <c r="X31" i="2"/>
  <c r="W31" i="2"/>
  <c r="V31" i="2"/>
  <c r="U31" i="2"/>
  <c r="T31" i="2"/>
  <c r="Z30" i="2"/>
  <c r="Y30" i="2"/>
  <c r="X30" i="2"/>
  <c r="W30" i="2"/>
  <c r="V30" i="2"/>
  <c r="U30" i="2"/>
  <c r="T30" i="2"/>
  <c r="Z29" i="2"/>
  <c r="Y29" i="2"/>
  <c r="X29" i="2"/>
  <c r="W29" i="2"/>
  <c r="V29" i="2"/>
  <c r="U29" i="2"/>
  <c r="T29" i="2"/>
  <c r="Z28" i="2"/>
  <c r="Y28" i="2"/>
  <c r="X28" i="2"/>
  <c r="W28" i="2"/>
  <c r="V28" i="2"/>
  <c r="U28" i="2"/>
  <c r="T28" i="2"/>
  <c r="Z27" i="2"/>
  <c r="Y27" i="2"/>
  <c r="X27" i="2"/>
  <c r="W27" i="2"/>
  <c r="V27" i="2"/>
  <c r="U27" i="2"/>
  <c r="T27" i="2"/>
  <c r="Z26" i="2"/>
  <c r="Y26" i="2"/>
  <c r="X26" i="2"/>
  <c r="W26" i="2"/>
  <c r="V26" i="2"/>
  <c r="U26" i="2"/>
  <c r="T26" i="2"/>
  <c r="Z25" i="2"/>
  <c r="Y25" i="2"/>
  <c r="X25" i="2"/>
  <c r="W25" i="2"/>
  <c r="V25" i="2"/>
  <c r="U25" i="2"/>
  <c r="T25" i="2"/>
  <c r="Z24" i="2"/>
  <c r="Y24" i="2"/>
  <c r="X24" i="2"/>
  <c r="W24" i="2"/>
  <c r="V24" i="2"/>
  <c r="U24" i="2"/>
  <c r="T24" i="2"/>
  <c r="Z23" i="2"/>
  <c r="Y23" i="2"/>
  <c r="X23" i="2"/>
  <c r="W23" i="2"/>
  <c r="V23" i="2"/>
  <c r="U23" i="2"/>
  <c r="T23" i="2"/>
  <c r="Z22" i="2"/>
  <c r="Y22" i="2"/>
  <c r="X22" i="2"/>
  <c r="W22" i="2"/>
  <c r="V22" i="2"/>
  <c r="U22" i="2"/>
  <c r="T22" i="2"/>
  <c r="Z21" i="2"/>
  <c r="Y21" i="2"/>
  <c r="X21" i="2"/>
  <c r="W21" i="2"/>
  <c r="V21" i="2"/>
  <c r="U21" i="2"/>
  <c r="T21" i="2"/>
  <c r="Z20" i="2"/>
  <c r="Y20" i="2"/>
  <c r="X20" i="2"/>
  <c r="W20" i="2"/>
  <c r="V20" i="2"/>
  <c r="U20" i="2"/>
  <c r="T20" i="2"/>
  <c r="Z19" i="2"/>
  <c r="Y19" i="2"/>
  <c r="X19" i="2"/>
  <c r="W19" i="2"/>
  <c r="V19" i="2"/>
  <c r="U19" i="2"/>
  <c r="T19" i="2"/>
  <c r="Z18" i="2"/>
  <c r="Y18" i="2"/>
  <c r="X18" i="2"/>
  <c r="W18" i="2"/>
  <c r="V18" i="2"/>
  <c r="U18" i="2"/>
  <c r="T18" i="2"/>
  <c r="Z17" i="2"/>
  <c r="Y17" i="2"/>
  <c r="X17" i="2"/>
  <c r="W17" i="2"/>
  <c r="V17" i="2"/>
  <c r="U17" i="2"/>
  <c r="T17" i="2"/>
  <c r="Z16" i="2"/>
  <c r="Y16" i="2"/>
  <c r="X16" i="2"/>
  <c r="W16" i="2"/>
  <c r="V16" i="2"/>
  <c r="U16" i="2"/>
  <c r="T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T14" i="2"/>
  <c r="Z13" i="2"/>
  <c r="Y13" i="2"/>
  <c r="X13" i="2"/>
  <c r="W13" i="2"/>
  <c r="V13" i="2"/>
  <c r="U13" i="2"/>
  <c r="T13" i="2"/>
  <c r="Z12" i="2"/>
  <c r="Y12" i="2"/>
  <c r="X12" i="2"/>
  <c r="W12" i="2"/>
  <c r="V12" i="2"/>
  <c r="U12" i="2"/>
  <c r="T12" i="2"/>
  <c r="AB16" i="2" l="1"/>
  <c r="AB28" i="2"/>
  <c r="AB26" i="2"/>
  <c r="AB31" i="2"/>
  <c r="AB23" i="2"/>
  <c r="AB21" i="2"/>
  <c r="AB33" i="2"/>
  <c r="AB19" i="2"/>
  <c r="AB14" i="2"/>
  <c r="AB18" i="2"/>
  <c r="AB35" i="2"/>
  <c r="AB30" i="2"/>
  <c r="AB15" i="2"/>
  <c r="AB24" i="2"/>
  <c r="AB13" i="2"/>
  <c r="AB25" i="2"/>
  <c r="AB27" i="2"/>
  <c r="AB22" i="2"/>
  <c r="AB34" i="2"/>
  <c r="AB20" i="2"/>
  <c r="AB32" i="2"/>
  <c r="AB17" i="2"/>
  <c r="AB29" i="2"/>
  <c r="AB12" i="2"/>
</calcChain>
</file>

<file path=xl/sharedStrings.xml><?xml version="1.0" encoding="utf-8"?>
<sst xmlns="http://schemas.openxmlformats.org/spreadsheetml/2006/main" count="473" uniqueCount="83">
  <si>
    <t>FECHA INICIO</t>
  </si>
  <si>
    <t>FECHA FINAL</t>
  </si>
  <si>
    <t xml:space="preserve">ESTACION </t>
  </si>
  <si>
    <t>SERIAL DAVIS</t>
  </si>
  <si>
    <t>CA2</t>
  </si>
  <si>
    <t>BF230419006</t>
  </si>
  <si>
    <t>K2 INGENIERIA S.A.S</t>
  </si>
  <si>
    <t>Versión 02
18/08/2022
FOA802-13</t>
  </si>
  <si>
    <t>FORMATO DE COMPROBACION DE ESTACIÓN METEOROLÓGICA</t>
  </si>
  <si>
    <t>Téc. Metrólogo:</t>
  </si>
  <si>
    <t>Estación Meteorológica</t>
  </si>
  <si>
    <t>Marca</t>
  </si>
  <si>
    <t>Modelo</t>
  </si>
  <si>
    <t>Serie / 
Cod. Inventario</t>
  </si>
  <si>
    <t>Téc. Responsable:</t>
  </si>
  <si>
    <t>Equipo Patrón</t>
  </si>
  <si>
    <t>Supervisor:</t>
  </si>
  <si>
    <t>Equipo en comprobación</t>
  </si>
  <si>
    <t>Fecha</t>
  </si>
  <si>
    <t>Hora</t>
  </si>
  <si>
    <t>ESTACIÓN PATRÓN</t>
  </si>
  <si>
    <t>ESTACIÓN INTERCOMPARADA</t>
  </si>
  <si>
    <t>%Error Max. Asociado</t>
  </si>
  <si>
    <t>Cumplimiento</t>
  </si>
  <si>
    <t>Temp. Out</t>
  </si>
  <si>
    <t>H. Out</t>
  </si>
  <si>
    <t>P. Bar</t>
  </si>
  <si>
    <t>Dir.
Viento</t>
  </si>
  <si>
    <t>V. Viento</t>
  </si>
  <si>
    <t>Rad
Solar</t>
  </si>
  <si>
    <t>Uv
Index</t>
  </si>
  <si>
    <t>Precipitación</t>
  </si>
  <si>
    <t>Temp. Out R</t>
  </si>
  <si>
    <t>Uv.
Index</t>
  </si>
  <si>
    <t>Temp.    
Out 
&lt; 0.5°C</t>
  </si>
  <si>
    <t>H. Out
&lt; 5%</t>
  </si>
  <si>
    <t>P. Bar
&lt; 1 mm Hg</t>
  </si>
  <si>
    <t>Dir.
Viento
&lt; 22.5°</t>
  </si>
  <si>
    <t>V. Viento
&lt; 1 m/s</t>
  </si>
  <si>
    <t>Rad
Solar
&lt; 90</t>
  </si>
  <si>
    <t>Uv
Index.
&lt; 0.8</t>
  </si>
  <si>
    <t>Precipitación
&lt; 5%</t>
  </si>
  <si>
    <t>Fecha de Emisión:</t>
  </si>
  <si>
    <t>Trazabilidad:</t>
  </si>
  <si>
    <t>El equipo patrón utilizado tiene trazabilidad NIST fecha de calibracion</t>
  </si>
  <si>
    <t>Método empleado:</t>
  </si>
  <si>
    <t>Comparación directa.</t>
  </si>
  <si>
    <t>Conclusiones</t>
  </si>
  <si>
    <t>Los resultados de la intercomparación comprueban que los instrumentos trabajan dentro de los márgenes permitidos, siendo producto de 24 muestras con intervalo de 1 Hora.</t>
  </si>
  <si>
    <t>Variables analizadas:</t>
  </si>
  <si>
    <t>Temperatura, Humedad, Presión Barométrica, Dir viento, Vel viento, Radiación solar, Uv, Precipitación.</t>
  </si>
  <si>
    <r>
      <rPr>
        <b/>
        <sz val="16"/>
        <color theme="1"/>
        <rFont val="Aptos Narrow"/>
        <family val="2"/>
        <scheme val="minor"/>
      </rPr>
      <t>Versión 03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2024-06-04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6"/>
        <color theme="1"/>
        <rFont val="Aptos Narrow"/>
        <family val="2"/>
        <scheme val="minor"/>
      </rPr>
      <t>FOA802-13</t>
    </r>
  </si>
  <si>
    <t>serie / 
Cod. Inventario</t>
  </si>
  <si>
    <t>Error Max. Asociado</t>
  </si>
  <si>
    <t>NW</t>
  </si>
  <si>
    <t>NNW</t>
  </si>
  <si>
    <t>N</t>
  </si>
  <si>
    <t>NN</t>
  </si>
  <si>
    <t>NNE</t>
  </si>
  <si>
    <t>NE</t>
  </si>
  <si>
    <t>ESE</t>
  </si>
  <si>
    <t>SE</t>
  </si>
  <si>
    <t>S</t>
  </si>
  <si>
    <t>SSE</t>
  </si>
  <si>
    <t>WSW</t>
  </si>
  <si>
    <t>WNW</t>
  </si>
  <si>
    <t>CA1</t>
  </si>
  <si>
    <t>BF230313006</t>
  </si>
  <si>
    <t>DULLYS ALBERTO DITA MEDINA</t>
  </si>
  <si>
    <t>Equipo de Comprobación</t>
  </si>
  <si>
    <t>LEONARDO PÉREZ DÍAZ</t>
  </si>
  <si>
    <t>ALEXANDER DIAZ HERRERA</t>
  </si>
  <si>
    <t>Davis</t>
  </si>
  <si>
    <t>El equipo patrón utilizado tiene trazabilidad NIST fecha de calibración.</t>
  </si>
  <si>
    <t>CONTROL DE CAMBIOS</t>
  </si>
  <si>
    <t>FECHA</t>
  </si>
  <si>
    <t>VERSION</t>
  </si>
  <si>
    <t>CAMBIOS</t>
  </si>
  <si>
    <t>Emisión inicial</t>
  </si>
  <si>
    <t>Revisión general</t>
  </si>
  <si>
    <t>Revisión general. Cambio de logo y formato fecha aaaa-mm-dd</t>
  </si>
  <si>
    <t>BH240808013</t>
  </si>
  <si>
    <t xml:space="preserve"> 6313U22500200873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</si>
</sst>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;@"/>
    <numFmt numFmtId="166" formatCode="0.0"/>
    <numFmt numFmtId="167" formatCode="[$-240A]hh:mm:ss\ AM/PM;@"/>
    <numFmt numFmtId="168" formatCode="[$-F800]dddd\,\ mmmm\ dd\,\ yyyy"/>
  </numFmts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Bai Jamjuree Medium"/>
    </font>
    <font>
      <sz val="11"/>
      <color rgb="FF242424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B47F"/>
        <bgColor indexed="64"/>
      </patternFill>
    </fill>
    <fill>
      <patternFill patternType="solid">
        <fgColor rgb="FFE4DE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14" fontId="0" fillId="0" borderId="1" xfId="0" applyNumberFormat="1" applyBorder="1"/>
    <xf numFmtId="18" fontId="0" fillId="0" borderId="26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8" borderId="14" xfId="0" applyFill="1" applyBorder="1"/>
    <xf numFmtId="0" fontId="0" fillId="8" borderId="0" xfId="0" applyFill="1"/>
    <xf numFmtId="0" fontId="0" fillId="8" borderId="51" xfId="0" applyFill="1" applyBorder="1"/>
    <xf numFmtId="0" fontId="0" fillId="9" borderId="30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42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8" fontId="0" fillId="0" borderId="33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4" fillId="0" borderId="60" xfId="0" applyFont="1" applyBorder="1" applyAlignment="1">
      <alignment horizontal="center"/>
    </xf>
    <xf numFmtId="18" fontId="0" fillId="0" borderId="2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0" borderId="59" xfId="0" applyFont="1" applyBorder="1" applyAlignment="1">
      <alignment horizontal="center"/>
    </xf>
    <xf numFmtId="14" fontId="0" fillId="12" borderId="2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14" fontId="0" fillId="0" borderId="36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7" borderId="9" xfId="0" applyNumberFormat="1" applyFill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3" borderId="40" xfId="0" applyFill="1" applyBorder="1" applyAlignment="1">
      <alignment horizontal="center" vertical="center" wrapText="1"/>
    </xf>
    <xf numFmtId="1" fontId="0" fillId="0" borderId="51" xfId="0" applyNumberFormat="1" applyBorder="1" applyAlignment="1">
      <alignment horizontal="center"/>
    </xf>
    <xf numFmtId="167" fontId="0" fillId="0" borderId="1" xfId="0" applyNumberFormat="1" applyBorder="1"/>
    <xf numFmtId="0" fontId="11" fillId="0" borderId="0" xfId="0" applyFont="1"/>
    <xf numFmtId="0" fontId="12" fillId="0" borderId="0" xfId="0" applyFont="1"/>
    <xf numFmtId="0" fontId="13" fillId="8" borderId="1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top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168" fontId="5" fillId="0" borderId="33" xfId="0" applyNumberFormat="1" applyFont="1" applyBorder="1" applyAlignment="1">
      <alignment horizontal="center" vertical="center"/>
    </xf>
    <xf numFmtId="168" fontId="5" fillId="0" borderId="34" xfId="0" applyNumberFormat="1" applyFont="1" applyBorder="1" applyAlignment="1">
      <alignment horizontal="center" vertical="center"/>
    </xf>
    <xf numFmtId="168" fontId="5" fillId="0" borderId="35" xfId="0" applyNumberFormat="1" applyFont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0" fillId="0" borderId="61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11" borderId="37" xfId="0" applyFont="1" applyFill="1" applyBorder="1" applyAlignment="1">
      <alignment horizontal="left" vertical="center"/>
    </xf>
    <xf numFmtId="0" fontId="2" fillId="11" borderId="38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left" vertical="center"/>
    </xf>
    <xf numFmtId="0" fontId="2" fillId="9" borderId="39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0" fillId="0" borderId="62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2" fillId="11" borderId="41" xfId="0" applyFont="1" applyFill="1" applyBorder="1" applyAlignment="1">
      <alignment horizontal="left" vertical="center"/>
    </xf>
    <xf numFmtId="0" fontId="2" fillId="11" borderId="42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/>
    </xf>
    <xf numFmtId="0" fontId="2" fillId="10" borderId="59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 wrapText="1"/>
    </xf>
    <xf numFmtId="0" fontId="2" fillId="9" borderId="3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5" fillId="0" borderId="33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2" borderId="41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006100"/>
      <color rgb="FF0062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E-42AF-8DE2-4BD55F51BC7D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E-42AF-8DE2-4BD55F51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A12-8BE4-C801E4F24647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A12-8BE4-C801E4F2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7-4905-B0F5-01C8F63F06E7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7-4905-B0F5-01C8F63F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E-40A3-9D8E-71291741EB12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E-40A3-9D8E-71291741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2-40DB-B956-60105E08BC59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2-40DB-B956-60105E08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1-48C5-ACA1-783D38F491C4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1-48C5-ACA1-783D38F4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9-47AC-BA59-BFE1844A3D32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9-47AC-BA59-BFE1844A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2-46EE-B69E-38EB2B6DF6B9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2-46EE-B69E-38EB2B6D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363-B468-EA0CADE6C734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4363-B468-EA0CADE6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498-8A98-66DA4856EB6D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C-4498-8A98-66DA4856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E-4F6C-91E7-F0A1D6813070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E-4F6C-91E7-F0A1D681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C6F-B1BE-9219575BCD9E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8-4C6F-B1BE-9219575BC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9-48D0-900D-661F63007CAC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9-48D0-900D-661F6300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8AE-B588-359DE19B0672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4-48AE-B588-359DE19B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E-48C5-8569-4E3AE42DCBEC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E-48C5-8569-4E3AE42D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CD0-BC0A-342431BD1B54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2-4CD0-BC0A-342431BD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'23-11-17'!$D$12:$D$35</c:f>
              <c:numCache>
                <c:formatCode>0</c:formatCode>
                <c:ptCount val="24"/>
                <c:pt idx="0">
                  <c:v>14.77</c:v>
                </c:pt>
                <c:pt idx="1">
                  <c:v>14.54</c:v>
                </c:pt>
                <c:pt idx="2">
                  <c:v>14.02</c:v>
                </c:pt>
                <c:pt idx="3">
                  <c:v>13.5</c:v>
                </c:pt>
                <c:pt idx="4">
                  <c:v>13.379999999999999</c:v>
                </c:pt>
                <c:pt idx="5">
                  <c:v>13.59</c:v>
                </c:pt>
                <c:pt idx="6">
                  <c:v>13.26</c:v>
                </c:pt>
                <c:pt idx="7">
                  <c:v>14.06</c:v>
                </c:pt>
                <c:pt idx="8">
                  <c:v>16.63</c:v>
                </c:pt>
                <c:pt idx="9">
                  <c:v>18.21</c:v>
                </c:pt>
                <c:pt idx="10">
                  <c:v>19.260000000000002</c:v>
                </c:pt>
                <c:pt idx="11">
                  <c:v>20.29</c:v>
                </c:pt>
                <c:pt idx="12">
                  <c:v>19.16</c:v>
                </c:pt>
                <c:pt idx="13">
                  <c:v>18.079999999999998</c:v>
                </c:pt>
                <c:pt idx="14">
                  <c:v>16.559999999999999</c:v>
                </c:pt>
                <c:pt idx="15">
                  <c:v>14.86</c:v>
                </c:pt>
                <c:pt idx="16">
                  <c:v>14.83</c:v>
                </c:pt>
                <c:pt idx="17">
                  <c:v>14.49</c:v>
                </c:pt>
                <c:pt idx="18">
                  <c:v>14.42</c:v>
                </c:pt>
                <c:pt idx="19">
                  <c:v>14.41</c:v>
                </c:pt>
                <c:pt idx="20">
                  <c:v>14.09</c:v>
                </c:pt>
                <c:pt idx="21">
                  <c:v>13.79</c:v>
                </c:pt>
                <c:pt idx="22">
                  <c:v>13.63</c:v>
                </c:pt>
                <c:pt idx="23">
                  <c:v>13.41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E-4813-83B7-8E22F48BE690}"/>
            </c:ext>
          </c:extLst>
        </c:ser>
        <c:ser>
          <c:idx val="1"/>
          <c:order val="1"/>
          <c:tx>
            <c:strRef>
              <c:f>'23-11-17'!$L$11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'23-11-17'!$L$12:$L$35</c:f>
              <c:numCache>
                <c:formatCode>0</c:formatCode>
                <c:ptCount val="24"/>
                <c:pt idx="0">
                  <c:v>15.1</c:v>
                </c:pt>
                <c:pt idx="1">
                  <c:v>14.8</c:v>
                </c:pt>
                <c:pt idx="2">
                  <c:v>14.3</c:v>
                </c:pt>
                <c:pt idx="3">
                  <c:v>13.8</c:v>
                </c:pt>
                <c:pt idx="4">
                  <c:v>13.65</c:v>
                </c:pt>
                <c:pt idx="5">
                  <c:v>14.025</c:v>
                </c:pt>
                <c:pt idx="6">
                  <c:v>13.5</c:v>
                </c:pt>
                <c:pt idx="7">
                  <c:v>14.4</c:v>
                </c:pt>
                <c:pt idx="8">
                  <c:v>17</c:v>
                </c:pt>
                <c:pt idx="9">
                  <c:v>18.600000000000001</c:v>
                </c:pt>
                <c:pt idx="10">
                  <c:v>19.7</c:v>
                </c:pt>
                <c:pt idx="11">
                  <c:v>20.7</c:v>
                </c:pt>
                <c:pt idx="12">
                  <c:v>19.600000000000001</c:v>
                </c:pt>
                <c:pt idx="13">
                  <c:v>18.5</c:v>
                </c:pt>
                <c:pt idx="14">
                  <c:v>16.899999999999999</c:v>
                </c:pt>
                <c:pt idx="15">
                  <c:v>15.2</c:v>
                </c:pt>
                <c:pt idx="16">
                  <c:v>15.1</c:v>
                </c:pt>
                <c:pt idx="17">
                  <c:v>14.8</c:v>
                </c:pt>
                <c:pt idx="18">
                  <c:v>14.7</c:v>
                </c:pt>
                <c:pt idx="19">
                  <c:v>14.7</c:v>
                </c:pt>
                <c:pt idx="20">
                  <c:v>14.4</c:v>
                </c:pt>
                <c:pt idx="21">
                  <c:v>14.1</c:v>
                </c:pt>
                <c:pt idx="22">
                  <c:v>13.9</c:v>
                </c:pt>
                <c:pt idx="2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E-4813-83B7-8E22F48B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'23-11-17'!$E$12:$E$35</c:f>
              <c:numCache>
                <c:formatCode>0</c:formatCode>
                <c:ptCount val="24"/>
                <c:pt idx="0">
                  <c:v>76.56</c:v>
                </c:pt>
                <c:pt idx="1">
                  <c:v>80.3</c:v>
                </c:pt>
                <c:pt idx="2">
                  <c:v>83.43</c:v>
                </c:pt>
                <c:pt idx="3">
                  <c:v>85.08</c:v>
                </c:pt>
                <c:pt idx="4">
                  <c:v>85.08</c:v>
                </c:pt>
                <c:pt idx="5">
                  <c:v>85.08</c:v>
                </c:pt>
                <c:pt idx="6">
                  <c:v>85.08</c:v>
                </c:pt>
                <c:pt idx="7">
                  <c:v>87.37</c:v>
                </c:pt>
                <c:pt idx="8">
                  <c:v>75.47</c:v>
                </c:pt>
                <c:pt idx="9">
                  <c:v>67.42</c:v>
                </c:pt>
                <c:pt idx="10">
                  <c:v>63.08</c:v>
                </c:pt>
                <c:pt idx="11">
                  <c:v>61.65</c:v>
                </c:pt>
                <c:pt idx="12">
                  <c:v>65.7</c:v>
                </c:pt>
                <c:pt idx="13">
                  <c:v>71.010000000000005</c:v>
                </c:pt>
                <c:pt idx="14">
                  <c:v>81.459999999999994</c:v>
                </c:pt>
                <c:pt idx="15">
                  <c:v>92.48</c:v>
                </c:pt>
                <c:pt idx="16">
                  <c:v>90.98</c:v>
                </c:pt>
                <c:pt idx="17">
                  <c:v>92.31</c:v>
                </c:pt>
                <c:pt idx="18">
                  <c:v>93.38</c:v>
                </c:pt>
                <c:pt idx="19">
                  <c:v>93.36</c:v>
                </c:pt>
                <c:pt idx="20">
                  <c:v>93.51</c:v>
                </c:pt>
                <c:pt idx="21">
                  <c:v>93.44</c:v>
                </c:pt>
                <c:pt idx="22">
                  <c:v>92.01</c:v>
                </c:pt>
                <c:pt idx="23">
                  <c:v>92.12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46B0-AF2C-D8CE4A6A34CD}"/>
            </c:ext>
          </c:extLst>
        </c:ser>
        <c:ser>
          <c:idx val="1"/>
          <c:order val="1"/>
          <c:tx>
            <c:strRef>
              <c:f>'23-11-17'!$M$11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'23-11-17'!$M$12:$M$35</c:f>
              <c:numCache>
                <c:formatCode>0</c:formatCode>
                <c:ptCount val="24"/>
                <c:pt idx="0">
                  <c:v>74.3</c:v>
                </c:pt>
                <c:pt idx="1">
                  <c:v>78</c:v>
                </c:pt>
                <c:pt idx="2">
                  <c:v>81</c:v>
                </c:pt>
                <c:pt idx="3">
                  <c:v>82.6</c:v>
                </c:pt>
                <c:pt idx="4">
                  <c:v>82.6</c:v>
                </c:pt>
                <c:pt idx="5">
                  <c:v>83.699999999999989</c:v>
                </c:pt>
                <c:pt idx="6">
                  <c:v>82.6</c:v>
                </c:pt>
                <c:pt idx="7">
                  <c:v>84.8</c:v>
                </c:pt>
                <c:pt idx="8">
                  <c:v>73.3</c:v>
                </c:pt>
                <c:pt idx="9">
                  <c:v>65.5</c:v>
                </c:pt>
                <c:pt idx="10">
                  <c:v>61.2</c:v>
                </c:pt>
                <c:pt idx="11">
                  <c:v>59.9</c:v>
                </c:pt>
                <c:pt idx="12">
                  <c:v>63.8</c:v>
                </c:pt>
                <c:pt idx="13">
                  <c:v>68.900000000000006</c:v>
                </c:pt>
                <c:pt idx="14">
                  <c:v>79.099999999999994</c:v>
                </c:pt>
                <c:pt idx="15">
                  <c:v>89.8</c:v>
                </c:pt>
                <c:pt idx="16">
                  <c:v>88.3</c:v>
                </c:pt>
                <c:pt idx="17">
                  <c:v>89.6</c:v>
                </c:pt>
                <c:pt idx="18">
                  <c:v>90.7</c:v>
                </c:pt>
                <c:pt idx="19">
                  <c:v>90.6</c:v>
                </c:pt>
                <c:pt idx="20">
                  <c:v>90.8</c:v>
                </c:pt>
                <c:pt idx="21">
                  <c:v>90.7</c:v>
                </c:pt>
                <c:pt idx="22">
                  <c:v>89.3</c:v>
                </c:pt>
                <c:pt idx="23">
                  <c:v>89.4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F-46B0-AF2C-D8CE4A6A3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'23-11-17'!$G$12:$G$35</c:f>
              <c:numCache>
                <c:formatCode>0</c:formatCode>
                <c:ptCount val="24"/>
                <c:pt idx="0">
                  <c:v>247.5</c:v>
                </c:pt>
                <c:pt idx="1">
                  <c:v>247.5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247.5</c:v>
                </c:pt>
                <c:pt idx="8">
                  <c:v>90</c:v>
                </c:pt>
                <c:pt idx="9">
                  <c:v>247.5</c:v>
                </c:pt>
                <c:pt idx="10">
                  <c:v>292.5</c:v>
                </c:pt>
                <c:pt idx="11">
                  <c:v>292.5</c:v>
                </c:pt>
                <c:pt idx="12">
                  <c:v>247.5</c:v>
                </c:pt>
                <c:pt idx="13">
                  <c:v>247.5</c:v>
                </c:pt>
                <c:pt idx="14">
                  <c:v>202.5</c:v>
                </c:pt>
                <c:pt idx="15">
                  <c:v>202.5</c:v>
                </c:pt>
                <c:pt idx="16">
                  <c:v>337.5</c:v>
                </c:pt>
                <c:pt idx="17">
                  <c:v>270</c:v>
                </c:pt>
                <c:pt idx="18">
                  <c:v>292.5</c:v>
                </c:pt>
                <c:pt idx="19">
                  <c:v>315</c:v>
                </c:pt>
                <c:pt idx="20">
                  <c:v>337.5</c:v>
                </c:pt>
                <c:pt idx="21">
                  <c:v>337.5</c:v>
                </c:pt>
                <c:pt idx="22">
                  <c:v>337.5</c:v>
                </c:pt>
                <c:pt idx="23">
                  <c:v>292.5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1-4987-A096-0E0806D2B076}"/>
            </c:ext>
          </c:extLst>
        </c:ser>
        <c:ser>
          <c:idx val="1"/>
          <c:order val="1"/>
          <c:tx>
            <c:strRef>
              <c:f>'23-11-17'!$O$11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'23-11-17'!$O$12:$O$35</c:f>
              <c:numCache>
                <c:formatCode>0</c:formatCode>
                <c:ptCount val="24"/>
                <c:pt idx="0">
                  <c:v>247.5</c:v>
                </c:pt>
                <c:pt idx="1">
                  <c:v>225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247.5</c:v>
                </c:pt>
                <c:pt idx="8">
                  <c:v>90</c:v>
                </c:pt>
                <c:pt idx="9">
                  <c:v>247.5</c:v>
                </c:pt>
                <c:pt idx="10">
                  <c:v>292.5</c:v>
                </c:pt>
                <c:pt idx="11">
                  <c:v>292.5</c:v>
                </c:pt>
                <c:pt idx="12">
                  <c:v>247.5</c:v>
                </c:pt>
                <c:pt idx="13">
                  <c:v>247.5</c:v>
                </c:pt>
                <c:pt idx="14">
                  <c:v>202.5</c:v>
                </c:pt>
                <c:pt idx="15">
                  <c:v>202.5</c:v>
                </c:pt>
                <c:pt idx="16">
                  <c:v>337.5</c:v>
                </c:pt>
                <c:pt idx="17">
                  <c:v>270</c:v>
                </c:pt>
                <c:pt idx="18">
                  <c:v>292.5</c:v>
                </c:pt>
                <c:pt idx="19">
                  <c:v>315</c:v>
                </c:pt>
                <c:pt idx="20">
                  <c:v>337.5</c:v>
                </c:pt>
                <c:pt idx="21">
                  <c:v>315</c:v>
                </c:pt>
                <c:pt idx="22">
                  <c:v>337.5</c:v>
                </c:pt>
                <c:pt idx="23">
                  <c:v>292.5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1-4987-A096-0E0806D2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'23-11-17'!$H$12:$H$35</c:f>
              <c:numCache>
                <c:formatCode>0</c:formatCode>
                <c:ptCount val="24"/>
                <c:pt idx="0">
                  <c:v>1.57</c:v>
                </c:pt>
                <c:pt idx="1">
                  <c:v>1.75</c:v>
                </c:pt>
                <c:pt idx="2">
                  <c:v>1.38</c:v>
                </c:pt>
                <c:pt idx="3">
                  <c:v>1.4</c:v>
                </c:pt>
                <c:pt idx="4">
                  <c:v>1.37</c:v>
                </c:pt>
                <c:pt idx="5">
                  <c:v>0.94500000000000006</c:v>
                </c:pt>
                <c:pt idx="6">
                  <c:v>0.52</c:v>
                </c:pt>
                <c:pt idx="7">
                  <c:v>1.3</c:v>
                </c:pt>
                <c:pt idx="8">
                  <c:v>0.75</c:v>
                </c:pt>
                <c:pt idx="9">
                  <c:v>1.9</c:v>
                </c:pt>
                <c:pt idx="10">
                  <c:v>2.8</c:v>
                </c:pt>
                <c:pt idx="11">
                  <c:v>3.8</c:v>
                </c:pt>
                <c:pt idx="12">
                  <c:v>2.61</c:v>
                </c:pt>
                <c:pt idx="13">
                  <c:v>3.19</c:v>
                </c:pt>
                <c:pt idx="14">
                  <c:v>2.84</c:v>
                </c:pt>
                <c:pt idx="15">
                  <c:v>2.0299999999999998</c:v>
                </c:pt>
                <c:pt idx="16">
                  <c:v>0.84</c:v>
                </c:pt>
                <c:pt idx="17">
                  <c:v>0.66</c:v>
                </c:pt>
                <c:pt idx="18">
                  <c:v>0.46</c:v>
                </c:pt>
                <c:pt idx="19">
                  <c:v>0.59</c:v>
                </c:pt>
                <c:pt idx="20">
                  <c:v>0.59</c:v>
                </c:pt>
                <c:pt idx="21">
                  <c:v>1.56</c:v>
                </c:pt>
                <c:pt idx="22">
                  <c:v>1.28</c:v>
                </c:pt>
                <c:pt idx="23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789-9CC9-303CAD98C273}"/>
            </c:ext>
          </c:extLst>
        </c:ser>
        <c:ser>
          <c:idx val="1"/>
          <c:order val="1"/>
          <c:tx>
            <c:strRef>
              <c:f>'23-11-17'!$P$11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'23-11-17'!$P$12:$P$35</c:f>
              <c:numCache>
                <c:formatCode>0</c:formatCode>
                <c:ptCount val="24"/>
                <c:pt idx="0">
                  <c:v>0.6</c:v>
                </c:pt>
                <c:pt idx="1">
                  <c:v>0.8</c:v>
                </c:pt>
                <c:pt idx="2">
                  <c:v>0.4</c:v>
                </c:pt>
                <c:pt idx="3">
                  <c:v>0.4</c:v>
                </c:pt>
                <c:pt idx="4">
                  <c:v>0.45</c:v>
                </c:pt>
                <c:pt idx="5">
                  <c:v>0.375</c:v>
                </c:pt>
                <c:pt idx="6">
                  <c:v>0.5</c:v>
                </c:pt>
                <c:pt idx="7">
                  <c:v>0.3</c:v>
                </c:pt>
                <c:pt idx="8">
                  <c:v>0.8</c:v>
                </c:pt>
                <c:pt idx="9">
                  <c:v>0.9</c:v>
                </c:pt>
                <c:pt idx="10">
                  <c:v>1.8</c:v>
                </c:pt>
                <c:pt idx="11">
                  <c:v>2.8</c:v>
                </c:pt>
                <c:pt idx="12">
                  <c:v>2.6</c:v>
                </c:pt>
                <c:pt idx="13">
                  <c:v>2.2000000000000002</c:v>
                </c:pt>
                <c:pt idx="14">
                  <c:v>1.9</c:v>
                </c:pt>
                <c:pt idx="15">
                  <c:v>1.1000000000000001</c:v>
                </c:pt>
                <c:pt idx="16">
                  <c:v>0.8</c:v>
                </c:pt>
                <c:pt idx="17">
                  <c:v>0.7</c:v>
                </c:pt>
                <c:pt idx="18">
                  <c:v>0.5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0.3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4-4789-9CC9-303CAD98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165.87</c:v>
                </c:pt>
                <c:pt idx="8">
                  <c:v>314.83</c:v>
                </c:pt>
                <c:pt idx="9">
                  <c:v>432.83</c:v>
                </c:pt>
                <c:pt idx="10">
                  <c:v>589.37</c:v>
                </c:pt>
                <c:pt idx="11">
                  <c:v>730.64</c:v>
                </c:pt>
                <c:pt idx="12">
                  <c:v>241.38</c:v>
                </c:pt>
                <c:pt idx="13">
                  <c:v>179.64</c:v>
                </c:pt>
                <c:pt idx="14">
                  <c:v>151.35</c:v>
                </c:pt>
                <c:pt idx="15">
                  <c:v>46.44</c:v>
                </c:pt>
                <c:pt idx="16">
                  <c:v>91.35</c:v>
                </c:pt>
                <c:pt idx="17">
                  <c:v>16.2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4F27-AB3A-8ECF1FA7890E}"/>
            </c:ext>
          </c:extLst>
        </c:ser>
        <c:ser>
          <c:idx val="1"/>
          <c:order val="1"/>
          <c:tx>
            <c:strRef>
              <c:f>'23-11-17'!$Q$11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119.9</c:v>
                </c:pt>
                <c:pt idx="8">
                  <c:v>296.8</c:v>
                </c:pt>
                <c:pt idx="9">
                  <c:v>365.8</c:v>
                </c:pt>
                <c:pt idx="10">
                  <c:v>504.4</c:v>
                </c:pt>
                <c:pt idx="11">
                  <c:v>706.6</c:v>
                </c:pt>
                <c:pt idx="12">
                  <c:v>229.4</c:v>
                </c:pt>
                <c:pt idx="13">
                  <c:v>101.6</c:v>
                </c:pt>
                <c:pt idx="14">
                  <c:v>63.4</c:v>
                </c:pt>
                <c:pt idx="15">
                  <c:v>46.4</c:v>
                </c:pt>
                <c:pt idx="16">
                  <c:v>17.399999999999999</c:v>
                </c:pt>
                <c:pt idx="17">
                  <c:v>6.2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4F27-AB3A-8ECF1FA7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E-44D6-A2CB-B20541C241C5}"/>
            </c:ext>
          </c:extLst>
        </c:ser>
        <c:ser>
          <c:idx val="1"/>
          <c:order val="1"/>
          <c:tx>
            <c:strRef>
              <c:f>'23-11-17'!$R$11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E-44D6-A2CB-B20541C2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'23-11-17'!$F$12:$F$35</c:f>
              <c:numCache>
                <c:formatCode>0</c:formatCode>
                <c:ptCount val="24"/>
                <c:pt idx="0">
                  <c:v>565.54999999999995</c:v>
                </c:pt>
                <c:pt idx="1">
                  <c:v>565.15</c:v>
                </c:pt>
                <c:pt idx="2">
                  <c:v>564.63</c:v>
                </c:pt>
                <c:pt idx="3">
                  <c:v>564.53</c:v>
                </c:pt>
                <c:pt idx="4">
                  <c:v>565.56500000000005</c:v>
                </c:pt>
                <c:pt idx="5">
                  <c:v>566.30499999999995</c:v>
                </c:pt>
                <c:pt idx="6">
                  <c:v>566.6</c:v>
                </c:pt>
                <c:pt idx="7">
                  <c:v>567.38</c:v>
                </c:pt>
                <c:pt idx="8">
                  <c:v>567.70000000000005</c:v>
                </c:pt>
                <c:pt idx="9">
                  <c:v>567.85</c:v>
                </c:pt>
                <c:pt idx="10">
                  <c:v>566.4</c:v>
                </c:pt>
                <c:pt idx="11">
                  <c:v>566.33000000000004</c:v>
                </c:pt>
                <c:pt idx="12">
                  <c:v>565.01</c:v>
                </c:pt>
                <c:pt idx="13">
                  <c:v>565.48</c:v>
                </c:pt>
                <c:pt idx="14">
                  <c:v>563.92999999999995</c:v>
                </c:pt>
                <c:pt idx="15">
                  <c:v>563.79</c:v>
                </c:pt>
                <c:pt idx="16">
                  <c:v>564.05999999999995</c:v>
                </c:pt>
                <c:pt idx="17">
                  <c:v>565.41</c:v>
                </c:pt>
                <c:pt idx="18">
                  <c:v>564.98</c:v>
                </c:pt>
                <c:pt idx="19">
                  <c:v>565.71</c:v>
                </c:pt>
                <c:pt idx="20">
                  <c:v>566.22</c:v>
                </c:pt>
                <c:pt idx="21">
                  <c:v>566.77</c:v>
                </c:pt>
                <c:pt idx="22">
                  <c:v>566.88</c:v>
                </c:pt>
                <c:pt idx="23">
                  <c:v>567.77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5-4EE1-8DAE-274457E9DF78}"/>
            </c:ext>
          </c:extLst>
        </c:ser>
        <c:ser>
          <c:idx val="1"/>
          <c:order val="1"/>
          <c:tx>
            <c:strRef>
              <c:f>'23-11-17'!$N$11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'23-11-17'!$N$12:$N$35</c:f>
              <c:numCache>
                <c:formatCode>0</c:formatCode>
                <c:ptCount val="24"/>
                <c:pt idx="0">
                  <c:v>565.6</c:v>
                </c:pt>
                <c:pt idx="1">
                  <c:v>565.20000000000005</c:v>
                </c:pt>
                <c:pt idx="2">
                  <c:v>564.6</c:v>
                </c:pt>
                <c:pt idx="3">
                  <c:v>564.5</c:v>
                </c:pt>
                <c:pt idx="4">
                  <c:v>565.04999999999995</c:v>
                </c:pt>
                <c:pt idx="5">
                  <c:v>565.32500000000005</c:v>
                </c:pt>
                <c:pt idx="6">
                  <c:v>565.6</c:v>
                </c:pt>
                <c:pt idx="7">
                  <c:v>566.4</c:v>
                </c:pt>
                <c:pt idx="8">
                  <c:v>566.70000000000005</c:v>
                </c:pt>
                <c:pt idx="9">
                  <c:v>566.9</c:v>
                </c:pt>
                <c:pt idx="10">
                  <c:v>566.4</c:v>
                </c:pt>
                <c:pt idx="11">
                  <c:v>565.6</c:v>
                </c:pt>
                <c:pt idx="12">
                  <c:v>565</c:v>
                </c:pt>
                <c:pt idx="13">
                  <c:v>564.5</c:v>
                </c:pt>
                <c:pt idx="14">
                  <c:v>563.9</c:v>
                </c:pt>
                <c:pt idx="15">
                  <c:v>563.79999999999995</c:v>
                </c:pt>
                <c:pt idx="16">
                  <c:v>564.1</c:v>
                </c:pt>
                <c:pt idx="17">
                  <c:v>564.6</c:v>
                </c:pt>
                <c:pt idx="18">
                  <c:v>565</c:v>
                </c:pt>
                <c:pt idx="19">
                  <c:v>565.70000000000005</c:v>
                </c:pt>
                <c:pt idx="20">
                  <c:v>566.20000000000005</c:v>
                </c:pt>
                <c:pt idx="21">
                  <c:v>566.79999999999995</c:v>
                </c:pt>
                <c:pt idx="22">
                  <c:v>566.9</c:v>
                </c:pt>
                <c:pt idx="23">
                  <c:v>566.79999999999995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5-4EE1-8DAE-274457E9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'23-11-17'!$K$11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'23-11-17'!$K$12:$K$35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</c:v>
                </c:pt>
                <c:pt idx="15">
                  <c:v>11.2</c:v>
                </c:pt>
                <c:pt idx="16">
                  <c:v>1.4</c:v>
                </c:pt>
                <c:pt idx="17">
                  <c:v>0.8</c:v>
                </c:pt>
                <c:pt idx="18">
                  <c:v>0.6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4-464E-86B0-64F9CF048CA8}"/>
            </c:ext>
          </c:extLst>
        </c:ser>
        <c:ser>
          <c:idx val="1"/>
          <c:order val="1"/>
          <c:tx>
            <c:strRef>
              <c:f>'23-11-17'!$S$11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'23-11-17'!$S$12:$S$34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12.4</c:v>
                </c:pt>
                <c:pt idx="15">
                  <c:v>10.8</c:v>
                </c:pt>
                <c:pt idx="16">
                  <c:v>1.4</c:v>
                </c:pt>
                <c:pt idx="17">
                  <c:v>0.8</c:v>
                </c:pt>
                <c:pt idx="18">
                  <c:v>0.6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4-464E-86B0-64F9CF04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'24-05-16'!$D$12:$D$35</c:f>
              <c:numCache>
                <c:formatCode>0</c:formatCode>
                <c:ptCount val="24"/>
                <c:pt idx="0">
                  <c:v>14.773333333333332</c:v>
                </c:pt>
                <c:pt idx="1">
                  <c:v>14.546666666666667</c:v>
                </c:pt>
                <c:pt idx="2">
                  <c:v>13.893333333333333</c:v>
                </c:pt>
                <c:pt idx="3">
                  <c:v>13.35</c:v>
                </c:pt>
                <c:pt idx="4">
                  <c:v>12.719999999999999</c:v>
                </c:pt>
                <c:pt idx="5">
                  <c:v>12.513333333333334</c:v>
                </c:pt>
                <c:pt idx="6">
                  <c:v>13.023333333333332</c:v>
                </c:pt>
                <c:pt idx="7">
                  <c:v>14.051666666666668</c:v>
                </c:pt>
                <c:pt idx="8">
                  <c:v>15.844999999999999</c:v>
                </c:pt>
                <c:pt idx="9">
                  <c:v>18.53</c:v>
                </c:pt>
                <c:pt idx="10">
                  <c:v>18.638333333333335</c:v>
                </c:pt>
                <c:pt idx="11">
                  <c:v>18.638333333333335</c:v>
                </c:pt>
                <c:pt idx="12">
                  <c:v>20.2</c:v>
                </c:pt>
                <c:pt idx="13">
                  <c:v>21.043333333333337</c:v>
                </c:pt>
                <c:pt idx="14">
                  <c:v>19.27</c:v>
                </c:pt>
                <c:pt idx="15">
                  <c:v>18.323333333333334</c:v>
                </c:pt>
                <c:pt idx="16">
                  <c:v>17.439999999999998</c:v>
                </c:pt>
                <c:pt idx="17">
                  <c:v>16.734999999999999</c:v>
                </c:pt>
                <c:pt idx="18">
                  <c:v>16.275000000000002</c:v>
                </c:pt>
                <c:pt idx="19">
                  <c:v>15.888333333333334</c:v>
                </c:pt>
                <c:pt idx="20">
                  <c:v>15.67</c:v>
                </c:pt>
                <c:pt idx="21">
                  <c:v>15.39</c:v>
                </c:pt>
                <c:pt idx="22">
                  <c:v>15.325000000000001</c:v>
                </c:pt>
                <c:pt idx="23">
                  <c:v>15.018333333333333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D-4F2F-BB58-11550984FD1D}"/>
            </c:ext>
          </c:extLst>
        </c:ser>
        <c:ser>
          <c:idx val="1"/>
          <c:order val="1"/>
          <c:tx>
            <c:strRef>
              <c:f>'24-05-16'!$L$11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'24-05-16'!$L$12:$L$35</c:f>
              <c:numCache>
                <c:formatCode>0</c:formatCode>
                <c:ptCount val="24"/>
                <c:pt idx="0">
                  <c:v>15.1</c:v>
                </c:pt>
                <c:pt idx="1">
                  <c:v>14.85</c:v>
                </c:pt>
                <c:pt idx="2">
                  <c:v>14.183333333333335</c:v>
                </c:pt>
                <c:pt idx="3">
                  <c:v>13.633333333333335</c:v>
                </c:pt>
                <c:pt idx="4">
                  <c:v>13</c:v>
                </c:pt>
                <c:pt idx="5">
                  <c:v>12.783333333333331</c:v>
                </c:pt>
                <c:pt idx="6">
                  <c:v>13.283333333333333</c:v>
                </c:pt>
                <c:pt idx="7">
                  <c:v>14.350000000000001</c:v>
                </c:pt>
                <c:pt idx="8">
                  <c:v>16.166666666666664</c:v>
                </c:pt>
                <c:pt idx="9">
                  <c:v>18.900000000000002</c:v>
                </c:pt>
                <c:pt idx="10">
                  <c:v>19.033333333333335</c:v>
                </c:pt>
                <c:pt idx="11">
                  <c:v>19.016666666666666</c:v>
                </c:pt>
                <c:pt idx="12">
                  <c:v>20.633333333333336</c:v>
                </c:pt>
                <c:pt idx="13">
                  <c:v>21.466666666666665</c:v>
                </c:pt>
                <c:pt idx="14">
                  <c:v>19.650000000000002</c:v>
                </c:pt>
                <c:pt idx="15">
                  <c:v>18.7</c:v>
                </c:pt>
                <c:pt idx="16">
                  <c:v>17.783333333333335</c:v>
                </c:pt>
                <c:pt idx="17">
                  <c:v>17.066666666666666</c:v>
                </c:pt>
                <c:pt idx="18">
                  <c:v>16.600000000000001</c:v>
                </c:pt>
                <c:pt idx="19">
                  <c:v>16.216666666666669</c:v>
                </c:pt>
                <c:pt idx="20">
                  <c:v>16</c:v>
                </c:pt>
                <c:pt idx="21">
                  <c:v>15.716666666666667</c:v>
                </c:pt>
                <c:pt idx="22">
                  <c:v>15.633333333333333</c:v>
                </c:pt>
                <c:pt idx="23">
                  <c:v>15.316666666666665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D-4F2F-BB58-11550984F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'24-05-16'!$E$12:$E$35</c:f>
              <c:numCache>
                <c:formatCode>0</c:formatCode>
                <c:ptCount val="24"/>
                <c:pt idx="0">
                  <c:v>83.048333333333332</c:v>
                </c:pt>
                <c:pt idx="1">
                  <c:v>84.02</c:v>
                </c:pt>
                <c:pt idx="2">
                  <c:v>86.90000000000002</c:v>
                </c:pt>
                <c:pt idx="3">
                  <c:v>89.113333333333344</c:v>
                </c:pt>
                <c:pt idx="4">
                  <c:v>91.76</c:v>
                </c:pt>
                <c:pt idx="5">
                  <c:v>93.06</c:v>
                </c:pt>
                <c:pt idx="6">
                  <c:v>91.62833333333333</c:v>
                </c:pt>
                <c:pt idx="7">
                  <c:v>87.353333333333339</c:v>
                </c:pt>
                <c:pt idx="8">
                  <c:v>77.721666666666678</c:v>
                </c:pt>
                <c:pt idx="9">
                  <c:v>64.944999999999993</c:v>
                </c:pt>
                <c:pt idx="10">
                  <c:v>63.704999999999991</c:v>
                </c:pt>
                <c:pt idx="11">
                  <c:v>65.13333333333334</c:v>
                </c:pt>
                <c:pt idx="12">
                  <c:v>58.456666666666671</c:v>
                </c:pt>
                <c:pt idx="13">
                  <c:v>54.701666666666661</c:v>
                </c:pt>
                <c:pt idx="14">
                  <c:v>61.625</c:v>
                </c:pt>
                <c:pt idx="15">
                  <c:v>66.679999999999993</c:v>
                </c:pt>
                <c:pt idx="16">
                  <c:v>72.173333333333332</c:v>
                </c:pt>
                <c:pt idx="17">
                  <c:v>72.23</c:v>
                </c:pt>
                <c:pt idx="18">
                  <c:v>71.751666666666665</c:v>
                </c:pt>
                <c:pt idx="19">
                  <c:v>74.081666666666663</c:v>
                </c:pt>
                <c:pt idx="20">
                  <c:v>75.588333333333338</c:v>
                </c:pt>
                <c:pt idx="21">
                  <c:v>77.36333333333333</c:v>
                </c:pt>
                <c:pt idx="22">
                  <c:v>76.103333333333339</c:v>
                </c:pt>
                <c:pt idx="23">
                  <c:v>81.825000000000003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D-4BC4-BD34-F0B7CAED49A1}"/>
            </c:ext>
          </c:extLst>
        </c:ser>
        <c:ser>
          <c:idx val="1"/>
          <c:order val="1"/>
          <c:tx>
            <c:strRef>
              <c:f>'24-05-16'!$M$11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'24-05-16'!$M$12:$M$35</c:f>
              <c:numCache>
                <c:formatCode>0</c:formatCode>
                <c:ptCount val="24"/>
                <c:pt idx="0">
                  <c:v>80.63333333333334</c:v>
                </c:pt>
                <c:pt idx="1">
                  <c:v>81.566666666666663</c:v>
                </c:pt>
                <c:pt idx="2">
                  <c:v>84.383333333333326</c:v>
                </c:pt>
                <c:pt idx="3">
                  <c:v>86.533333333333346</c:v>
                </c:pt>
                <c:pt idx="4">
                  <c:v>89.066666666666663</c:v>
                </c:pt>
                <c:pt idx="5">
                  <c:v>90.36666666666666</c:v>
                </c:pt>
                <c:pt idx="6">
                  <c:v>88.966666666666654</c:v>
                </c:pt>
                <c:pt idx="7">
                  <c:v>84.833333333333314</c:v>
                </c:pt>
                <c:pt idx="8">
                  <c:v>75.466666666666654</c:v>
                </c:pt>
                <c:pt idx="9">
                  <c:v>63.06666666666667</c:v>
                </c:pt>
                <c:pt idx="10">
                  <c:v>61.849999999999994</c:v>
                </c:pt>
                <c:pt idx="11">
                  <c:v>63.233333333333341</c:v>
                </c:pt>
                <c:pt idx="12">
                  <c:v>56.75</c:v>
                </c:pt>
                <c:pt idx="13">
                  <c:v>53.1</c:v>
                </c:pt>
                <c:pt idx="14">
                  <c:v>59.833333333333343</c:v>
                </c:pt>
                <c:pt idx="15">
                  <c:v>64.75</c:v>
                </c:pt>
                <c:pt idx="16">
                  <c:v>70.083333333333329</c:v>
                </c:pt>
                <c:pt idx="17">
                  <c:v>70.13333333333334</c:v>
                </c:pt>
                <c:pt idx="18">
                  <c:v>69.649999999999991</c:v>
                </c:pt>
                <c:pt idx="19">
                  <c:v>71.916666666666671</c:v>
                </c:pt>
                <c:pt idx="20">
                  <c:v>73.36666666666666</c:v>
                </c:pt>
                <c:pt idx="21">
                  <c:v>75.11666666666666</c:v>
                </c:pt>
                <c:pt idx="22">
                  <c:v>73.88333333333334</c:v>
                </c:pt>
                <c:pt idx="23">
                  <c:v>79.45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D-4BC4-BD34-F0B7CAED4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'24-05-16'!$G$12:$G$35</c:f>
              <c:numCache>
                <c:formatCode>0</c:formatCode>
                <c:ptCount val="24"/>
                <c:pt idx="0">
                  <c:v>45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337.5</c:v>
                </c:pt>
                <c:pt idx="6">
                  <c:v>45</c:v>
                </c:pt>
                <c:pt idx="7">
                  <c:v>0</c:v>
                </c:pt>
                <c:pt idx="8">
                  <c:v>45</c:v>
                </c:pt>
                <c:pt idx="9">
                  <c:v>90</c:v>
                </c:pt>
                <c:pt idx="10">
                  <c:v>135</c:v>
                </c:pt>
                <c:pt idx="11">
                  <c:v>22.5</c:v>
                </c:pt>
                <c:pt idx="12">
                  <c:v>135</c:v>
                </c:pt>
                <c:pt idx="13">
                  <c:v>67.5</c:v>
                </c:pt>
                <c:pt idx="14">
                  <c:v>67.5</c:v>
                </c:pt>
                <c:pt idx="15">
                  <c:v>135</c:v>
                </c:pt>
                <c:pt idx="16">
                  <c:v>112.5</c:v>
                </c:pt>
                <c:pt idx="17">
                  <c:v>157.5</c:v>
                </c:pt>
                <c:pt idx="18">
                  <c:v>112.5</c:v>
                </c:pt>
                <c:pt idx="19">
                  <c:v>157.5</c:v>
                </c:pt>
                <c:pt idx="20">
                  <c:v>90</c:v>
                </c:pt>
                <c:pt idx="21">
                  <c:v>45</c:v>
                </c:pt>
                <c:pt idx="22">
                  <c:v>112.5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2-41D9-B940-D57E23A7E322}"/>
            </c:ext>
          </c:extLst>
        </c:ser>
        <c:ser>
          <c:idx val="1"/>
          <c:order val="1"/>
          <c:tx>
            <c:strRef>
              <c:f>'24-05-16'!$O$11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'24-05-16'!$O$12:$O$35</c:f>
              <c:numCache>
                <c:formatCode>0</c:formatCode>
                <c:ptCount val="24"/>
                <c:pt idx="0">
                  <c:v>45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337.5</c:v>
                </c:pt>
                <c:pt idx="6">
                  <c:v>45</c:v>
                </c:pt>
                <c:pt idx="7">
                  <c:v>0</c:v>
                </c:pt>
                <c:pt idx="8">
                  <c:v>45</c:v>
                </c:pt>
                <c:pt idx="9">
                  <c:v>90</c:v>
                </c:pt>
                <c:pt idx="10">
                  <c:v>135</c:v>
                </c:pt>
                <c:pt idx="11">
                  <c:v>22.5</c:v>
                </c:pt>
                <c:pt idx="12">
                  <c:v>112.5</c:v>
                </c:pt>
                <c:pt idx="13">
                  <c:v>67.5</c:v>
                </c:pt>
                <c:pt idx="14">
                  <c:v>67.5</c:v>
                </c:pt>
                <c:pt idx="15">
                  <c:v>135</c:v>
                </c:pt>
                <c:pt idx="16">
                  <c:v>112.5</c:v>
                </c:pt>
                <c:pt idx="17">
                  <c:v>157.5</c:v>
                </c:pt>
                <c:pt idx="18">
                  <c:v>112.5</c:v>
                </c:pt>
                <c:pt idx="19">
                  <c:v>157.5</c:v>
                </c:pt>
                <c:pt idx="20">
                  <c:v>90</c:v>
                </c:pt>
                <c:pt idx="21">
                  <c:v>45</c:v>
                </c:pt>
                <c:pt idx="22">
                  <c:v>90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2-41D9-B940-D57E23A7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'24-05-16'!$H$12:$H$35</c:f>
              <c:numCache>
                <c:formatCode>0</c:formatCode>
                <c:ptCount val="24"/>
                <c:pt idx="0">
                  <c:v>1.0316666666666665</c:v>
                </c:pt>
                <c:pt idx="1">
                  <c:v>0.59166666666666667</c:v>
                </c:pt>
                <c:pt idx="2">
                  <c:v>0.6216666666666667</c:v>
                </c:pt>
                <c:pt idx="3">
                  <c:v>0.87333333333333318</c:v>
                </c:pt>
                <c:pt idx="4">
                  <c:v>0.90666666666666662</c:v>
                </c:pt>
                <c:pt idx="5">
                  <c:v>0.82333333333333336</c:v>
                </c:pt>
                <c:pt idx="6">
                  <c:v>0.71</c:v>
                </c:pt>
                <c:pt idx="7">
                  <c:v>1.1316666666666668</c:v>
                </c:pt>
                <c:pt idx="8">
                  <c:v>0.57833333333333325</c:v>
                </c:pt>
                <c:pt idx="9">
                  <c:v>1.7850000000000001</c:v>
                </c:pt>
                <c:pt idx="10">
                  <c:v>1.6233333333333333</c:v>
                </c:pt>
                <c:pt idx="11">
                  <c:v>2.543333333333333</c:v>
                </c:pt>
                <c:pt idx="12">
                  <c:v>1.7</c:v>
                </c:pt>
                <c:pt idx="13">
                  <c:v>2.0766666666666667</c:v>
                </c:pt>
                <c:pt idx="14">
                  <c:v>2.2533333333333334</c:v>
                </c:pt>
                <c:pt idx="15">
                  <c:v>2.4783333333333331</c:v>
                </c:pt>
                <c:pt idx="16">
                  <c:v>2.3149999999999999</c:v>
                </c:pt>
                <c:pt idx="17">
                  <c:v>1.905</c:v>
                </c:pt>
                <c:pt idx="18">
                  <c:v>2.2516666666666665</c:v>
                </c:pt>
                <c:pt idx="19">
                  <c:v>1.875</c:v>
                </c:pt>
                <c:pt idx="20">
                  <c:v>1.75</c:v>
                </c:pt>
                <c:pt idx="21">
                  <c:v>1.0550000000000002</c:v>
                </c:pt>
                <c:pt idx="22">
                  <c:v>0.69499999999999995</c:v>
                </c:pt>
                <c:pt idx="23">
                  <c:v>0.94333333333333336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F-41C5-AFA4-31CCCE58902A}"/>
            </c:ext>
          </c:extLst>
        </c:ser>
        <c:ser>
          <c:idx val="1"/>
          <c:order val="1"/>
          <c:tx>
            <c:strRef>
              <c:f>'24-05-16'!$P$11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'24-05-16'!$P$12:$P$35</c:f>
              <c:numCache>
                <c:formatCode>0</c:formatCode>
                <c:ptCount val="24"/>
                <c:pt idx="0">
                  <c:v>0.51666666666666672</c:v>
                </c:pt>
                <c:pt idx="1">
                  <c:v>0.10000000000000002</c:v>
                </c:pt>
                <c:pt idx="2">
                  <c:v>0.13333333333333333</c:v>
                </c:pt>
                <c:pt idx="3">
                  <c:v>0.21666666666666667</c:v>
                </c:pt>
                <c:pt idx="4">
                  <c:v>0.2166666666666667</c:v>
                </c:pt>
                <c:pt idx="5">
                  <c:v>0.16666666666666666</c:v>
                </c:pt>
                <c:pt idx="6">
                  <c:v>0.3833333333333333</c:v>
                </c:pt>
                <c:pt idx="7">
                  <c:v>0.28333333333333333</c:v>
                </c:pt>
                <c:pt idx="8">
                  <c:v>0.39999999999999997</c:v>
                </c:pt>
                <c:pt idx="9">
                  <c:v>1.1166666666666665</c:v>
                </c:pt>
                <c:pt idx="10">
                  <c:v>1.4500000000000002</c:v>
                </c:pt>
                <c:pt idx="11">
                  <c:v>1.8833333333333331</c:v>
                </c:pt>
                <c:pt idx="12">
                  <c:v>1.7166666666666668</c:v>
                </c:pt>
                <c:pt idx="13">
                  <c:v>1.4166666666666667</c:v>
                </c:pt>
                <c:pt idx="14">
                  <c:v>1.9166666666666667</c:v>
                </c:pt>
                <c:pt idx="15">
                  <c:v>2.0166666666666662</c:v>
                </c:pt>
                <c:pt idx="16">
                  <c:v>1.6666666666666667</c:v>
                </c:pt>
                <c:pt idx="17">
                  <c:v>1.5833333333333333</c:v>
                </c:pt>
                <c:pt idx="18">
                  <c:v>1.4166666666666667</c:v>
                </c:pt>
                <c:pt idx="19">
                  <c:v>1.2166666666666666</c:v>
                </c:pt>
                <c:pt idx="20">
                  <c:v>0.93333333333333324</c:v>
                </c:pt>
                <c:pt idx="21">
                  <c:v>0.53333333333333333</c:v>
                </c:pt>
                <c:pt idx="22">
                  <c:v>0.53333333333333333</c:v>
                </c:pt>
                <c:pt idx="23">
                  <c:v>0.61666666666666659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F-41C5-AFA4-31CCCE589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58.25333333333333</c:v>
                </c:pt>
                <c:pt idx="7">
                  <c:v>103.82666666666667</c:v>
                </c:pt>
                <c:pt idx="8">
                  <c:v>292.03166666666664</c:v>
                </c:pt>
                <c:pt idx="9">
                  <c:v>283.95999999999998</c:v>
                </c:pt>
                <c:pt idx="10">
                  <c:v>224.49333333333334</c:v>
                </c:pt>
                <c:pt idx="11">
                  <c:v>289.86500000000001</c:v>
                </c:pt>
                <c:pt idx="12">
                  <c:v>574.73666666666668</c:v>
                </c:pt>
                <c:pt idx="13">
                  <c:v>241.88499999999999</c:v>
                </c:pt>
                <c:pt idx="14">
                  <c:v>124.57166666666666</c:v>
                </c:pt>
                <c:pt idx="15">
                  <c:v>123.79333333333334</c:v>
                </c:pt>
                <c:pt idx="16">
                  <c:v>98.126666666666665</c:v>
                </c:pt>
                <c:pt idx="17">
                  <c:v>57.293333333333329</c:v>
                </c:pt>
                <c:pt idx="18">
                  <c:v>1.5366666666666668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2-4AA2-92FE-B9C322966B71}"/>
            </c:ext>
          </c:extLst>
        </c:ser>
        <c:ser>
          <c:idx val="1"/>
          <c:order val="1"/>
          <c:tx>
            <c:strRef>
              <c:f>'24-05-16'!$Q$11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22.95</c:v>
                </c:pt>
                <c:pt idx="7">
                  <c:v>68.850000000000009</c:v>
                </c:pt>
                <c:pt idx="8">
                  <c:v>244.2166666666667</c:v>
                </c:pt>
                <c:pt idx="9">
                  <c:v>241.79999999999995</c:v>
                </c:pt>
                <c:pt idx="10">
                  <c:v>169.99999999999997</c:v>
                </c:pt>
                <c:pt idx="11">
                  <c:v>240.5333333333333</c:v>
                </c:pt>
                <c:pt idx="12">
                  <c:v>524.25</c:v>
                </c:pt>
                <c:pt idx="13">
                  <c:v>202.06666666666663</c:v>
                </c:pt>
                <c:pt idx="14">
                  <c:v>73.566666666666663</c:v>
                </c:pt>
                <c:pt idx="15">
                  <c:v>83.616666666666674</c:v>
                </c:pt>
                <c:pt idx="16">
                  <c:v>60.783333333333331</c:v>
                </c:pt>
                <c:pt idx="17">
                  <c:v>22.950000000000003</c:v>
                </c:pt>
                <c:pt idx="18">
                  <c:v>0.3666666666666667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2-4AA2-92FE-B9C32296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3-49F0-9562-EB2B971565DA}"/>
            </c:ext>
          </c:extLst>
        </c:ser>
        <c:ser>
          <c:idx val="1"/>
          <c:order val="1"/>
          <c:tx>
            <c:strRef>
              <c:f>'24-05-16'!$R$11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3-49F0-9562-EB2B97156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'24-05-16'!$F$12:$F$35</c:f>
              <c:numCache>
                <c:formatCode>0</c:formatCode>
                <c:ptCount val="24"/>
                <c:pt idx="0">
                  <c:v>568.10666666666668</c:v>
                </c:pt>
                <c:pt idx="1">
                  <c:v>567.56166666666672</c:v>
                </c:pt>
                <c:pt idx="2">
                  <c:v>567.29666666666662</c:v>
                </c:pt>
                <c:pt idx="3">
                  <c:v>567.08833333333337</c:v>
                </c:pt>
                <c:pt idx="4">
                  <c:v>567.52666666666676</c:v>
                </c:pt>
                <c:pt idx="5">
                  <c:v>568.03166666666664</c:v>
                </c:pt>
                <c:pt idx="6">
                  <c:v>568.29666666666662</c:v>
                </c:pt>
                <c:pt idx="7">
                  <c:v>568.81166666666672</c:v>
                </c:pt>
                <c:pt idx="8">
                  <c:v>568.66</c:v>
                </c:pt>
                <c:pt idx="9">
                  <c:v>569.18000000000006</c:v>
                </c:pt>
                <c:pt idx="10">
                  <c:v>569.31333333333328</c:v>
                </c:pt>
                <c:pt idx="11">
                  <c:v>568.83833333333337</c:v>
                </c:pt>
                <c:pt idx="12">
                  <c:v>567.77666666666664</c:v>
                </c:pt>
                <c:pt idx="13">
                  <c:v>567.20500000000004</c:v>
                </c:pt>
                <c:pt idx="14">
                  <c:v>567.11833333333334</c:v>
                </c:pt>
                <c:pt idx="15">
                  <c:v>567.0333333333333</c:v>
                </c:pt>
                <c:pt idx="16">
                  <c:v>566.98166666666668</c:v>
                </c:pt>
                <c:pt idx="17">
                  <c:v>567.83333333333326</c:v>
                </c:pt>
                <c:pt idx="18">
                  <c:v>568.40166666666664</c:v>
                </c:pt>
                <c:pt idx="19">
                  <c:v>569.16666666666663</c:v>
                </c:pt>
                <c:pt idx="20">
                  <c:v>569.45833333333337</c:v>
                </c:pt>
                <c:pt idx="21">
                  <c:v>570.01</c:v>
                </c:pt>
                <c:pt idx="22">
                  <c:v>570.14333333333343</c:v>
                </c:pt>
                <c:pt idx="23">
                  <c:v>569.93666666666661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0-4A9E-80AF-19228B08B642}"/>
            </c:ext>
          </c:extLst>
        </c:ser>
        <c:ser>
          <c:idx val="1"/>
          <c:order val="1"/>
          <c:tx>
            <c:strRef>
              <c:f>'24-05-16'!$N$11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'24-05-16'!$N$12:$N$35</c:f>
              <c:numCache>
                <c:formatCode>0</c:formatCode>
                <c:ptCount val="24"/>
                <c:pt idx="0">
                  <c:v>567.76666666666654</c:v>
                </c:pt>
                <c:pt idx="1">
                  <c:v>567.21666666666658</c:v>
                </c:pt>
                <c:pt idx="2">
                  <c:v>566.81666666666661</c:v>
                </c:pt>
                <c:pt idx="3">
                  <c:v>566.75000000000011</c:v>
                </c:pt>
                <c:pt idx="4">
                  <c:v>567.0333333333333</c:v>
                </c:pt>
                <c:pt idx="5">
                  <c:v>567.38333333333333</c:v>
                </c:pt>
                <c:pt idx="6">
                  <c:v>567.61666666666667</c:v>
                </c:pt>
                <c:pt idx="7">
                  <c:v>568.13333333333333</c:v>
                </c:pt>
                <c:pt idx="8">
                  <c:v>568.5</c:v>
                </c:pt>
                <c:pt idx="9">
                  <c:v>568.69999999999993</c:v>
                </c:pt>
                <c:pt idx="10">
                  <c:v>568.65000000000009</c:v>
                </c:pt>
                <c:pt idx="11">
                  <c:v>568.48333333333335</c:v>
                </c:pt>
                <c:pt idx="12">
                  <c:v>567.7833333333333</c:v>
                </c:pt>
                <c:pt idx="13">
                  <c:v>566.7166666666667</c:v>
                </c:pt>
                <c:pt idx="14">
                  <c:v>566.43333333333328</c:v>
                </c:pt>
                <c:pt idx="15">
                  <c:v>566.5333333333333</c:v>
                </c:pt>
                <c:pt idx="16">
                  <c:v>566.80000000000007</c:v>
                </c:pt>
                <c:pt idx="17">
                  <c:v>567.18333333333328</c:v>
                </c:pt>
                <c:pt idx="18">
                  <c:v>568.06666666666661</c:v>
                </c:pt>
                <c:pt idx="19">
                  <c:v>568.66666666666663</c:v>
                </c:pt>
                <c:pt idx="20">
                  <c:v>568.94999999999993</c:v>
                </c:pt>
                <c:pt idx="21">
                  <c:v>569.51666666666677</c:v>
                </c:pt>
                <c:pt idx="22">
                  <c:v>569.48333333333335</c:v>
                </c:pt>
                <c:pt idx="23">
                  <c:v>569.2833333333333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0-4A9E-80AF-19228B08B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'24-05-16'!$K$11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'24-05-16'!$K$12:$K$35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E-4658-8AB5-231BEF305452}"/>
            </c:ext>
          </c:extLst>
        </c:ser>
        <c:ser>
          <c:idx val="1"/>
          <c:order val="1"/>
          <c:tx>
            <c:strRef>
              <c:f>'24-05-16'!$S$11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'24-05-16'!$S$12:$S$34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E-4658-8AB5-231BEF305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'24-11-18'!$D$12:$D$35</c:f>
              <c:numCache>
                <c:formatCode>0</c:formatCode>
                <c:ptCount val="24"/>
                <c:pt idx="0">
                  <c:v>13.31</c:v>
                </c:pt>
                <c:pt idx="1">
                  <c:v>13.025</c:v>
                </c:pt>
                <c:pt idx="2">
                  <c:v>12.628333333333332</c:v>
                </c:pt>
                <c:pt idx="3">
                  <c:v>12.5</c:v>
                </c:pt>
                <c:pt idx="4">
                  <c:v>12.604999999999999</c:v>
                </c:pt>
                <c:pt idx="5">
                  <c:v>12.685</c:v>
                </c:pt>
                <c:pt idx="6">
                  <c:v>12.975000000000001</c:v>
                </c:pt>
                <c:pt idx="7">
                  <c:v>14.711666666666666</c:v>
                </c:pt>
                <c:pt idx="8">
                  <c:v>17.125</c:v>
                </c:pt>
                <c:pt idx="9">
                  <c:v>18.735000000000003</c:v>
                </c:pt>
                <c:pt idx="10">
                  <c:v>18.860000000000003</c:v>
                </c:pt>
                <c:pt idx="11">
                  <c:v>19.953333333333333</c:v>
                </c:pt>
                <c:pt idx="12">
                  <c:v>20.675000000000001</c:v>
                </c:pt>
                <c:pt idx="13">
                  <c:v>20.126666666666669</c:v>
                </c:pt>
                <c:pt idx="14">
                  <c:v>18.563333333333333</c:v>
                </c:pt>
                <c:pt idx="15">
                  <c:v>18.136666666666667</c:v>
                </c:pt>
                <c:pt idx="16">
                  <c:v>16.048333333333336</c:v>
                </c:pt>
                <c:pt idx="17">
                  <c:v>14.930000000000001</c:v>
                </c:pt>
                <c:pt idx="18">
                  <c:v>14.641666666666666</c:v>
                </c:pt>
                <c:pt idx="19">
                  <c:v>14.603333333333333</c:v>
                </c:pt>
                <c:pt idx="20">
                  <c:v>14.496666666666668</c:v>
                </c:pt>
                <c:pt idx="21">
                  <c:v>14.36166666666667</c:v>
                </c:pt>
                <c:pt idx="22">
                  <c:v>13.956666666666665</c:v>
                </c:pt>
                <c:pt idx="23">
                  <c:v>13.566666666666668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6-4C21-ABF8-5E99EF704EE4}"/>
            </c:ext>
          </c:extLst>
        </c:ser>
        <c:ser>
          <c:idx val="1"/>
          <c:order val="1"/>
          <c:tx>
            <c:strRef>
              <c:f>'24-11-18'!$L$11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'24-11-18'!$L$12:$L$35</c:f>
              <c:numCache>
                <c:formatCode>0</c:formatCode>
                <c:ptCount val="24"/>
                <c:pt idx="0">
                  <c:v>13.583333333333334</c:v>
                </c:pt>
                <c:pt idx="1">
                  <c:v>13.299999999999999</c:v>
                </c:pt>
                <c:pt idx="2">
                  <c:v>12.883333333333333</c:v>
                </c:pt>
                <c:pt idx="3">
                  <c:v>12.766666666666666</c:v>
                </c:pt>
                <c:pt idx="4">
                  <c:v>12.9</c:v>
                </c:pt>
                <c:pt idx="5">
                  <c:v>12.950000000000001</c:v>
                </c:pt>
                <c:pt idx="6">
                  <c:v>13.216666666666667</c:v>
                </c:pt>
                <c:pt idx="7">
                  <c:v>15</c:v>
                </c:pt>
                <c:pt idx="8">
                  <c:v>17.483333333333334</c:v>
                </c:pt>
                <c:pt idx="9">
                  <c:v>19.133333333333333</c:v>
                </c:pt>
                <c:pt idx="10">
                  <c:v>19.233333333333331</c:v>
                </c:pt>
                <c:pt idx="11">
                  <c:v>20.366666666666667</c:v>
                </c:pt>
                <c:pt idx="12">
                  <c:v>21.116666666666667</c:v>
                </c:pt>
                <c:pt idx="13">
                  <c:v>20.55</c:v>
                </c:pt>
                <c:pt idx="14">
                  <c:v>18.933333333333334</c:v>
                </c:pt>
                <c:pt idx="15">
                  <c:v>18.516666666666669</c:v>
                </c:pt>
                <c:pt idx="16">
                  <c:v>16.383333333333333</c:v>
                </c:pt>
                <c:pt idx="17">
                  <c:v>15.233333333333334</c:v>
                </c:pt>
                <c:pt idx="18">
                  <c:v>14.950000000000001</c:v>
                </c:pt>
                <c:pt idx="19">
                  <c:v>14.916666666666666</c:v>
                </c:pt>
                <c:pt idx="20">
                  <c:v>14.799999999999999</c:v>
                </c:pt>
                <c:pt idx="21">
                  <c:v>14.65</c:v>
                </c:pt>
                <c:pt idx="22">
                  <c:v>14.249999999999998</c:v>
                </c:pt>
                <c:pt idx="23">
                  <c:v>13.866666666666667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6-4C21-ABF8-5E99EF70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'24-11-18'!$E$12:$E$35</c:f>
              <c:numCache>
                <c:formatCode>0</c:formatCode>
                <c:ptCount val="24"/>
                <c:pt idx="0">
                  <c:v>93.708333333333329</c:v>
                </c:pt>
                <c:pt idx="1">
                  <c:v>96.074999999999989</c:v>
                </c:pt>
                <c:pt idx="2">
                  <c:v>95.635000000000005</c:v>
                </c:pt>
                <c:pt idx="3">
                  <c:v>95.618333333333339</c:v>
                </c:pt>
                <c:pt idx="4">
                  <c:v>94.605000000000004</c:v>
                </c:pt>
                <c:pt idx="5">
                  <c:v>94.76</c:v>
                </c:pt>
                <c:pt idx="6">
                  <c:v>94.185000000000002</c:v>
                </c:pt>
                <c:pt idx="7">
                  <c:v>85.545000000000016</c:v>
                </c:pt>
                <c:pt idx="8">
                  <c:v>71.733333333333348</c:v>
                </c:pt>
                <c:pt idx="9">
                  <c:v>60.706666666666671</c:v>
                </c:pt>
                <c:pt idx="10">
                  <c:v>60.07833333333334</c:v>
                </c:pt>
                <c:pt idx="11">
                  <c:v>56.416666666666664</c:v>
                </c:pt>
                <c:pt idx="12">
                  <c:v>51.21</c:v>
                </c:pt>
                <c:pt idx="13">
                  <c:v>59.638333333333343</c:v>
                </c:pt>
                <c:pt idx="14">
                  <c:v>73.373333333333321</c:v>
                </c:pt>
                <c:pt idx="15">
                  <c:v>74.308333333333337</c:v>
                </c:pt>
                <c:pt idx="16">
                  <c:v>84.798333333333332</c:v>
                </c:pt>
                <c:pt idx="17">
                  <c:v>91.19</c:v>
                </c:pt>
                <c:pt idx="18">
                  <c:v>91.513333333333335</c:v>
                </c:pt>
                <c:pt idx="19">
                  <c:v>91.151666666666657</c:v>
                </c:pt>
                <c:pt idx="20">
                  <c:v>90.786666666666676</c:v>
                </c:pt>
                <c:pt idx="21">
                  <c:v>91.42</c:v>
                </c:pt>
                <c:pt idx="22">
                  <c:v>92.241666666666674</c:v>
                </c:pt>
                <c:pt idx="23">
                  <c:v>93.271666666666661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3-454D-B282-90EAA6F625AA}"/>
            </c:ext>
          </c:extLst>
        </c:ser>
        <c:ser>
          <c:idx val="1"/>
          <c:order val="1"/>
          <c:tx>
            <c:strRef>
              <c:f>'24-11-18'!$M$11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'24-11-18'!$M$12:$M$35</c:f>
              <c:numCache>
                <c:formatCode>0</c:formatCode>
                <c:ptCount val="24"/>
                <c:pt idx="0">
                  <c:v>90.966666666666683</c:v>
                </c:pt>
                <c:pt idx="1">
                  <c:v>93.266666666666652</c:v>
                </c:pt>
                <c:pt idx="2">
                  <c:v>92.850000000000009</c:v>
                </c:pt>
                <c:pt idx="3">
                  <c:v>92.833333333333329</c:v>
                </c:pt>
                <c:pt idx="4">
                  <c:v>91.850000000000009</c:v>
                </c:pt>
                <c:pt idx="5">
                  <c:v>92</c:v>
                </c:pt>
                <c:pt idx="6">
                  <c:v>91.45</c:v>
                </c:pt>
                <c:pt idx="7">
                  <c:v>83.033333333333346</c:v>
                </c:pt>
                <c:pt idx="8">
                  <c:v>69.650000000000006</c:v>
                </c:pt>
                <c:pt idx="9">
                  <c:v>58.966666666666669</c:v>
                </c:pt>
                <c:pt idx="10">
                  <c:v>58.35</c:v>
                </c:pt>
                <c:pt idx="11">
                  <c:v>54.783333333333331</c:v>
                </c:pt>
                <c:pt idx="12">
                  <c:v>49.699999999999996</c:v>
                </c:pt>
                <c:pt idx="13">
                  <c:v>57.933333333333337</c:v>
                </c:pt>
                <c:pt idx="14">
                  <c:v>71.25</c:v>
                </c:pt>
                <c:pt idx="15">
                  <c:v>72.166666666666671</c:v>
                </c:pt>
                <c:pt idx="16">
                  <c:v>82.316666666666677</c:v>
                </c:pt>
                <c:pt idx="17">
                  <c:v>88.55</c:v>
                </c:pt>
                <c:pt idx="18">
                  <c:v>88.866666666666674</c:v>
                </c:pt>
                <c:pt idx="19">
                  <c:v>88.5</c:v>
                </c:pt>
                <c:pt idx="20">
                  <c:v>88.15000000000002</c:v>
                </c:pt>
                <c:pt idx="21">
                  <c:v>88.766666666666666</c:v>
                </c:pt>
                <c:pt idx="22">
                  <c:v>89.55</c:v>
                </c:pt>
                <c:pt idx="23">
                  <c:v>90.55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3-454D-B282-90EAA6F6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'24-11-18'!$G$12:$G$35</c:f>
              <c:numCache>
                <c:formatCode>0</c:formatCode>
                <c:ptCount val="24"/>
                <c:pt idx="0">
                  <c:v>337.5</c:v>
                </c:pt>
                <c:pt idx="1">
                  <c:v>292.5</c:v>
                </c:pt>
                <c:pt idx="2">
                  <c:v>337.5</c:v>
                </c:pt>
                <c:pt idx="3">
                  <c:v>337.5</c:v>
                </c:pt>
                <c:pt idx="4">
                  <c:v>0</c:v>
                </c:pt>
                <c:pt idx="5">
                  <c:v>337.5</c:v>
                </c:pt>
                <c:pt idx="6">
                  <c:v>315</c:v>
                </c:pt>
                <c:pt idx="7">
                  <c:v>0</c:v>
                </c:pt>
                <c:pt idx="8">
                  <c:v>67.5</c:v>
                </c:pt>
                <c:pt idx="9">
                  <c:v>45</c:v>
                </c:pt>
                <c:pt idx="10">
                  <c:v>202.5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225</c:v>
                </c:pt>
                <c:pt idx="15">
                  <c:v>247.5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202.5</c:v>
                </c:pt>
                <c:pt idx="20">
                  <c:v>292.5</c:v>
                </c:pt>
                <c:pt idx="21">
                  <c:v>270</c:v>
                </c:pt>
                <c:pt idx="22">
                  <c:v>292.5</c:v>
                </c:pt>
                <c:pt idx="23">
                  <c:v>292.5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C-4F3E-8552-4B5155656F3A}"/>
            </c:ext>
          </c:extLst>
        </c:ser>
        <c:ser>
          <c:idx val="1"/>
          <c:order val="1"/>
          <c:tx>
            <c:strRef>
              <c:f>'24-11-18'!$O$11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'24-11-18'!$O$12:$O$35</c:f>
              <c:numCache>
                <c:formatCode>0</c:formatCode>
                <c:ptCount val="24"/>
                <c:pt idx="0">
                  <c:v>315</c:v>
                </c:pt>
                <c:pt idx="1">
                  <c:v>292.5</c:v>
                </c:pt>
                <c:pt idx="2">
                  <c:v>337.5</c:v>
                </c:pt>
                <c:pt idx="3">
                  <c:v>337.5</c:v>
                </c:pt>
                <c:pt idx="4">
                  <c:v>0</c:v>
                </c:pt>
                <c:pt idx="5">
                  <c:v>337.5</c:v>
                </c:pt>
                <c:pt idx="6">
                  <c:v>315</c:v>
                </c:pt>
                <c:pt idx="7">
                  <c:v>0</c:v>
                </c:pt>
                <c:pt idx="8">
                  <c:v>45</c:v>
                </c:pt>
                <c:pt idx="9">
                  <c:v>45</c:v>
                </c:pt>
                <c:pt idx="10">
                  <c:v>202.5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225</c:v>
                </c:pt>
                <c:pt idx="15">
                  <c:v>247.5</c:v>
                </c:pt>
                <c:pt idx="16">
                  <c:v>225</c:v>
                </c:pt>
                <c:pt idx="17">
                  <c:v>225</c:v>
                </c:pt>
                <c:pt idx="18">
                  <c:v>202.5</c:v>
                </c:pt>
                <c:pt idx="19">
                  <c:v>180</c:v>
                </c:pt>
                <c:pt idx="20">
                  <c:v>292.5</c:v>
                </c:pt>
                <c:pt idx="21">
                  <c:v>270</c:v>
                </c:pt>
                <c:pt idx="22">
                  <c:v>270</c:v>
                </c:pt>
                <c:pt idx="23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C-4F3E-8552-4B515565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'24-11-18'!$H$12:$H$35</c:f>
              <c:numCache>
                <c:formatCode>0</c:formatCode>
                <c:ptCount val="24"/>
                <c:pt idx="0">
                  <c:v>1.4483333333333335</c:v>
                </c:pt>
                <c:pt idx="1">
                  <c:v>1.8266666666666669</c:v>
                </c:pt>
                <c:pt idx="2">
                  <c:v>1.3299999999999998</c:v>
                </c:pt>
                <c:pt idx="3">
                  <c:v>1.0966666666666667</c:v>
                </c:pt>
                <c:pt idx="4">
                  <c:v>1.125</c:v>
                </c:pt>
                <c:pt idx="5">
                  <c:v>0.83000000000000007</c:v>
                </c:pt>
                <c:pt idx="6">
                  <c:v>1.1066666666666667</c:v>
                </c:pt>
                <c:pt idx="7">
                  <c:v>1.2733333333333334</c:v>
                </c:pt>
                <c:pt idx="8">
                  <c:v>1.2033333333333334</c:v>
                </c:pt>
                <c:pt idx="9">
                  <c:v>1.3299999999999998</c:v>
                </c:pt>
                <c:pt idx="10">
                  <c:v>1.5733333333333335</c:v>
                </c:pt>
                <c:pt idx="11">
                  <c:v>2.1433333333333331</c:v>
                </c:pt>
                <c:pt idx="12">
                  <c:v>2.0266666666666668</c:v>
                </c:pt>
                <c:pt idx="13">
                  <c:v>2.6449999999999996</c:v>
                </c:pt>
                <c:pt idx="14">
                  <c:v>3.06</c:v>
                </c:pt>
                <c:pt idx="15">
                  <c:v>3.0566666666666666</c:v>
                </c:pt>
                <c:pt idx="16">
                  <c:v>2.8016666666666663</c:v>
                </c:pt>
                <c:pt idx="17">
                  <c:v>1.7450000000000001</c:v>
                </c:pt>
                <c:pt idx="18">
                  <c:v>1.5666666666666664</c:v>
                </c:pt>
                <c:pt idx="19">
                  <c:v>0.84</c:v>
                </c:pt>
                <c:pt idx="20">
                  <c:v>0.77999999999999992</c:v>
                </c:pt>
                <c:pt idx="21">
                  <c:v>1.0450000000000002</c:v>
                </c:pt>
                <c:pt idx="22">
                  <c:v>1.0766666666666664</c:v>
                </c:pt>
                <c:pt idx="23">
                  <c:v>0.50166666666666671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E-4EDB-A043-B7FA35A9C801}"/>
            </c:ext>
          </c:extLst>
        </c:ser>
        <c:ser>
          <c:idx val="1"/>
          <c:order val="1"/>
          <c:tx>
            <c:strRef>
              <c:f>'24-11-18'!$P$11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'24-11-18'!$P$12:$P$35</c:f>
              <c:numCache>
                <c:formatCode>0</c:formatCode>
                <c:ptCount val="24"/>
                <c:pt idx="0">
                  <c:v>0.80000000000000016</c:v>
                </c:pt>
                <c:pt idx="1">
                  <c:v>0.83333333333333337</c:v>
                </c:pt>
                <c:pt idx="2">
                  <c:v>0.81666666666666676</c:v>
                </c:pt>
                <c:pt idx="3">
                  <c:v>0.26666666666666666</c:v>
                </c:pt>
                <c:pt idx="4">
                  <c:v>0.46666666666666673</c:v>
                </c:pt>
                <c:pt idx="5">
                  <c:v>0.33333333333333331</c:v>
                </c:pt>
                <c:pt idx="6">
                  <c:v>0.46666666666666662</c:v>
                </c:pt>
                <c:pt idx="7">
                  <c:v>0.78333333333333333</c:v>
                </c:pt>
                <c:pt idx="8">
                  <c:v>0.70000000000000007</c:v>
                </c:pt>
                <c:pt idx="9">
                  <c:v>1.1833333333333336</c:v>
                </c:pt>
                <c:pt idx="10">
                  <c:v>1.4000000000000001</c:v>
                </c:pt>
                <c:pt idx="11">
                  <c:v>1.6333333333333335</c:v>
                </c:pt>
                <c:pt idx="12">
                  <c:v>1.3666666666666669</c:v>
                </c:pt>
                <c:pt idx="13">
                  <c:v>1.9500000000000002</c:v>
                </c:pt>
                <c:pt idx="14">
                  <c:v>2.4</c:v>
                </c:pt>
                <c:pt idx="15">
                  <c:v>2.9</c:v>
                </c:pt>
                <c:pt idx="16">
                  <c:v>2.3000000000000003</c:v>
                </c:pt>
                <c:pt idx="17">
                  <c:v>1.5833333333333333</c:v>
                </c:pt>
                <c:pt idx="18">
                  <c:v>1.0666666666666664</c:v>
                </c:pt>
                <c:pt idx="19">
                  <c:v>0.51666666666666661</c:v>
                </c:pt>
                <c:pt idx="20">
                  <c:v>0.30000000000000004</c:v>
                </c:pt>
                <c:pt idx="21">
                  <c:v>0.54999999999999993</c:v>
                </c:pt>
                <c:pt idx="22">
                  <c:v>0.41666666666666669</c:v>
                </c:pt>
                <c:pt idx="23">
                  <c:v>0.35000000000000003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E-4EDB-A043-B7FA35A9C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7-4888-BE39-0A376D3DC8AF}"/>
            </c:ext>
          </c:extLst>
        </c:ser>
        <c:ser>
          <c:idx val="1"/>
          <c:order val="1"/>
          <c:tx>
            <c:strRef>
              <c:f>'24-11-18'!$R$11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7-4888-BE39-0A376D3D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'24-11-18'!$F$12:$F$35</c:f>
              <c:numCache>
                <c:formatCode>0</c:formatCode>
                <c:ptCount val="24"/>
                <c:pt idx="0">
                  <c:v>567.09833333333336</c:v>
                </c:pt>
                <c:pt idx="1">
                  <c:v>566.44333333333327</c:v>
                </c:pt>
                <c:pt idx="2">
                  <c:v>565.92833333333328</c:v>
                </c:pt>
                <c:pt idx="3">
                  <c:v>565.97833333333335</c:v>
                </c:pt>
                <c:pt idx="4">
                  <c:v>566.22666666666669</c:v>
                </c:pt>
                <c:pt idx="5">
                  <c:v>566.8366666666667</c:v>
                </c:pt>
                <c:pt idx="6">
                  <c:v>567.41833333333341</c:v>
                </c:pt>
                <c:pt idx="7">
                  <c:v>568.14333333333332</c:v>
                </c:pt>
                <c:pt idx="8">
                  <c:v>568.41</c:v>
                </c:pt>
                <c:pt idx="9">
                  <c:v>568.52</c:v>
                </c:pt>
                <c:pt idx="10">
                  <c:v>567.78166666666664</c:v>
                </c:pt>
                <c:pt idx="11">
                  <c:v>567.31666666666661</c:v>
                </c:pt>
                <c:pt idx="12">
                  <c:v>565.97333333333324</c:v>
                </c:pt>
                <c:pt idx="13">
                  <c:v>564.84333333333336</c:v>
                </c:pt>
                <c:pt idx="14">
                  <c:v>564.08833333333337</c:v>
                </c:pt>
                <c:pt idx="15">
                  <c:v>563.94166666666672</c:v>
                </c:pt>
                <c:pt idx="16">
                  <c:v>564.79000000000008</c:v>
                </c:pt>
                <c:pt idx="17">
                  <c:v>565.11</c:v>
                </c:pt>
                <c:pt idx="18">
                  <c:v>565.64333333333332</c:v>
                </c:pt>
                <c:pt idx="19">
                  <c:v>566.34333333333336</c:v>
                </c:pt>
                <c:pt idx="20">
                  <c:v>567.27666666666664</c:v>
                </c:pt>
                <c:pt idx="21">
                  <c:v>567.81333333333339</c:v>
                </c:pt>
                <c:pt idx="22">
                  <c:v>568.18833333333339</c:v>
                </c:pt>
                <c:pt idx="23">
                  <c:v>567.77666666666664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DE0-B653-D5E68A53BAD1}"/>
            </c:ext>
          </c:extLst>
        </c:ser>
        <c:ser>
          <c:idx val="1"/>
          <c:order val="1"/>
          <c:tx>
            <c:strRef>
              <c:f>'24-11-18'!$N$11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'24-11-18'!$N$12:$N$35</c:f>
              <c:numCache>
                <c:formatCode>0</c:formatCode>
                <c:ptCount val="24"/>
                <c:pt idx="0">
                  <c:v>566.26666666666654</c:v>
                </c:pt>
                <c:pt idx="1">
                  <c:v>566.11666666666667</c:v>
                </c:pt>
                <c:pt idx="2">
                  <c:v>565.76666666666665</c:v>
                </c:pt>
                <c:pt idx="3">
                  <c:v>565.46666666666658</c:v>
                </c:pt>
                <c:pt idx="4">
                  <c:v>565.73333333333335</c:v>
                </c:pt>
                <c:pt idx="5">
                  <c:v>566.18333333333328</c:v>
                </c:pt>
                <c:pt idx="6">
                  <c:v>566.76666666666665</c:v>
                </c:pt>
                <c:pt idx="7">
                  <c:v>567.31666666666661</c:v>
                </c:pt>
                <c:pt idx="8">
                  <c:v>567.9</c:v>
                </c:pt>
                <c:pt idx="9">
                  <c:v>567.84999999999991</c:v>
                </c:pt>
                <c:pt idx="10">
                  <c:v>567.44999999999993</c:v>
                </c:pt>
                <c:pt idx="11">
                  <c:v>566.66666666666663</c:v>
                </c:pt>
                <c:pt idx="12">
                  <c:v>565.66666666666663</c:v>
                </c:pt>
                <c:pt idx="13">
                  <c:v>564.68333333333339</c:v>
                </c:pt>
                <c:pt idx="14">
                  <c:v>563.7833333333333</c:v>
                </c:pt>
                <c:pt idx="15">
                  <c:v>563.63333333333333</c:v>
                </c:pt>
                <c:pt idx="16">
                  <c:v>564.11666666666667</c:v>
                </c:pt>
                <c:pt idx="17">
                  <c:v>564.44999999999993</c:v>
                </c:pt>
                <c:pt idx="18">
                  <c:v>565.15</c:v>
                </c:pt>
                <c:pt idx="19">
                  <c:v>566.0333333333333</c:v>
                </c:pt>
                <c:pt idx="20">
                  <c:v>566.7833333333333</c:v>
                </c:pt>
                <c:pt idx="21">
                  <c:v>567.31666666666672</c:v>
                </c:pt>
                <c:pt idx="22">
                  <c:v>567.36666666666667</c:v>
                </c:pt>
                <c:pt idx="23">
                  <c:v>567.11666666666667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4-4DE0-B653-D5E68A53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'24-11-18'!$K$12:$K$35</c:f>
              <c:numCache>
                <c:formatCode>0</c:formatCode>
                <c:ptCount val="24"/>
                <c:pt idx="0">
                  <c:v>1.4</c:v>
                </c:pt>
                <c:pt idx="1">
                  <c:v>20.8</c:v>
                </c:pt>
                <c:pt idx="2">
                  <c:v>2.2000000000000002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2.6</c:v>
                </c:pt>
                <c:pt idx="17">
                  <c:v>0.8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2-4B4B-9CD9-FBADE6108414}"/>
            </c:ext>
          </c:extLst>
        </c:ser>
        <c:ser>
          <c:idx val="1"/>
          <c:order val="1"/>
          <c:tx>
            <c:strRef>
              <c:f>'24-11-18'!$S$11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'24-11-18'!$S$12:$S$35</c:f>
              <c:numCache>
                <c:formatCode>0</c:formatCode>
                <c:ptCount val="24"/>
                <c:pt idx="0">
                  <c:v>1.4</c:v>
                </c:pt>
                <c:pt idx="1">
                  <c:v>19.799999999999997</c:v>
                </c:pt>
                <c:pt idx="2">
                  <c:v>2.2000000000000002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2.6</c:v>
                </c:pt>
                <c:pt idx="17">
                  <c:v>0.8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2-4B4B-9CD9-FBADE610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'24-11-18'!$I$11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'24-11-18'!$I$12:$I$35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85.515000000000001</c:v>
                </c:pt>
                <c:pt idx="7">
                  <c:v>228.0516666666667</c:v>
                </c:pt>
                <c:pt idx="8">
                  <c:v>318.14500000000004</c:v>
                </c:pt>
                <c:pt idx="9">
                  <c:v>461.55333333333334</c:v>
                </c:pt>
                <c:pt idx="10">
                  <c:v>394.53166666666669</c:v>
                </c:pt>
                <c:pt idx="11">
                  <c:v>652.69999999999993</c:v>
                </c:pt>
                <c:pt idx="12">
                  <c:v>331.34666666666664</c:v>
                </c:pt>
                <c:pt idx="13">
                  <c:v>306.56833333333333</c:v>
                </c:pt>
                <c:pt idx="14">
                  <c:v>273.58833333333337</c:v>
                </c:pt>
                <c:pt idx="15">
                  <c:v>241.1816666666667</c:v>
                </c:pt>
                <c:pt idx="16">
                  <c:v>83.551666666666677</c:v>
                </c:pt>
                <c:pt idx="17">
                  <c:v>66.070000000000007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9-4230-8D98-B503BA317C88}"/>
            </c:ext>
          </c:extLst>
        </c:ser>
        <c:ser>
          <c:idx val="1"/>
          <c:order val="1"/>
          <c:tx>
            <c:strRef>
              <c:f>'24-11-18'!$Q$11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'24-11-18'!$Q$12:$Q$35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37.366666666666667</c:v>
                </c:pt>
                <c:pt idx="7">
                  <c:v>169.71666666666667</c:v>
                </c:pt>
                <c:pt idx="8">
                  <c:v>269.48333333333335</c:v>
                </c:pt>
                <c:pt idx="9">
                  <c:v>424.88333333333338</c:v>
                </c:pt>
                <c:pt idx="10">
                  <c:v>328.03333333333336</c:v>
                </c:pt>
                <c:pt idx="11">
                  <c:v>625.69999999999993</c:v>
                </c:pt>
                <c:pt idx="12">
                  <c:v>289.85000000000002</c:v>
                </c:pt>
                <c:pt idx="13">
                  <c:v>266.75</c:v>
                </c:pt>
                <c:pt idx="14">
                  <c:v>228.75</c:v>
                </c:pt>
                <c:pt idx="15">
                  <c:v>191.85</c:v>
                </c:pt>
                <c:pt idx="16">
                  <c:v>48.900000000000006</c:v>
                </c:pt>
                <c:pt idx="17">
                  <c:v>26.25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9-4230-8D98-B503BA317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'25-05-22'!$D$12:$D$35</c:f>
              <c:numCache>
                <c:formatCode>0</c:formatCode>
                <c:ptCount val="24"/>
                <c:pt idx="0">
                  <c:v>14.963333333333333</c:v>
                </c:pt>
                <c:pt idx="1">
                  <c:v>14.69</c:v>
                </c:pt>
                <c:pt idx="2">
                  <c:v>14.421666666666667</c:v>
                </c:pt>
                <c:pt idx="3">
                  <c:v>14.008333333333333</c:v>
                </c:pt>
                <c:pt idx="4">
                  <c:v>13.538333333333332</c:v>
                </c:pt>
                <c:pt idx="5">
                  <c:v>13.21</c:v>
                </c:pt>
                <c:pt idx="6">
                  <c:v>13.541666666666666</c:v>
                </c:pt>
                <c:pt idx="7">
                  <c:v>16.016666666666666</c:v>
                </c:pt>
                <c:pt idx="8">
                  <c:v>16.836666666666666</c:v>
                </c:pt>
                <c:pt idx="9">
                  <c:v>17.594999999999999</c:v>
                </c:pt>
                <c:pt idx="10">
                  <c:v>18.09</c:v>
                </c:pt>
                <c:pt idx="11">
                  <c:v>18.84</c:v>
                </c:pt>
                <c:pt idx="12">
                  <c:v>19.41</c:v>
                </c:pt>
                <c:pt idx="13">
                  <c:v>18.416666666666668</c:v>
                </c:pt>
                <c:pt idx="14">
                  <c:v>19.454999999999998</c:v>
                </c:pt>
                <c:pt idx="15">
                  <c:v>18.951666666666664</c:v>
                </c:pt>
                <c:pt idx="16">
                  <c:v>18.38</c:v>
                </c:pt>
                <c:pt idx="17">
                  <c:v>17.591666666666669</c:v>
                </c:pt>
                <c:pt idx="18">
                  <c:v>16.698333333333334</c:v>
                </c:pt>
                <c:pt idx="19">
                  <c:v>16.058333333333334</c:v>
                </c:pt>
                <c:pt idx="20">
                  <c:v>15.64</c:v>
                </c:pt>
                <c:pt idx="21">
                  <c:v>15.458333333333334</c:v>
                </c:pt>
                <c:pt idx="22">
                  <c:v>15.321666666666665</c:v>
                </c:pt>
                <c:pt idx="23">
                  <c:v>14.603333333333333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9-4A37-9F76-5E81D552AEAF}"/>
            </c:ext>
          </c:extLst>
        </c:ser>
        <c:ser>
          <c:idx val="1"/>
          <c:order val="1"/>
          <c:tx>
            <c:strRef>
              <c:f>'25-05-22'!$L$11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'25-05-22'!$L$12:$L$35</c:f>
              <c:numCache>
                <c:formatCode>0</c:formatCode>
                <c:ptCount val="24"/>
                <c:pt idx="0">
                  <c:v>15.283333333333333</c:v>
                </c:pt>
                <c:pt idx="1">
                  <c:v>15.000000000000002</c:v>
                </c:pt>
                <c:pt idx="2">
                  <c:v>14.716666666666667</c:v>
                </c:pt>
                <c:pt idx="3">
                  <c:v>14.316666666666665</c:v>
                </c:pt>
                <c:pt idx="4">
                  <c:v>13.816666666666668</c:v>
                </c:pt>
                <c:pt idx="5">
                  <c:v>13.483333333333333</c:v>
                </c:pt>
                <c:pt idx="6">
                  <c:v>13.816666666666668</c:v>
                </c:pt>
                <c:pt idx="7">
                  <c:v>16.350000000000001</c:v>
                </c:pt>
                <c:pt idx="8">
                  <c:v>17.183333333333337</c:v>
                </c:pt>
                <c:pt idx="9">
                  <c:v>17.983333333333334</c:v>
                </c:pt>
                <c:pt idx="10">
                  <c:v>18.466666666666665</c:v>
                </c:pt>
                <c:pt idx="11">
                  <c:v>19.233333333333334</c:v>
                </c:pt>
                <c:pt idx="12">
                  <c:v>19.816666666666666</c:v>
                </c:pt>
                <c:pt idx="13">
                  <c:v>18.8</c:v>
                </c:pt>
                <c:pt idx="14">
                  <c:v>19.849999999999998</c:v>
                </c:pt>
                <c:pt idx="15">
                  <c:v>19.349999999999998</c:v>
                </c:pt>
                <c:pt idx="16">
                  <c:v>18.75</c:v>
                </c:pt>
                <c:pt idx="17">
                  <c:v>17.933333333333334</c:v>
                </c:pt>
                <c:pt idx="18">
                  <c:v>17.066666666666666</c:v>
                </c:pt>
                <c:pt idx="19">
                  <c:v>16.366666666666667</c:v>
                </c:pt>
                <c:pt idx="20">
                  <c:v>15.966666666666667</c:v>
                </c:pt>
                <c:pt idx="21">
                  <c:v>15.783333333333331</c:v>
                </c:pt>
                <c:pt idx="22">
                  <c:v>15.65</c:v>
                </c:pt>
                <c:pt idx="23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9-4A37-9F76-5E81D552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'25-05-22'!$E$12:$E$35</c:f>
              <c:numCache>
                <c:formatCode>0</c:formatCode>
                <c:ptCount val="24"/>
                <c:pt idx="0">
                  <c:v>83.063333333333333</c:v>
                </c:pt>
                <c:pt idx="1">
                  <c:v>83.046666666666667</c:v>
                </c:pt>
                <c:pt idx="2">
                  <c:v>83.773333333333326</c:v>
                </c:pt>
                <c:pt idx="3">
                  <c:v>84.419999999999987</c:v>
                </c:pt>
                <c:pt idx="4">
                  <c:v>85.221666666666678</c:v>
                </c:pt>
                <c:pt idx="5">
                  <c:v>86.328333333333333</c:v>
                </c:pt>
                <c:pt idx="6">
                  <c:v>86.00333333333333</c:v>
                </c:pt>
                <c:pt idx="7">
                  <c:v>75.125</c:v>
                </c:pt>
                <c:pt idx="8">
                  <c:v>70.7</c:v>
                </c:pt>
                <c:pt idx="9">
                  <c:v>66.908333333333317</c:v>
                </c:pt>
                <c:pt idx="10">
                  <c:v>65.458333333333329</c:v>
                </c:pt>
                <c:pt idx="11">
                  <c:v>63.49666666666667</c:v>
                </c:pt>
                <c:pt idx="12">
                  <c:v>61.681666666666672</c:v>
                </c:pt>
                <c:pt idx="13">
                  <c:v>68.510000000000005</c:v>
                </c:pt>
                <c:pt idx="14">
                  <c:v>63.21</c:v>
                </c:pt>
                <c:pt idx="15">
                  <c:v>63.82</c:v>
                </c:pt>
                <c:pt idx="16">
                  <c:v>64.886666666666656</c:v>
                </c:pt>
                <c:pt idx="17">
                  <c:v>68.798333333333332</c:v>
                </c:pt>
                <c:pt idx="18">
                  <c:v>72.62833333333333</c:v>
                </c:pt>
                <c:pt idx="19">
                  <c:v>76.98</c:v>
                </c:pt>
                <c:pt idx="20">
                  <c:v>79.043333333333337</c:v>
                </c:pt>
                <c:pt idx="21">
                  <c:v>80.071666666666673</c:v>
                </c:pt>
                <c:pt idx="22">
                  <c:v>83.654999999999987</c:v>
                </c:pt>
                <c:pt idx="23">
                  <c:v>89.206666666666663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82E-AC9C-51F31FCC6334}"/>
            </c:ext>
          </c:extLst>
        </c:ser>
        <c:ser>
          <c:idx val="1"/>
          <c:order val="1"/>
          <c:tx>
            <c:strRef>
              <c:f>'25-05-22'!$M$11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'25-05-22'!$M$12:$M$35</c:f>
              <c:numCache>
                <c:formatCode>0</c:formatCode>
                <c:ptCount val="24"/>
                <c:pt idx="0">
                  <c:v>80.649999999999991</c:v>
                </c:pt>
                <c:pt idx="1">
                  <c:v>80.633333333333326</c:v>
                </c:pt>
                <c:pt idx="2">
                  <c:v>81.333333333333329</c:v>
                </c:pt>
                <c:pt idx="3">
                  <c:v>81.966666666666669</c:v>
                </c:pt>
                <c:pt idx="4">
                  <c:v>82.75</c:v>
                </c:pt>
                <c:pt idx="5">
                  <c:v>83.8</c:v>
                </c:pt>
                <c:pt idx="6">
                  <c:v>83.483333333333334</c:v>
                </c:pt>
                <c:pt idx="7">
                  <c:v>72.933333333333351</c:v>
                </c:pt>
                <c:pt idx="8">
                  <c:v>68.649999999999991</c:v>
                </c:pt>
                <c:pt idx="9">
                  <c:v>64.983333333333334</c:v>
                </c:pt>
                <c:pt idx="10">
                  <c:v>63.566666666666663</c:v>
                </c:pt>
                <c:pt idx="11">
                  <c:v>61.650000000000006</c:v>
                </c:pt>
                <c:pt idx="12">
                  <c:v>59.900000000000006</c:v>
                </c:pt>
                <c:pt idx="13">
                  <c:v>66.516666666666666</c:v>
                </c:pt>
                <c:pt idx="14">
                  <c:v>61.366666666666667</c:v>
                </c:pt>
                <c:pt idx="15">
                  <c:v>61.966666666666669</c:v>
                </c:pt>
                <c:pt idx="16">
                  <c:v>63</c:v>
                </c:pt>
                <c:pt idx="17">
                  <c:v>66.8</c:v>
                </c:pt>
                <c:pt idx="18">
                  <c:v>70.516666666666666</c:v>
                </c:pt>
                <c:pt idx="19">
                  <c:v>74.75</c:v>
                </c:pt>
                <c:pt idx="20">
                  <c:v>76.733333333333334</c:v>
                </c:pt>
                <c:pt idx="21">
                  <c:v>77.733333333333334</c:v>
                </c:pt>
                <c:pt idx="22">
                  <c:v>81.216666666666669</c:v>
                </c:pt>
                <c:pt idx="23">
                  <c:v>86.616666666666674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5-482E-AC9C-51F31FCC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'25-05-22'!$G$12:$G$35</c:f>
              <c:numCache>
                <c:formatCode>0</c:formatCode>
                <c:ptCount val="24"/>
                <c:pt idx="0">
                  <c:v>45</c:v>
                </c:pt>
                <c:pt idx="1">
                  <c:v>90</c:v>
                </c:pt>
                <c:pt idx="2">
                  <c:v>67.5</c:v>
                </c:pt>
                <c:pt idx="3">
                  <c:v>67.5</c:v>
                </c:pt>
                <c:pt idx="4">
                  <c:v>22.5</c:v>
                </c:pt>
                <c:pt idx="5">
                  <c:v>45</c:v>
                </c:pt>
                <c:pt idx="6">
                  <c:v>22.5</c:v>
                </c:pt>
                <c:pt idx="7">
                  <c:v>45</c:v>
                </c:pt>
                <c:pt idx="8">
                  <c:v>67.5</c:v>
                </c:pt>
                <c:pt idx="9">
                  <c:v>90</c:v>
                </c:pt>
                <c:pt idx="10">
                  <c:v>135</c:v>
                </c:pt>
                <c:pt idx="11">
                  <c:v>112.5</c:v>
                </c:pt>
                <c:pt idx="12">
                  <c:v>135</c:v>
                </c:pt>
                <c:pt idx="13">
                  <c:v>112.5</c:v>
                </c:pt>
                <c:pt idx="14">
                  <c:v>112.5</c:v>
                </c:pt>
                <c:pt idx="15">
                  <c:v>157.5</c:v>
                </c:pt>
                <c:pt idx="16">
                  <c:v>135</c:v>
                </c:pt>
                <c:pt idx="17">
                  <c:v>135</c:v>
                </c:pt>
                <c:pt idx="18">
                  <c:v>90</c:v>
                </c:pt>
                <c:pt idx="19">
                  <c:v>90</c:v>
                </c:pt>
                <c:pt idx="20">
                  <c:v>22.5</c:v>
                </c:pt>
                <c:pt idx="21">
                  <c:v>67.5</c:v>
                </c:pt>
                <c:pt idx="22">
                  <c:v>22.5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8-4E57-91AB-C4716016F527}"/>
            </c:ext>
          </c:extLst>
        </c:ser>
        <c:ser>
          <c:idx val="1"/>
          <c:order val="1"/>
          <c:tx>
            <c:strRef>
              <c:f>'25-05-22'!$O$11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'25-05-22'!$O$12:$O$35</c:f>
              <c:numCache>
                <c:formatCode>0</c:formatCode>
                <c:ptCount val="24"/>
                <c:pt idx="0">
                  <c:v>22.5</c:v>
                </c:pt>
                <c:pt idx="1">
                  <c:v>90</c:v>
                </c:pt>
                <c:pt idx="2">
                  <c:v>67.5</c:v>
                </c:pt>
                <c:pt idx="3">
                  <c:v>67.5</c:v>
                </c:pt>
                <c:pt idx="4">
                  <c:v>22.5</c:v>
                </c:pt>
                <c:pt idx="5">
                  <c:v>45</c:v>
                </c:pt>
                <c:pt idx="6">
                  <c:v>22.5</c:v>
                </c:pt>
                <c:pt idx="7">
                  <c:v>45</c:v>
                </c:pt>
                <c:pt idx="8">
                  <c:v>67.5</c:v>
                </c:pt>
                <c:pt idx="9">
                  <c:v>90</c:v>
                </c:pt>
                <c:pt idx="10">
                  <c:v>135</c:v>
                </c:pt>
                <c:pt idx="11">
                  <c:v>112.5</c:v>
                </c:pt>
                <c:pt idx="12">
                  <c:v>135</c:v>
                </c:pt>
                <c:pt idx="13">
                  <c:v>112.5</c:v>
                </c:pt>
                <c:pt idx="14">
                  <c:v>112.5</c:v>
                </c:pt>
                <c:pt idx="15">
                  <c:v>135</c:v>
                </c:pt>
                <c:pt idx="16">
                  <c:v>112.5</c:v>
                </c:pt>
                <c:pt idx="17">
                  <c:v>135</c:v>
                </c:pt>
                <c:pt idx="18">
                  <c:v>90</c:v>
                </c:pt>
                <c:pt idx="19">
                  <c:v>67.5</c:v>
                </c:pt>
                <c:pt idx="20">
                  <c:v>22.5</c:v>
                </c:pt>
                <c:pt idx="21">
                  <c:v>67.5</c:v>
                </c:pt>
                <c:pt idx="22">
                  <c:v>22.5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8-4E57-91AB-C4716016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'25-05-22'!$H$12:$H$35</c:f>
              <c:numCache>
                <c:formatCode>0</c:formatCode>
                <c:ptCount val="24"/>
                <c:pt idx="0">
                  <c:v>1.21</c:v>
                </c:pt>
                <c:pt idx="1">
                  <c:v>0.88333333333333341</c:v>
                </c:pt>
                <c:pt idx="2">
                  <c:v>0.84333333333333327</c:v>
                </c:pt>
                <c:pt idx="3">
                  <c:v>0.45833333333333331</c:v>
                </c:pt>
                <c:pt idx="4">
                  <c:v>0.3116666666666667</c:v>
                </c:pt>
                <c:pt idx="5">
                  <c:v>1.2350000000000001</c:v>
                </c:pt>
                <c:pt idx="6">
                  <c:v>1.2466666666666668</c:v>
                </c:pt>
                <c:pt idx="7">
                  <c:v>1.9766666666666668</c:v>
                </c:pt>
                <c:pt idx="8">
                  <c:v>1.8099999999999998</c:v>
                </c:pt>
                <c:pt idx="9">
                  <c:v>2.6533333333333329</c:v>
                </c:pt>
                <c:pt idx="10">
                  <c:v>2.0116666666666667</c:v>
                </c:pt>
                <c:pt idx="11">
                  <c:v>2.5766666666666667</c:v>
                </c:pt>
                <c:pt idx="12">
                  <c:v>2.0083333333333333</c:v>
                </c:pt>
                <c:pt idx="13">
                  <c:v>2.1383333333333336</c:v>
                </c:pt>
                <c:pt idx="14">
                  <c:v>1.8800000000000001</c:v>
                </c:pt>
                <c:pt idx="15">
                  <c:v>2.7100000000000004</c:v>
                </c:pt>
                <c:pt idx="16">
                  <c:v>2.1166666666666667</c:v>
                </c:pt>
                <c:pt idx="17">
                  <c:v>2.0150000000000001</c:v>
                </c:pt>
                <c:pt idx="18">
                  <c:v>1.3183333333333334</c:v>
                </c:pt>
                <c:pt idx="19">
                  <c:v>0.53833333333333344</c:v>
                </c:pt>
                <c:pt idx="20">
                  <c:v>1.2499999999999998</c:v>
                </c:pt>
                <c:pt idx="21">
                  <c:v>0.64166666666666672</c:v>
                </c:pt>
                <c:pt idx="22">
                  <c:v>0.54166666666666674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3-48E9-9206-A949D4B975E9}"/>
            </c:ext>
          </c:extLst>
        </c:ser>
        <c:ser>
          <c:idx val="1"/>
          <c:order val="1"/>
          <c:tx>
            <c:strRef>
              <c:f>'25-05-22'!$P$11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'25-05-22'!$P$12:$P$35</c:f>
              <c:numCache>
                <c:formatCode>0</c:formatCode>
                <c:ptCount val="24"/>
                <c:pt idx="0">
                  <c:v>0.21666666666666667</c:v>
                </c:pt>
                <c:pt idx="1">
                  <c:v>0.23333333333333336</c:v>
                </c:pt>
                <c:pt idx="2">
                  <c:v>0.16666666666666666</c:v>
                </c:pt>
                <c:pt idx="3">
                  <c:v>0.13333333333333333</c:v>
                </c:pt>
                <c:pt idx="4">
                  <c:v>0.31666666666666665</c:v>
                </c:pt>
                <c:pt idx="5">
                  <c:v>0.58333333333333337</c:v>
                </c:pt>
                <c:pt idx="6">
                  <c:v>0.75</c:v>
                </c:pt>
                <c:pt idx="7">
                  <c:v>1.4666666666666668</c:v>
                </c:pt>
                <c:pt idx="8">
                  <c:v>1.6333333333333331</c:v>
                </c:pt>
                <c:pt idx="9">
                  <c:v>1.8499999999999999</c:v>
                </c:pt>
                <c:pt idx="10">
                  <c:v>1.6833333333333333</c:v>
                </c:pt>
                <c:pt idx="11">
                  <c:v>1.9000000000000001</c:v>
                </c:pt>
                <c:pt idx="12">
                  <c:v>1.5</c:v>
                </c:pt>
                <c:pt idx="13">
                  <c:v>1.6499999999999997</c:v>
                </c:pt>
                <c:pt idx="14">
                  <c:v>1.7</c:v>
                </c:pt>
                <c:pt idx="15">
                  <c:v>2.2166666666666663</c:v>
                </c:pt>
                <c:pt idx="16">
                  <c:v>1.7833333333333332</c:v>
                </c:pt>
                <c:pt idx="17">
                  <c:v>1.8166666666666667</c:v>
                </c:pt>
                <c:pt idx="18">
                  <c:v>0.65</c:v>
                </c:pt>
                <c:pt idx="19">
                  <c:v>0.3833333333333333</c:v>
                </c:pt>
                <c:pt idx="20">
                  <c:v>0.76666666666666661</c:v>
                </c:pt>
                <c:pt idx="21">
                  <c:v>0.65</c:v>
                </c:pt>
                <c:pt idx="22">
                  <c:v>0.3833333333333333</c:v>
                </c:pt>
                <c:pt idx="23">
                  <c:v>0.3666666666666667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3-48E9-9206-A949D4B9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9E-BC70-22DD699CEB22}"/>
            </c:ext>
          </c:extLst>
        </c:ser>
        <c:ser>
          <c:idx val="1"/>
          <c:order val="1"/>
          <c:tx>
            <c:strRef>
              <c:f>'25-05-22'!$R$11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C-459E-BC70-22DD699C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'25-05-22'!$F$12:$F$35</c:f>
              <c:numCache>
                <c:formatCode>0</c:formatCode>
                <c:ptCount val="24"/>
                <c:pt idx="0">
                  <c:v>569.25666666666666</c:v>
                </c:pt>
                <c:pt idx="1">
                  <c:v>568.80166666666673</c:v>
                </c:pt>
                <c:pt idx="2">
                  <c:v>568.36333333333334</c:v>
                </c:pt>
                <c:pt idx="3">
                  <c:v>567.98666666666657</c:v>
                </c:pt>
                <c:pt idx="4">
                  <c:v>568.63833333333332</c:v>
                </c:pt>
                <c:pt idx="5">
                  <c:v>568.745</c:v>
                </c:pt>
                <c:pt idx="6">
                  <c:v>569.01833333333332</c:v>
                </c:pt>
                <c:pt idx="7">
                  <c:v>569.58166666666659</c:v>
                </c:pt>
                <c:pt idx="8">
                  <c:v>569.7166666666667</c:v>
                </c:pt>
                <c:pt idx="9">
                  <c:v>569.75333333333333</c:v>
                </c:pt>
                <c:pt idx="10">
                  <c:v>569.58833333333337</c:v>
                </c:pt>
                <c:pt idx="11">
                  <c:v>568.95499999999993</c:v>
                </c:pt>
                <c:pt idx="12">
                  <c:v>568.505</c:v>
                </c:pt>
                <c:pt idx="13">
                  <c:v>567.24999999999989</c:v>
                </c:pt>
                <c:pt idx="14">
                  <c:v>566.42666666666673</c:v>
                </c:pt>
                <c:pt idx="15">
                  <c:v>565.92333333333329</c:v>
                </c:pt>
                <c:pt idx="16">
                  <c:v>566.12499999999989</c:v>
                </c:pt>
                <c:pt idx="17">
                  <c:v>566.63</c:v>
                </c:pt>
                <c:pt idx="18">
                  <c:v>566.65333333333331</c:v>
                </c:pt>
                <c:pt idx="19">
                  <c:v>567.50000000000011</c:v>
                </c:pt>
                <c:pt idx="20">
                  <c:v>568.4083333333333</c:v>
                </c:pt>
                <c:pt idx="21">
                  <c:v>569.38000000000011</c:v>
                </c:pt>
                <c:pt idx="22">
                  <c:v>569.69999999999993</c:v>
                </c:pt>
                <c:pt idx="23">
                  <c:v>569.35333333333335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9-469D-AA9A-3212E053CF6F}"/>
            </c:ext>
          </c:extLst>
        </c:ser>
        <c:ser>
          <c:idx val="1"/>
          <c:order val="1"/>
          <c:tx>
            <c:strRef>
              <c:f>'25-05-22'!$N$11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'25-05-22'!$N$12:$N$35</c:f>
              <c:numCache>
                <c:formatCode>0</c:formatCode>
                <c:ptCount val="24"/>
                <c:pt idx="0">
                  <c:v>568.76666666666665</c:v>
                </c:pt>
                <c:pt idx="1">
                  <c:v>568.48333333333346</c:v>
                </c:pt>
                <c:pt idx="2">
                  <c:v>568.05000000000007</c:v>
                </c:pt>
                <c:pt idx="3">
                  <c:v>567.83333333333326</c:v>
                </c:pt>
                <c:pt idx="4">
                  <c:v>567.96666666666658</c:v>
                </c:pt>
                <c:pt idx="5">
                  <c:v>568.26666666666665</c:v>
                </c:pt>
                <c:pt idx="6">
                  <c:v>568.68333333333328</c:v>
                </c:pt>
                <c:pt idx="7">
                  <c:v>569.25</c:v>
                </c:pt>
                <c:pt idx="8">
                  <c:v>569.56666666666672</c:v>
                </c:pt>
                <c:pt idx="9">
                  <c:v>569.43333333333328</c:v>
                </c:pt>
                <c:pt idx="10">
                  <c:v>569.28333333333319</c:v>
                </c:pt>
                <c:pt idx="11">
                  <c:v>568.7833333333333</c:v>
                </c:pt>
                <c:pt idx="12">
                  <c:v>567.83333333333337</c:v>
                </c:pt>
                <c:pt idx="13">
                  <c:v>566.91666666666674</c:v>
                </c:pt>
                <c:pt idx="14">
                  <c:v>565.75</c:v>
                </c:pt>
                <c:pt idx="15">
                  <c:v>565.23333333333323</c:v>
                </c:pt>
                <c:pt idx="16">
                  <c:v>565.30000000000007</c:v>
                </c:pt>
                <c:pt idx="17">
                  <c:v>565.80000000000007</c:v>
                </c:pt>
                <c:pt idx="18">
                  <c:v>566.33333333333337</c:v>
                </c:pt>
                <c:pt idx="19">
                  <c:v>566.83333333333337</c:v>
                </c:pt>
                <c:pt idx="20">
                  <c:v>567.9</c:v>
                </c:pt>
                <c:pt idx="21">
                  <c:v>568.71666666666658</c:v>
                </c:pt>
                <c:pt idx="22">
                  <c:v>569.05000000000007</c:v>
                </c:pt>
                <c:pt idx="23">
                  <c:v>568.7166666666667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9-469D-AA9A-3212E053C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3-4D96-A137-FEF71B45FA17}"/>
            </c:ext>
          </c:extLst>
        </c:ser>
        <c:ser>
          <c:idx val="1"/>
          <c:order val="1"/>
          <c:tx>
            <c:strRef>
              <c:f>'25-05-22'!$S$11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'25-05-22'!$S$12:$S$35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3-4D96-A137-FEF71B45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'25-05-22'!$I$11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'25-05-22'!$I$12:$I$35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88.179999999999993</c:v>
                </c:pt>
                <c:pt idx="7">
                  <c:v>187.99666666666667</c:v>
                </c:pt>
                <c:pt idx="8">
                  <c:v>280.92166666666668</c:v>
                </c:pt>
                <c:pt idx="9">
                  <c:v>266.92333333333335</c:v>
                </c:pt>
                <c:pt idx="10">
                  <c:v>260.18166666666667</c:v>
                </c:pt>
                <c:pt idx="11">
                  <c:v>360.47833333333341</c:v>
                </c:pt>
                <c:pt idx="12">
                  <c:v>269.60666666666668</c:v>
                </c:pt>
                <c:pt idx="13">
                  <c:v>227.92333333333332</c:v>
                </c:pt>
                <c:pt idx="14">
                  <c:v>308.755</c:v>
                </c:pt>
                <c:pt idx="15">
                  <c:v>186.86500000000001</c:v>
                </c:pt>
                <c:pt idx="16">
                  <c:v>129.94000000000003</c:v>
                </c:pt>
                <c:pt idx="17">
                  <c:v>81.921666666666667</c:v>
                </c:pt>
                <c:pt idx="18">
                  <c:v>12.166666666666666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B79-93ED-11AC3FAAE5DC}"/>
            </c:ext>
          </c:extLst>
        </c:ser>
        <c:ser>
          <c:idx val="1"/>
          <c:order val="1"/>
          <c:tx>
            <c:strRef>
              <c:f>'25-05-22'!$Q$11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'25-05-22'!$Q$12:$Q$35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34.516666666666666</c:v>
                </c:pt>
                <c:pt idx="7">
                  <c:v>145.13333333333335</c:v>
                </c:pt>
                <c:pt idx="8">
                  <c:v>222.9</c:v>
                </c:pt>
                <c:pt idx="9">
                  <c:v>210.08333333333334</c:v>
                </c:pt>
                <c:pt idx="10">
                  <c:v>239.66666666666666</c:v>
                </c:pt>
                <c:pt idx="11">
                  <c:v>321.3</c:v>
                </c:pt>
                <c:pt idx="12">
                  <c:v>231.10000000000002</c:v>
                </c:pt>
                <c:pt idx="13">
                  <c:v>173.58333333333334</c:v>
                </c:pt>
                <c:pt idx="14">
                  <c:v>247.24999999999997</c:v>
                </c:pt>
                <c:pt idx="15">
                  <c:v>139.88333333333333</c:v>
                </c:pt>
                <c:pt idx="16">
                  <c:v>103.95</c:v>
                </c:pt>
                <c:pt idx="17">
                  <c:v>40.599999999999994</c:v>
                </c:pt>
                <c:pt idx="18">
                  <c:v>1.1666666666666667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3-4B79-93ED-11AC3FAA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image" Target="../media/image4.png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6" Type="http://schemas.openxmlformats.org/officeDocument/2006/relationships/chart" Target="../charts/chart21.xml"/><Relationship Id="rId11" Type="http://schemas.openxmlformats.org/officeDocument/2006/relationships/image" Target="../media/image3.png"/><Relationship Id="rId5" Type="http://schemas.openxmlformats.org/officeDocument/2006/relationships/chart" Target="../charts/chart20.xml"/><Relationship Id="rId10" Type="http://schemas.openxmlformats.org/officeDocument/2006/relationships/image" Target="../media/image2.jpeg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12" Type="http://schemas.openxmlformats.org/officeDocument/2006/relationships/image" Target="../media/image4.png"/><Relationship Id="rId2" Type="http://schemas.openxmlformats.org/officeDocument/2006/relationships/chart" Target="../charts/chart25.xml"/><Relationship Id="rId1" Type="http://schemas.openxmlformats.org/officeDocument/2006/relationships/image" Target="../media/image1.png"/><Relationship Id="rId6" Type="http://schemas.openxmlformats.org/officeDocument/2006/relationships/chart" Target="../charts/chart29.xml"/><Relationship Id="rId11" Type="http://schemas.openxmlformats.org/officeDocument/2006/relationships/image" Target="../media/image3.png"/><Relationship Id="rId5" Type="http://schemas.openxmlformats.org/officeDocument/2006/relationships/chart" Target="../charts/chart28.xml"/><Relationship Id="rId10" Type="http://schemas.openxmlformats.org/officeDocument/2006/relationships/image" Target="../media/image2.jpeg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image" Target="../media/image4.png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3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image" Target="../media/image2.jpeg"/><Relationship Id="rId5" Type="http://schemas.openxmlformats.org/officeDocument/2006/relationships/chart" Target="../charts/chart37.xml"/><Relationship Id="rId10" Type="http://schemas.openxmlformats.org/officeDocument/2006/relationships/image" Target="../media/image6.svg"/><Relationship Id="rId4" Type="http://schemas.openxmlformats.org/officeDocument/2006/relationships/chart" Target="../charts/chart36.xml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image" Target="../media/image3.png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image" Target="../media/image4.pn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image" Target="../media/image2.jpeg"/><Relationship Id="rId5" Type="http://schemas.openxmlformats.org/officeDocument/2006/relationships/chart" Target="../charts/chart45.xml"/><Relationship Id="rId10" Type="http://schemas.openxmlformats.org/officeDocument/2006/relationships/image" Target="../media/image6.svg"/><Relationship Id="rId4" Type="http://schemas.openxmlformats.org/officeDocument/2006/relationships/chart" Target="../charts/chart4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9C1F4D0-C731-440E-9EE1-FDBC1779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8750C6-5BD3-4DF5-B223-2516BAF82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430E2C-EB16-45F5-ACB1-10431098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5354B5-D90E-4F0E-B853-F6ECC365B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A056A-06F5-47E4-823D-836C28FD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45E8B4-B8AC-4FBC-ADBE-8B0504495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B7FFC3D-56AD-408C-A687-8829DBBD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B70234-38BD-422B-A887-A8783456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9C46B1-C1B2-4170-BAF1-43877B3EA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AF05CCC-D6BC-46F5-80CD-FD19E0CA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8CBA5-F6CF-4A2D-97B9-5974C8A8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2BB3BF-F025-424F-BCEF-04CFF544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4D667A-A52E-48E1-AD3F-1549763F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13D0824-A054-4395-84AC-930A8E7A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3B0ECB-966B-4CF3-A7B7-F3FDB9D5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A9FE7C-6080-4C60-AAF1-A7BD8EF90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DB10B8B-6408-4DA2-8151-6F8713A7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27A9141-7F04-4D65-A494-AD034A9EE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26B4574-6283-469A-93FD-2451E94E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33D038-8938-4738-9827-47CE4B5C5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E8F815-D432-460D-9840-EFB5F3D1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E29669-B493-4E27-AAF1-6B54E3B5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D1049-39BF-4E9E-82EC-D408F831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629A76-32BF-4AF8-A78F-26B15A94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D4F610-3FA9-40A9-87BA-5EC638DC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215C448-54DA-44DF-B912-3E57B3C5A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86FDFFC-6771-451B-8214-0C239C16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38100</xdr:colOff>
      <xdr:row>5</xdr:row>
      <xdr:rowOff>9525</xdr:rowOff>
    </xdr:from>
    <xdr:to>
      <xdr:col>10</xdr:col>
      <xdr:colOff>307658</xdr:colOff>
      <xdr:row>5</xdr:row>
      <xdr:rowOff>351990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DD997EB-5648-4A07-AE48-BA3A01955AD5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007745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255123</xdr:colOff>
      <xdr:row>6</xdr:row>
      <xdr:rowOff>36723</xdr:rowOff>
    </xdr:from>
    <xdr:to>
      <xdr:col>10</xdr:col>
      <xdr:colOff>292881</xdr:colOff>
      <xdr:row>6</xdr:row>
      <xdr:rowOff>379623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244CD6-0A55-4920-96CB-E295A9FDB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98304" y="1569904"/>
          <a:ext cx="63450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257060</xdr:colOff>
      <xdr:row>7</xdr:row>
      <xdr:rowOff>54658</xdr:rowOff>
    </xdr:from>
    <xdr:to>
      <xdr:col>10</xdr:col>
      <xdr:colOff>506252</xdr:colOff>
      <xdr:row>7</xdr:row>
      <xdr:rowOff>328978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76B8C35-1EA8-4379-B394-837E83912EBA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5003494" y="2010152"/>
          <a:ext cx="1442686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307D7EA3-4120-4C03-9787-F3626E8C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614" y="47922"/>
          <a:ext cx="874841" cy="832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1B3AB4-182E-45A2-907E-9C11EA030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F5535F-F48F-4C64-9CBF-27B50069D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D2A3C0-6C85-4E30-9CCD-0DD3961B0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47DB950-0522-44AE-90C8-58AEA465A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F4B9D5A-56E9-418E-B7B0-B252C2B1C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A5C56C1-1816-4AD8-9319-859784D0C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BB39507-2166-4B18-8753-CA54E0AFF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E45C89A-DFC1-4670-AC00-82467C9F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38100</xdr:colOff>
      <xdr:row>5</xdr:row>
      <xdr:rowOff>9525</xdr:rowOff>
    </xdr:from>
    <xdr:to>
      <xdr:col>10</xdr:col>
      <xdr:colOff>307658</xdr:colOff>
      <xdr:row>5</xdr:row>
      <xdr:rowOff>351990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68ACF1-4E3D-4008-859C-3A1784DF8D72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007745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221748</xdr:colOff>
      <xdr:row>6</xdr:row>
      <xdr:rowOff>71437</xdr:rowOff>
    </xdr:from>
    <xdr:to>
      <xdr:col>10</xdr:col>
      <xdr:colOff>260940</xdr:colOff>
      <xdr:row>6</xdr:row>
      <xdr:rowOff>414337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4CD6007-D28C-4DA0-A491-48408CE3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55748" y="1611312"/>
          <a:ext cx="63450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222250</xdr:colOff>
      <xdr:row>7</xdr:row>
      <xdr:rowOff>83060</xdr:rowOff>
    </xdr:from>
    <xdr:to>
      <xdr:col>10</xdr:col>
      <xdr:colOff>474311</xdr:colOff>
      <xdr:row>7</xdr:row>
      <xdr:rowOff>357380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AFF9988-493E-4C49-A222-AA016572ED5F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60938" y="2051560"/>
          <a:ext cx="1442686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1BA6D-C6C3-4C67-BC46-7D1E9E462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D9AEBF-0A0D-4E69-A3C6-8EC6A5DC2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057A1-0D18-424C-838D-9F6D78CE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E86B679-0771-42B7-A8FA-1648C3A2D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D60389-81D3-4561-B03B-9249D6085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B74632-D83D-4FF4-82E5-300ED6E71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778F8-94B0-4714-9713-C0E174A3C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0BB899-CC82-4DE6-BA4E-B0945012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FD37EC6C-D1B6-425C-AB0E-22CDE60D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62347" cy="307288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9525</xdr:rowOff>
    </xdr:from>
    <xdr:to>
      <xdr:col>10</xdr:col>
      <xdr:colOff>307658</xdr:colOff>
      <xdr:row>5</xdr:row>
      <xdr:rowOff>351990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8819D08-AAC7-464A-BDF4-25F409F02A31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007745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9</xdr:col>
      <xdr:colOff>278660</xdr:colOff>
      <xdr:row>6</xdr:row>
      <xdr:rowOff>48639</xdr:rowOff>
    </xdr:from>
    <xdr:to>
      <xdr:col>10</xdr:col>
      <xdr:colOff>321399</xdr:colOff>
      <xdr:row>6</xdr:row>
      <xdr:rowOff>391539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B247FD5-26C8-42A5-9B73-B622BC87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88341" y="1467256"/>
          <a:ext cx="63450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275616</xdr:colOff>
      <xdr:row>7</xdr:row>
      <xdr:rowOff>59249</xdr:rowOff>
    </xdr:from>
    <xdr:to>
      <xdr:col>10</xdr:col>
      <xdr:colOff>534770</xdr:colOff>
      <xdr:row>7</xdr:row>
      <xdr:rowOff>333569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0FF477-50C7-46BB-962D-231BB9196DAB}"/>
            </a:ext>
          </a:extLst>
        </xdr:cNvPr>
        <xdr:cNvPicPr/>
      </xdr:nvPicPr>
      <xdr:blipFill>
        <a:blip xmlns:r="http://schemas.openxmlformats.org/officeDocument/2006/relationships" r:embed="rId13">
          <a:lum bright="-4000" contrast="22000"/>
        </a:blip>
        <a:srcRect l="2695" t="17084" r="30188" b="41273"/>
        <a:stretch>
          <a:fillRect/>
        </a:stretch>
      </xdr:blipFill>
      <xdr:spPr>
        <a:xfrm>
          <a:off x="4993531" y="1907504"/>
          <a:ext cx="1442686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C05B76-B6FB-4E08-807F-19BFEFFF1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D134E8-989F-42B1-B6BB-B544427C1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5E17FD-2E43-4809-9DF7-FD12A085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7F04E1-D371-4001-9ACD-93D274F6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15BCFA-81E1-44C7-86C1-D08E9891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531E25-4B5F-40BE-8900-9DECF695E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CA4AD3-9E4E-49A0-985C-DB7419CFA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5A0339-A38A-479B-B200-C37B09A0D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AA2FD73A-E913-4374-BF77-7C2A7465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5472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8EDC8AB-13D2-447C-9ED3-E192D2A64621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1021897"/>
          <a:ext cx="868272" cy="342465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7</xdr:row>
      <xdr:rowOff>60007</xdr:rowOff>
    </xdr:from>
    <xdr:to>
      <xdr:col>10</xdr:col>
      <xdr:colOff>495935</xdr:colOff>
      <xdr:row>7</xdr:row>
      <xdr:rowOff>334327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32C6BC9-04CE-4D84-9D9C-398122DB4985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86020" y="2018347"/>
          <a:ext cx="1430655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253049</xdr:colOff>
      <xdr:row>6</xdr:row>
      <xdr:rowOff>23812</xdr:rowOff>
    </xdr:from>
    <xdr:to>
      <xdr:col>10</xdr:col>
      <xdr:colOff>288840</xdr:colOff>
      <xdr:row>6</xdr:row>
      <xdr:rowOff>366712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05416B8-275E-4590-B547-96C8C307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79429" y="1555432"/>
          <a:ext cx="630151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256954</xdr:colOff>
      <xdr:row>7</xdr:row>
      <xdr:rowOff>39518</xdr:rowOff>
    </xdr:from>
    <xdr:to>
      <xdr:col>10</xdr:col>
      <xdr:colOff>502211</xdr:colOff>
      <xdr:row>7</xdr:row>
      <xdr:rowOff>313838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CFB9C46-833E-4EC3-85A7-3F9E271423EC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88974" y="1997858"/>
          <a:ext cx="1433977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208189</xdr:colOff>
      <xdr:row>5</xdr:row>
      <xdr:rowOff>20411</xdr:rowOff>
    </xdr:from>
    <xdr:to>
      <xdr:col>10</xdr:col>
      <xdr:colOff>477747</xdr:colOff>
      <xdr:row>5</xdr:row>
      <xdr:rowOff>362876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32300F-D53B-4A4E-8F0F-75B6F4F4623B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9314" y="1011011"/>
          <a:ext cx="850583" cy="3424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plusglobal-my.sharepoint.com/C/UST/Lab_Ref_Transp/ID0120_BIOT/Area%20Bioensayos/Manuales/PTE,%20PTO,%20PTG_NUEVA%20PLANTILLA%202010/Plantilla_DatosGeomorfologicos%20(3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rson.bueno\Downloads\FOA802-13%20Formato%20Comprobaci&#243;n%20de%20estaci&#243;n%20meteorol&#243;gica%20V2.xlsx" TargetMode="External"/><Relationship Id="rId1" Type="http://schemas.openxmlformats.org/officeDocument/2006/relationships/externalLinkPath" Target="https://applusglobal-my.sharepoint.com/Users/jerson.bueno/Downloads/FOA802-13%20Formato%20Comprobaci&#243;n%20de%20estaci&#243;n%20meteorol&#243;gic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A802-13_BA171114005"/>
    </sheetNames>
    <sheetDataSet>
      <sheetData sheetId="0">
        <row r="11">
          <cell r="D11" t="str">
            <v>Temp. Out</v>
          </cell>
          <cell r="E11" t="str">
            <v>H. Out</v>
          </cell>
          <cell r="F11" t="str">
            <v>P. Bar</v>
          </cell>
          <cell r="G11" t="str">
            <v>Dir.
Viento</v>
          </cell>
          <cell r="H11" t="str">
            <v>V. Viento</v>
          </cell>
          <cell r="I11" t="str">
            <v>Rad
Solar</v>
          </cell>
          <cell r="J11" t="str">
            <v>Uv
Index</v>
          </cell>
          <cell r="K11" t="str">
            <v>Precipitación</v>
          </cell>
          <cell r="L11" t="str">
            <v>Temp. Out R</v>
          </cell>
          <cell r="M11" t="str">
            <v>H. Out</v>
          </cell>
          <cell r="N11" t="str">
            <v>P. Bar</v>
          </cell>
          <cell r="O11" t="str">
            <v>Dir.
Viento</v>
          </cell>
          <cell r="P11" t="str">
            <v>V. Viento</v>
          </cell>
          <cell r="Q11" t="str">
            <v>Rad
Solar</v>
          </cell>
          <cell r="R11" t="str">
            <v>Uv.
Index</v>
          </cell>
          <cell r="S11" t="str">
            <v>Precipitación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08A3-3DF8-4BB8-8193-FE7157FB568A}">
  <dimension ref="B2:E8"/>
  <sheetViews>
    <sheetView workbookViewId="0">
      <selection activeCell="C9" sqref="C9"/>
    </sheetView>
  </sheetViews>
  <sheetFormatPr baseColWidth="10" defaultColWidth="11.42578125" defaultRowHeight="15"/>
  <cols>
    <col min="2" max="2" width="17" bestFit="1" customWidth="1"/>
    <col min="3" max="3" width="16.28515625" bestFit="1" customWidth="1"/>
    <col min="4" max="4" width="14.28515625" bestFit="1" customWidth="1"/>
    <col min="5" max="5" width="16.7109375" bestFit="1" customWidth="1"/>
  </cols>
  <sheetData>
    <row r="2" spans="2:5">
      <c r="B2" s="77" t="s">
        <v>0</v>
      </c>
      <c r="C2" s="77" t="s">
        <v>1</v>
      </c>
      <c r="D2" s="77" t="s">
        <v>2</v>
      </c>
      <c r="E2" s="77" t="s">
        <v>3</v>
      </c>
    </row>
    <row r="3" spans="2:5" hidden="1">
      <c r="B3" s="66">
        <v>44986</v>
      </c>
      <c r="C3" s="67">
        <v>44988</v>
      </c>
      <c r="D3" s="68" t="s">
        <v>4</v>
      </c>
      <c r="E3" s="69" t="s">
        <v>5</v>
      </c>
    </row>
    <row r="4" spans="2:5" hidden="1">
      <c r="B4" s="70">
        <v>45170</v>
      </c>
      <c r="C4" s="71">
        <v>45172</v>
      </c>
      <c r="D4" s="72" t="s">
        <v>4</v>
      </c>
      <c r="E4" s="73" t="s">
        <v>5</v>
      </c>
    </row>
    <row r="5" spans="2:5">
      <c r="B5" s="70">
        <v>45248</v>
      </c>
      <c r="C5" s="71">
        <v>45251</v>
      </c>
      <c r="D5" s="72" t="s">
        <v>66</v>
      </c>
      <c r="E5" s="1" t="s">
        <v>67</v>
      </c>
    </row>
    <row r="6" spans="2:5">
      <c r="B6" s="74">
        <v>45430</v>
      </c>
      <c r="C6" s="75">
        <v>45433</v>
      </c>
      <c r="D6" s="1" t="s">
        <v>66</v>
      </c>
      <c r="E6" s="1" t="s">
        <v>67</v>
      </c>
    </row>
    <row r="7" spans="2:5">
      <c r="B7" s="74">
        <v>45614</v>
      </c>
      <c r="C7" s="75">
        <v>45617</v>
      </c>
      <c r="D7" s="1" t="s">
        <v>66</v>
      </c>
      <c r="E7" s="1" t="s">
        <v>67</v>
      </c>
    </row>
    <row r="8" spans="2:5" ht="15.75" thickBot="1">
      <c r="B8" s="75">
        <v>45798</v>
      </c>
      <c r="C8" s="75">
        <v>45800</v>
      </c>
      <c r="D8" s="76" t="s">
        <v>66</v>
      </c>
      <c r="E8" s="1" t="s">
        <v>67</v>
      </c>
    </row>
  </sheetData>
  <autoFilter ref="B2:E2" xr:uid="{F6A808A3-3DF8-4BB8-8193-FE7157FB568A}">
    <sortState xmlns:xlrd2="http://schemas.microsoft.com/office/spreadsheetml/2017/richdata2" ref="B3:E8">
      <sortCondition ref="C2"/>
    </sortState>
  </autoFilter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910F-6E96-41BA-B489-F6E8120C161B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64"/>
      <c r="C1" s="233"/>
      <c r="D1" s="236" t="s">
        <v>6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8"/>
      <c r="AA1" s="2"/>
      <c r="AB1" s="239" t="s">
        <v>7</v>
      </c>
    </row>
    <row r="2" spans="2:28" ht="18" customHeight="1">
      <c r="B2" s="166"/>
      <c r="C2" s="234"/>
      <c r="D2" s="236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8"/>
      <c r="AA2" s="2"/>
      <c r="AB2" s="240"/>
    </row>
    <row r="3" spans="2:28" ht="18" customHeight="1">
      <c r="B3" s="166"/>
      <c r="C3" s="234"/>
      <c r="D3" s="236" t="s">
        <v>8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8"/>
      <c r="AA3" s="2"/>
      <c r="AB3" s="240"/>
    </row>
    <row r="4" spans="2:28" ht="18" customHeight="1" thickBot="1">
      <c r="B4" s="168"/>
      <c r="C4" s="235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4"/>
      <c r="AA4" s="3"/>
      <c r="AB4" s="241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15" t="s">
        <v>9</v>
      </c>
      <c r="C6" s="215"/>
      <c r="D6" s="216"/>
      <c r="E6" s="216"/>
      <c r="F6" s="216"/>
      <c r="G6" s="216"/>
      <c r="H6" s="216"/>
      <c r="I6" s="216"/>
      <c r="J6" s="216"/>
      <c r="K6" s="5"/>
      <c r="L6" s="245" t="s">
        <v>10</v>
      </c>
      <c r="M6" s="245"/>
      <c r="N6" s="245"/>
      <c r="O6" s="245"/>
      <c r="P6" s="245"/>
      <c r="Q6" s="245"/>
      <c r="R6" s="245"/>
      <c r="S6" s="6"/>
      <c r="T6" s="245" t="s">
        <v>11</v>
      </c>
      <c r="U6" s="245"/>
      <c r="V6" s="245"/>
      <c r="W6" s="245"/>
      <c r="X6" s="245"/>
      <c r="Y6" s="245" t="s">
        <v>12</v>
      </c>
      <c r="Z6" s="245"/>
      <c r="AA6" s="6"/>
      <c r="AB6" s="7" t="s">
        <v>13</v>
      </c>
    </row>
    <row r="7" spans="2:28" ht="33.75" customHeight="1">
      <c r="B7" s="215" t="s">
        <v>14</v>
      </c>
      <c r="C7" s="215"/>
      <c r="D7" s="216"/>
      <c r="E7" s="216"/>
      <c r="F7" s="216"/>
      <c r="G7" s="216"/>
      <c r="H7" s="216"/>
      <c r="I7" s="216"/>
      <c r="J7" s="216"/>
      <c r="K7" s="5"/>
      <c r="L7" s="217" t="s">
        <v>15</v>
      </c>
      <c r="M7" s="217"/>
      <c r="N7" s="217"/>
      <c r="O7" s="217"/>
      <c r="P7" s="217"/>
      <c r="Q7" s="217"/>
      <c r="R7" s="217"/>
      <c r="S7" s="1"/>
      <c r="T7" s="217"/>
      <c r="U7" s="217"/>
      <c r="V7" s="217"/>
      <c r="W7" s="217"/>
      <c r="X7" s="217"/>
      <c r="Y7" s="218"/>
      <c r="Z7" s="218"/>
      <c r="AA7" s="8"/>
      <c r="AB7" s="9"/>
    </row>
    <row r="8" spans="2:28" ht="33.75" customHeight="1">
      <c r="B8" s="215" t="s">
        <v>16</v>
      </c>
      <c r="C8" s="215"/>
      <c r="D8" s="216"/>
      <c r="E8" s="216"/>
      <c r="F8" s="216"/>
      <c r="G8" s="216"/>
      <c r="H8" s="216"/>
      <c r="I8" s="216"/>
      <c r="J8" s="216"/>
      <c r="K8" s="5"/>
      <c r="L8" s="217" t="s">
        <v>17</v>
      </c>
      <c r="M8" s="217"/>
      <c r="N8" s="217"/>
      <c r="O8" s="217"/>
      <c r="P8" s="217"/>
      <c r="Q8" s="217"/>
      <c r="R8" s="217"/>
      <c r="S8" s="1"/>
      <c r="T8" s="219"/>
      <c r="U8" s="219"/>
      <c r="V8" s="219"/>
      <c r="W8" s="219"/>
      <c r="X8" s="219"/>
      <c r="Y8" s="218"/>
      <c r="Z8" s="218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20" t="s">
        <v>18</v>
      </c>
      <c r="C10" s="222" t="s">
        <v>19</v>
      </c>
      <c r="D10" s="224" t="s">
        <v>20</v>
      </c>
      <c r="E10" s="225"/>
      <c r="F10" s="225"/>
      <c r="G10" s="225"/>
      <c r="H10" s="225"/>
      <c r="I10" s="225"/>
      <c r="J10" s="225"/>
      <c r="K10" s="226"/>
      <c r="L10" s="227" t="s">
        <v>21</v>
      </c>
      <c r="M10" s="228"/>
      <c r="N10" s="228"/>
      <c r="O10" s="228"/>
      <c r="P10" s="228"/>
      <c r="Q10" s="228"/>
      <c r="R10" s="228"/>
      <c r="S10" s="229"/>
      <c r="T10" s="230" t="s">
        <v>22</v>
      </c>
      <c r="U10" s="231"/>
      <c r="V10" s="231"/>
      <c r="W10" s="231"/>
      <c r="X10" s="231"/>
      <c r="Y10" s="231"/>
      <c r="Z10" s="231"/>
      <c r="AA10" s="232"/>
      <c r="AB10" s="213" t="s">
        <v>23</v>
      </c>
    </row>
    <row r="11" spans="2:28" ht="48.75" customHeight="1" thickBot="1">
      <c r="B11" s="221"/>
      <c r="C11" s="223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14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194" t="s">
        <v>42</v>
      </c>
      <c r="C36" s="195"/>
      <c r="D36" s="196"/>
      <c r="E36" s="197"/>
      <c r="F36" s="197"/>
      <c r="G36" s="197"/>
      <c r="H36" s="197"/>
      <c r="I36" s="198"/>
      <c r="J36" s="199" t="s">
        <v>43</v>
      </c>
      <c r="K36" s="199"/>
      <c r="L36" s="199"/>
      <c r="M36" s="199"/>
      <c r="N36" s="199"/>
      <c r="O36" s="199"/>
      <c r="P36" s="199"/>
      <c r="Q36" s="118" t="s">
        <v>44</v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9"/>
    </row>
    <row r="37" spans="2:28" ht="33" customHeight="1">
      <c r="B37" s="200" t="s">
        <v>45</v>
      </c>
      <c r="C37" s="201"/>
      <c r="D37" s="123" t="s">
        <v>46</v>
      </c>
      <c r="E37" s="124"/>
      <c r="F37" s="124"/>
      <c r="G37" s="124"/>
      <c r="H37" s="124"/>
      <c r="I37" s="125"/>
      <c r="J37" s="202" t="s">
        <v>47</v>
      </c>
      <c r="K37" s="203"/>
      <c r="L37" s="203"/>
      <c r="M37" s="203"/>
      <c r="N37" s="203"/>
      <c r="O37" s="203"/>
      <c r="P37" s="204"/>
      <c r="Q37" s="208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</row>
    <row r="38" spans="2:28" ht="33" customHeight="1" thickBot="1">
      <c r="B38" s="210" t="s">
        <v>49</v>
      </c>
      <c r="C38" s="211"/>
      <c r="D38" s="212" t="s">
        <v>50</v>
      </c>
      <c r="E38" s="139"/>
      <c r="F38" s="139"/>
      <c r="G38" s="139"/>
      <c r="H38" s="139"/>
      <c r="I38" s="140"/>
      <c r="J38" s="205"/>
      <c r="K38" s="206"/>
      <c r="L38" s="206"/>
      <c r="M38" s="206"/>
      <c r="N38" s="206"/>
      <c r="O38" s="206"/>
      <c r="P38" s="207"/>
      <c r="Q38" s="209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1:C4"/>
    <mergeCell ref="D1:Z2"/>
    <mergeCell ref="AB1:AB4"/>
    <mergeCell ref="D3:Z4"/>
    <mergeCell ref="B6:C6"/>
    <mergeCell ref="D6:J6"/>
    <mergeCell ref="L6:R6"/>
    <mergeCell ref="T6:X6"/>
    <mergeCell ref="Y6:Z6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T12:T35">
    <cfRule type="cellIs" dxfId="105" priority="15" operator="greaterThan">
      <formula>0.51</formula>
    </cfRule>
    <cfRule type="cellIs" dxfId="104" priority="16" operator="lessThan">
      <formula>0.5</formula>
    </cfRule>
  </conditionalFormatting>
  <conditionalFormatting sqref="U12:U35">
    <cfRule type="cellIs" dxfId="103" priority="13" operator="greaterThan">
      <formula>5.1</formula>
    </cfRule>
    <cfRule type="cellIs" dxfId="102" priority="14" operator="lessThan">
      <formula>5</formula>
    </cfRule>
  </conditionalFormatting>
  <conditionalFormatting sqref="V12:V35">
    <cfRule type="cellIs" dxfId="101" priority="11" operator="greaterThan">
      <formula>1.1</formula>
    </cfRule>
    <cfRule type="cellIs" dxfId="100" priority="12" operator="lessThan">
      <formula>1</formula>
    </cfRule>
  </conditionalFormatting>
  <conditionalFormatting sqref="W12:W35">
    <cfRule type="cellIs" dxfId="99" priority="9" operator="greaterThan">
      <formula>22.6</formula>
    </cfRule>
    <cfRule type="cellIs" dxfId="98" priority="10" operator="lessThan">
      <formula>22.5</formula>
    </cfRule>
  </conditionalFormatting>
  <conditionalFormatting sqref="X12:X35">
    <cfRule type="cellIs" dxfId="97" priority="7" operator="greaterThan">
      <formula>1.1</formula>
    </cfRule>
    <cfRule type="cellIs" dxfId="96" priority="8" operator="lessThan">
      <formula>1</formula>
    </cfRule>
  </conditionalFormatting>
  <conditionalFormatting sqref="Y12:Y35">
    <cfRule type="cellIs" dxfId="95" priority="5" operator="greaterThan">
      <formula>90.1</formula>
    </cfRule>
    <cfRule type="cellIs" dxfId="94" priority="6" operator="lessThan">
      <formula>90</formula>
    </cfRule>
  </conditionalFormatting>
  <conditionalFormatting sqref="Z12:Z35">
    <cfRule type="cellIs" dxfId="93" priority="3" operator="greaterThan">
      <formula>0.9</formula>
    </cfRule>
    <cfRule type="cellIs" dxfId="92" priority="4" operator="lessThan">
      <formula>0.8</formula>
    </cfRule>
  </conditionalFormatting>
  <conditionalFormatting sqref="AA12:AA35">
    <cfRule type="cellIs" dxfId="91" priority="1" operator="lessThan">
      <formula>0.05</formula>
    </cfRule>
    <cfRule type="cellIs" dxfId="90" priority="2" operator="greater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6459-4473-46A8-BA32-9EB486843A83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64"/>
      <c r="C1" s="233"/>
      <c r="D1" s="236" t="s">
        <v>6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8"/>
      <c r="AA1" s="2"/>
      <c r="AB1" s="239" t="s">
        <v>7</v>
      </c>
    </row>
    <row r="2" spans="2:28" ht="18" customHeight="1">
      <c r="B2" s="166"/>
      <c r="C2" s="234"/>
      <c r="D2" s="236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8"/>
      <c r="AA2" s="2"/>
      <c r="AB2" s="240"/>
    </row>
    <row r="3" spans="2:28" ht="18" customHeight="1">
      <c r="B3" s="166"/>
      <c r="C3" s="234"/>
      <c r="D3" s="236" t="s">
        <v>8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8"/>
      <c r="AA3" s="2"/>
      <c r="AB3" s="240"/>
    </row>
    <row r="4" spans="2:28" ht="18" customHeight="1" thickBot="1">
      <c r="B4" s="168"/>
      <c r="C4" s="235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4"/>
      <c r="AA4" s="3"/>
      <c r="AB4" s="241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15" t="s">
        <v>9</v>
      </c>
      <c r="C6" s="215"/>
      <c r="D6" s="216"/>
      <c r="E6" s="216"/>
      <c r="F6" s="216"/>
      <c r="G6" s="216"/>
      <c r="H6" s="216"/>
      <c r="I6" s="216"/>
      <c r="J6" s="216"/>
      <c r="K6" s="5"/>
      <c r="L6" s="245" t="s">
        <v>10</v>
      </c>
      <c r="M6" s="245"/>
      <c r="N6" s="245"/>
      <c r="O6" s="245"/>
      <c r="P6" s="245"/>
      <c r="Q6" s="245"/>
      <c r="R6" s="245"/>
      <c r="S6" s="6"/>
      <c r="T6" s="245" t="s">
        <v>11</v>
      </c>
      <c r="U6" s="245"/>
      <c r="V6" s="245"/>
      <c r="W6" s="245"/>
      <c r="X6" s="245"/>
      <c r="Y6" s="245" t="s">
        <v>12</v>
      </c>
      <c r="Z6" s="245"/>
      <c r="AA6" s="6"/>
      <c r="AB6" s="7" t="s">
        <v>13</v>
      </c>
    </row>
    <row r="7" spans="2:28" ht="33.75" customHeight="1">
      <c r="B7" s="215" t="s">
        <v>14</v>
      </c>
      <c r="C7" s="215"/>
      <c r="D7" s="216"/>
      <c r="E7" s="216"/>
      <c r="F7" s="216"/>
      <c r="G7" s="216"/>
      <c r="H7" s="216"/>
      <c r="I7" s="216"/>
      <c r="J7" s="216"/>
      <c r="K7" s="5"/>
      <c r="L7" s="217" t="s">
        <v>15</v>
      </c>
      <c r="M7" s="217"/>
      <c r="N7" s="217"/>
      <c r="O7" s="217"/>
      <c r="P7" s="217"/>
      <c r="Q7" s="217"/>
      <c r="R7" s="217"/>
      <c r="S7" s="1"/>
      <c r="T7" s="217"/>
      <c r="U7" s="217"/>
      <c r="V7" s="217"/>
      <c r="W7" s="217"/>
      <c r="X7" s="217"/>
      <c r="Y7" s="218"/>
      <c r="Z7" s="218"/>
      <c r="AA7" s="8"/>
      <c r="AB7" s="9"/>
    </row>
    <row r="8" spans="2:28" ht="33.75" customHeight="1">
      <c r="B8" s="215" t="s">
        <v>16</v>
      </c>
      <c r="C8" s="215"/>
      <c r="D8" s="216"/>
      <c r="E8" s="216"/>
      <c r="F8" s="216"/>
      <c r="G8" s="216"/>
      <c r="H8" s="216"/>
      <c r="I8" s="216"/>
      <c r="J8" s="216"/>
      <c r="K8" s="5"/>
      <c r="L8" s="217" t="s">
        <v>17</v>
      </c>
      <c r="M8" s="217"/>
      <c r="N8" s="217"/>
      <c r="O8" s="217"/>
      <c r="P8" s="217"/>
      <c r="Q8" s="217"/>
      <c r="R8" s="217"/>
      <c r="S8" s="1"/>
      <c r="T8" s="219"/>
      <c r="U8" s="219"/>
      <c r="V8" s="219"/>
      <c r="W8" s="219"/>
      <c r="X8" s="219"/>
      <c r="Y8" s="218"/>
      <c r="Z8" s="218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20" t="s">
        <v>18</v>
      </c>
      <c r="C10" s="222" t="s">
        <v>19</v>
      </c>
      <c r="D10" s="224" t="s">
        <v>20</v>
      </c>
      <c r="E10" s="225"/>
      <c r="F10" s="225"/>
      <c r="G10" s="225"/>
      <c r="H10" s="225"/>
      <c r="I10" s="225"/>
      <c r="J10" s="225"/>
      <c r="K10" s="226"/>
      <c r="L10" s="227" t="s">
        <v>21</v>
      </c>
      <c r="M10" s="228"/>
      <c r="N10" s="228"/>
      <c r="O10" s="228"/>
      <c r="P10" s="228"/>
      <c r="Q10" s="228"/>
      <c r="R10" s="228"/>
      <c r="S10" s="229"/>
      <c r="T10" s="230" t="s">
        <v>22</v>
      </c>
      <c r="U10" s="231"/>
      <c r="V10" s="231"/>
      <c r="W10" s="231"/>
      <c r="X10" s="231"/>
      <c r="Y10" s="231"/>
      <c r="Z10" s="231"/>
      <c r="AA10" s="232"/>
      <c r="AB10" s="213" t="s">
        <v>23</v>
      </c>
    </row>
    <row r="11" spans="2:28" ht="48.75" customHeight="1" thickBot="1">
      <c r="B11" s="221"/>
      <c r="C11" s="223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14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194" t="s">
        <v>42</v>
      </c>
      <c r="C36" s="195"/>
      <c r="D36" s="196"/>
      <c r="E36" s="197"/>
      <c r="F36" s="197"/>
      <c r="G36" s="197"/>
      <c r="H36" s="197"/>
      <c r="I36" s="198"/>
      <c r="J36" s="199" t="s">
        <v>43</v>
      </c>
      <c r="K36" s="199"/>
      <c r="L36" s="199"/>
      <c r="M36" s="199"/>
      <c r="N36" s="199"/>
      <c r="O36" s="199"/>
      <c r="P36" s="199"/>
      <c r="Q36" s="118" t="s">
        <v>44</v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9"/>
    </row>
    <row r="37" spans="2:28" ht="33" customHeight="1">
      <c r="B37" s="200" t="s">
        <v>45</v>
      </c>
      <c r="C37" s="201"/>
      <c r="D37" s="123" t="s">
        <v>46</v>
      </c>
      <c r="E37" s="124"/>
      <c r="F37" s="124"/>
      <c r="G37" s="124"/>
      <c r="H37" s="124"/>
      <c r="I37" s="125"/>
      <c r="J37" s="202" t="s">
        <v>47</v>
      </c>
      <c r="K37" s="203"/>
      <c r="L37" s="203"/>
      <c r="M37" s="203"/>
      <c r="N37" s="203"/>
      <c r="O37" s="203"/>
      <c r="P37" s="204"/>
      <c r="Q37" s="208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</row>
    <row r="38" spans="2:28" ht="33" customHeight="1" thickBot="1">
      <c r="B38" s="210" t="s">
        <v>49</v>
      </c>
      <c r="C38" s="211"/>
      <c r="D38" s="212" t="s">
        <v>50</v>
      </c>
      <c r="E38" s="139"/>
      <c r="F38" s="139"/>
      <c r="G38" s="139"/>
      <c r="H38" s="139"/>
      <c r="I38" s="140"/>
      <c r="J38" s="205"/>
      <c r="K38" s="206"/>
      <c r="L38" s="206"/>
      <c r="M38" s="206"/>
      <c r="N38" s="206"/>
      <c r="O38" s="206"/>
      <c r="P38" s="207"/>
      <c r="Q38" s="209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1:C4"/>
    <mergeCell ref="D1:Z2"/>
    <mergeCell ref="AB1:AB4"/>
    <mergeCell ref="D3:Z4"/>
    <mergeCell ref="B6:C6"/>
    <mergeCell ref="D6:J6"/>
    <mergeCell ref="L6:R6"/>
    <mergeCell ref="T6:X6"/>
    <mergeCell ref="Y6:Z6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T12:T35">
    <cfRule type="cellIs" dxfId="89" priority="15" operator="greaterThan">
      <formula>0.51</formula>
    </cfRule>
    <cfRule type="cellIs" dxfId="88" priority="16" operator="lessThan">
      <formula>0.5</formula>
    </cfRule>
  </conditionalFormatting>
  <conditionalFormatting sqref="U12:U35">
    <cfRule type="cellIs" dxfId="87" priority="13" operator="greaterThan">
      <formula>5.1</formula>
    </cfRule>
    <cfRule type="cellIs" dxfId="86" priority="14" operator="lessThan">
      <formula>5</formula>
    </cfRule>
  </conditionalFormatting>
  <conditionalFormatting sqref="V12:V35">
    <cfRule type="cellIs" dxfId="85" priority="11" operator="greaterThan">
      <formula>1.1</formula>
    </cfRule>
    <cfRule type="cellIs" dxfId="84" priority="12" operator="lessThan">
      <formula>1</formula>
    </cfRule>
  </conditionalFormatting>
  <conditionalFormatting sqref="W12:W35">
    <cfRule type="cellIs" dxfId="83" priority="9" operator="greaterThan">
      <formula>22.6</formula>
    </cfRule>
    <cfRule type="cellIs" dxfId="82" priority="10" operator="lessThan">
      <formula>22.5</formula>
    </cfRule>
  </conditionalFormatting>
  <conditionalFormatting sqref="X12:X35">
    <cfRule type="cellIs" dxfId="81" priority="7" operator="greaterThan">
      <formula>1.1</formula>
    </cfRule>
    <cfRule type="cellIs" dxfId="80" priority="8" operator="lessThan">
      <formula>1</formula>
    </cfRule>
  </conditionalFormatting>
  <conditionalFormatting sqref="Y12:Y35">
    <cfRule type="cellIs" dxfId="79" priority="5" operator="greaterThan">
      <formula>90.1</formula>
    </cfRule>
    <cfRule type="cellIs" dxfId="78" priority="6" operator="lessThan">
      <formula>90</formula>
    </cfRule>
  </conditionalFormatting>
  <conditionalFormatting sqref="Z12:Z35">
    <cfRule type="cellIs" dxfId="77" priority="3" operator="greaterThan">
      <formula>0.9</formula>
    </cfRule>
    <cfRule type="cellIs" dxfId="76" priority="4" operator="lessThan">
      <formula>0.8</formula>
    </cfRule>
  </conditionalFormatting>
  <conditionalFormatting sqref="AA12:AA35">
    <cfRule type="cellIs" dxfId="75" priority="1" operator="lessThan">
      <formula>0.05</formula>
    </cfRule>
    <cfRule type="cellIs" dxfId="74" priority="2" operator="greaterThan"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3F7-F699-44BF-AD26-5EE355BE585C}">
  <dimension ref="B1:AB68"/>
  <sheetViews>
    <sheetView topLeftCell="L1" zoomScale="83" zoomScaleNormal="83" workbookViewId="0">
      <selection activeCell="Y19" sqref="Y19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64"/>
      <c r="C1" s="233"/>
      <c r="D1" s="236" t="s">
        <v>6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8"/>
      <c r="AA1" s="2"/>
      <c r="AB1" s="239" t="s">
        <v>7</v>
      </c>
    </row>
    <row r="2" spans="2:28" ht="18" customHeight="1">
      <c r="B2" s="166"/>
      <c r="C2" s="234"/>
      <c r="D2" s="236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8"/>
      <c r="AA2" s="2"/>
      <c r="AB2" s="240"/>
    </row>
    <row r="3" spans="2:28" ht="18" customHeight="1">
      <c r="B3" s="166"/>
      <c r="C3" s="234"/>
      <c r="D3" s="236" t="s">
        <v>8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8"/>
      <c r="AA3" s="2"/>
      <c r="AB3" s="240"/>
    </row>
    <row r="4" spans="2:28" ht="18" customHeight="1" thickBot="1">
      <c r="B4" s="168"/>
      <c r="C4" s="235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4"/>
      <c r="AA4" s="3"/>
      <c r="AB4" s="241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15" t="s">
        <v>9</v>
      </c>
      <c r="C6" s="215"/>
      <c r="D6" s="144" t="s">
        <v>68</v>
      </c>
      <c r="E6" s="145"/>
      <c r="F6" s="145"/>
      <c r="G6" s="145"/>
      <c r="H6" s="145"/>
      <c r="I6" s="145"/>
      <c r="J6" s="145"/>
      <c r="K6" s="146"/>
      <c r="L6" s="250" t="s">
        <v>10</v>
      </c>
      <c r="M6" s="251"/>
      <c r="N6" s="251"/>
      <c r="O6" s="251"/>
      <c r="P6" s="251"/>
      <c r="Q6" s="251"/>
      <c r="R6" s="251"/>
      <c r="S6" s="252"/>
      <c r="T6" s="245" t="s">
        <v>11</v>
      </c>
      <c r="U6" s="245"/>
      <c r="V6" s="245"/>
      <c r="W6" s="245"/>
      <c r="X6" s="245"/>
      <c r="Y6" s="250" t="s">
        <v>12</v>
      </c>
      <c r="Z6" s="251"/>
      <c r="AA6" s="253" t="s">
        <v>13</v>
      </c>
      <c r="AB6" s="254"/>
    </row>
    <row r="7" spans="2:28" ht="33.75" customHeight="1">
      <c r="B7" s="215" t="s">
        <v>14</v>
      </c>
      <c r="C7" s="215"/>
      <c r="D7" s="144" t="s">
        <v>71</v>
      </c>
      <c r="E7" s="145"/>
      <c r="F7" s="145"/>
      <c r="G7" s="145"/>
      <c r="H7" s="145"/>
      <c r="I7" s="145"/>
      <c r="J7" s="145"/>
      <c r="K7" s="146"/>
      <c r="L7" s="147" t="s">
        <v>15</v>
      </c>
      <c r="M7" s="148"/>
      <c r="N7" s="148"/>
      <c r="O7" s="148"/>
      <c r="P7" s="148"/>
      <c r="Q7" s="148"/>
      <c r="R7" s="148"/>
      <c r="S7" s="149"/>
      <c r="T7" s="147" t="s">
        <v>72</v>
      </c>
      <c r="U7" s="148"/>
      <c r="V7" s="148"/>
      <c r="W7" s="148"/>
      <c r="X7" s="149"/>
      <c r="Y7" s="150">
        <v>6262</v>
      </c>
      <c r="Z7" s="151"/>
      <c r="AA7" s="152" t="s">
        <v>82</v>
      </c>
      <c r="AB7" s="153"/>
    </row>
    <row r="8" spans="2:28" ht="33.75" customHeight="1">
      <c r="B8" s="215" t="s">
        <v>16</v>
      </c>
      <c r="C8" s="215"/>
      <c r="D8" s="144" t="s">
        <v>70</v>
      </c>
      <c r="E8" s="145"/>
      <c r="F8" s="145"/>
      <c r="G8" s="145"/>
      <c r="H8" s="145"/>
      <c r="I8" s="145"/>
      <c r="J8" s="145"/>
      <c r="K8" s="146"/>
      <c r="L8" s="147" t="s">
        <v>69</v>
      </c>
      <c r="M8" s="148"/>
      <c r="N8" s="148"/>
      <c r="O8" s="148"/>
      <c r="P8" s="148"/>
      <c r="Q8" s="148"/>
      <c r="R8" s="148"/>
      <c r="S8" s="149"/>
      <c r="T8" s="147" t="s">
        <v>72</v>
      </c>
      <c r="U8" s="148"/>
      <c r="V8" s="148"/>
      <c r="W8" s="148"/>
      <c r="X8" s="149"/>
      <c r="Y8" s="150">
        <v>6327</v>
      </c>
      <c r="Z8" s="151"/>
      <c r="AA8" s="152" t="s">
        <v>67</v>
      </c>
      <c r="AB8" s="153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47" t="s">
        <v>18</v>
      </c>
      <c r="C10" s="248" t="s">
        <v>19</v>
      </c>
      <c r="D10" s="249" t="s">
        <v>20</v>
      </c>
      <c r="E10" s="225"/>
      <c r="F10" s="225"/>
      <c r="G10" s="225"/>
      <c r="H10" s="225"/>
      <c r="I10" s="225"/>
      <c r="J10" s="225"/>
      <c r="K10" s="226"/>
      <c r="L10" s="227" t="s">
        <v>21</v>
      </c>
      <c r="M10" s="228"/>
      <c r="N10" s="228"/>
      <c r="O10" s="228"/>
      <c r="P10" s="228"/>
      <c r="Q10" s="228"/>
      <c r="R10" s="228"/>
      <c r="S10" s="229"/>
      <c r="T10" s="230" t="s">
        <v>22</v>
      </c>
      <c r="U10" s="231"/>
      <c r="V10" s="231"/>
      <c r="W10" s="231"/>
      <c r="X10" s="231"/>
      <c r="Y10" s="231"/>
      <c r="Z10" s="231"/>
      <c r="AA10" s="232"/>
      <c r="AB10" s="213" t="s">
        <v>23</v>
      </c>
    </row>
    <row r="11" spans="2:28" ht="48.75" customHeight="1" thickBot="1">
      <c r="B11" s="247"/>
      <c r="C11" s="248"/>
      <c r="D11" s="101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14"/>
    </row>
    <row r="12" spans="2:28" ht="15" customHeight="1" thickBot="1">
      <c r="B12" s="21">
        <v>45249</v>
      </c>
      <c r="C12" s="103">
        <v>0</v>
      </c>
      <c r="D12" s="102">
        <v>14.77</v>
      </c>
      <c r="E12" s="59">
        <v>76.56</v>
      </c>
      <c r="F12" s="59">
        <v>565.54999999999995</v>
      </c>
      <c r="G12" s="59">
        <v>247.5</v>
      </c>
      <c r="H12" s="59">
        <v>1.57</v>
      </c>
      <c r="I12" s="59">
        <v>0</v>
      </c>
      <c r="J12" s="59"/>
      <c r="K12" s="87">
        <v>0</v>
      </c>
      <c r="L12" s="86">
        <v>15.1</v>
      </c>
      <c r="M12" s="59">
        <v>74.3</v>
      </c>
      <c r="N12" s="59">
        <v>565.6</v>
      </c>
      <c r="O12" s="59">
        <v>247.5</v>
      </c>
      <c r="P12" s="59">
        <v>0.6</v>
      </c>
      <c r="Q12" s="59">
        <v>0</v>
      </c>
      <c r="R12" s="59"/>
      <c r="S12" s="87">
        <v>0</v>
      </c>
      <c r="T12" s="86">
        <f t="shared" ref="T12:Z15" si="0">+ABS(L12-D12)</f>
        <v>0.33000000000000007</v>
      </c>
      <c r="U12" s="59">
        <f t="shared" si="0"/>
        <v>2.2600000000000051</v>
      </c>
      <c r="V12" s="59">
        <f t="shared" si="0"/>
        <v>5.0000000000068212E-2</v>
      </c>
      <c r="W12" s="59">
        <f t="shared" si="0"/>
        <v>0</v>
      </c>
      <c r="X12" s="59">
        <f t="shared" si="0"/>
        <v>0.97000000000000008</v>
      </c>
      <c r="Y12" s="59">
        <f t="shared" si="0"/>
        <v>0</v>
      </c>
      <c r="Z12" s="59">
        <f t="shared" si="0"/>
        <v>0</v>
      </c>
      <c r="AA12" s="88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21">
        <v>45249</v>
      </c>
      <c r="C13" s="103">
        <v>4.1666666666666664E-2</v>
      </c>
      <c r="D13" s="93">
        <v>14.54</v>
      </c>
      <c r="E13" s="63">
        <v>80.3</v>
      </c>
      <c r="F13" s="63">
        <v>565.15</v>
      </c>
      <c r="G13" s="63">
        <v>247.5</v>
      </c>
      <c r="H13" s="63">
        <v>1.75</v>
      </c>
      <c r="I13" s="63">
        <v>0</v>
      </c>
      <c r="J13" s="63"/>
      <c r="K13" s="90">
        <v>0</v>
      </c>
      <c r="L13" s="89">
        <v>14.8</v>
      </c>
      <c r="M13" s="63">
        <v>78</v>
      </c>
      <c r="N13" s="63">
        <v>565.20000000000005</v>
      </c>
      <c r="O13" s="63">
        <v>225</v>
      </c>
      <c r="P13" s="63">
        <v>0.8</v>
      </c>
      <c r="Q13" s="63">
        <v>0</v>
      </c>
      <c r="R13" s="63"/>
      <c r="S13" s="90">
        <v>0</v>
      </c>
      <c r="T13" s="89">
        <f t="shared" si="0"/>
        <v>0.26000000000000156</v>
      </c>
      <c r="U13" s="63">
        <f t="shared" si="0"/>
        <v>2.2999999999999972</v>
      </c>
      <c r="V13" s="63">
        <f t="shared" si="0"/>
        <v>5.0000000000068212E-2</v>
      </c>
      <c r="W13" s="63">
        <f t="shared" si="0"/>
        <v>22.5</v>
      </c>
      <c r="X13" s="63">
        <f t="shared" si="0"/>
        <v>0.95</v>
      </c>
      <c r="Y13" s="63">
        <f t="shared" si="0"/>
        <v>0</v>
      </c>
      <c r="Z13" s="63">
        <f t="shared" si="0"/>
        <v>0</v>
      </c>
      <c r="AA13" s="88">
        <f t="shared" ref="AA13:AA1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21">
        <v>45249</v>
      </c>
      <c r="C14" s="103">
        <v>45690.083333333336</v>
      </c>
      <c r="D14" s="93">
        <v>14.02</v>
      </c>
      <c r="E14" s="63">
        <v>83.43</v>
      </c>
      <c r="F14" s="63">
        <v>564.63</v>
      </c>
      <c r="G14" s="63">
        <v>270</v>
      </c>
      <c r="H14" s="63">
        <v>1.38</v>
      </c>
      <c r="I14" s="63">
        <v>0</v>
      </c>
      <c r="J14" s="63"/>
      <c r="K14" s="90">
        <v>0</v>
      </c>
      <c r="L14" s="89">
        <v>14.3</v>
      </c>
      <c r="M14" s="63">
        <v>81</v>
      </c>
      <c r="N14" s="63">
        <v>564.6</v>
      </c>
      <c r="O14" s="63">
        <v>270</v>
      </c>
      <c r="P14" s="63">
        <v>0.4</v>
      </c>
      <c r="Q14" s="63">
        <v>0</v>
      </c>
      <c r="R14" s="63"/>
      <c r="S14" s="90">
        <v>0</v>
      </c>
      <c r="T14" s="89">
        <f t="shared" si="0"/>
        <v>0.28000000000000114</v>
      </c>
      <c r="U14" s="63">
        <f t="shared" si="0"/>
        <v>2.4300000000000068</v>
      </c>
      <c r="V14" s="63">
        <f t="shared" si="0"/>
        <v>2.9999999999972715E-2</v>
      </c>
      <c r="W14" s="63">
        <f t="shared" si="0"/>
        <v>0</v>
      </c>
      <c r="X14" s="63">
        <f t="shared" si="0"/>
        <v>0.97999999999999987</v>
      </c>
      <c r="Y14" s="63">
        <f t="shared" si="0"/>
        <v>0</v>
      </c>
      <c r="Z14" s="63">
        <f t="shared" si="0"/>
        <v>0</v>
      </c>
      <c r="AA14" s="88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21">
        <v>45249</v>
      </c>
      <c r="C15" s="103">
        <v>45690.125</v>
      </c>
      <c r="D15" s="93">
        <v>13.5</v>
      </c>
      <c r="E15" s="63">
        <v>85.08</v>
      </c>
      <c r="F15" s="63">
        <v>564.53</v>
      </c>
      <c r="G15" s="63">
        <v>270</v>
      </c>
      <c r="H15" s="63">
        <v>1.4</v>
      </c>
      <c r="I15" s="63">
        <v>0</v>
      </c>
      <c r="J15" s="63"/>
      <c r="K15" s="90">
        <v>0</v>
      </c>
      <c r="L15" s="89">
        <v>13.8</v>
      </c>
      <c r="M15" s="63">
        <v>82.6</v>
      </c>
      <c r="N15" s="63">
        <v>564.5</v>
      </c>
      <c r="O15" s="63">
        <v>270</v>
      </c>
      <c r="P15" s="63">
        <v>0.4</v>
      </c>
      <c r="Q15" s="63">
        <v>0</v>
      </c>
      <c r="R15" s="63"/>
      <c r="S15" s="90">
        <v>0</v>
      </c>
      <c r="T15" s="89">
        <f t="shared" si="0"/>
        <v>0.30000000000000071</v>
      </c>
      <c r="U15" s="63">
        <f t="shared" si="0"/>
        <v>2.480000000000004</v>
      </c>
      <c r="V15" s="63">
        <f t="shared" si="0"/>
        <v>2.9999999999972715E-2</v>
      </c>
      <c r="W15" s="63">
        <f t="shared" si="0"/>
        <v>0</v>
      </c>
      <c r="X15" s="63">
        <f t="shared" si="0"/>
        <v>0.99999999999999989</v>
      </c>
      <c r="Y15" s="63">
        <f t="shared" si="0"/>
        <v>0</v>
      </c>
      <c r="Z15" s="63">
        <f t="shared" si="0"/>
        <v>0</v>
      </c>
      <c r="AA15" s="88">
        <f t="shared" si="1"/>
        <v>0</v>
      </c>
      <c r="AB15" s="27" t="str">
        <f t="shared" si="2"/>
        <v>Cumple</v>
      </c>
    </row>
    <row r="16" spans="2:28" ht="15" customHeight="1" thickBot="1">
      <c r="B16" s="21">
        <v>45249</v>
      </c>
      <c r="C16" s="103">
        <v>45690.166666666664</v>
      </c>
      <c r="D16" s="93">
        <v>13.379999999999999</v>
      </c>
      <c r="E16" s="63">
        <v>85.08</v>
      </c>
      <c r="F16" s="63">
        <v>565.56500000000005</v>
      </c>
      <c r="G16" s="63">
        <v>270</v>
      </c>
      <c r="H16" s="63">
        <v>1.37</v>
      </c>
      <c r="I16" s="63">
        <v>0</v>
      </c>
      <c r="J16" s="63"/>
      <c r="K16" s="90">
        <v>0</v>
      </c>
      <c r="L16" s="89">
        <v>13.65</v>
      </c>
      <c r="M16" s="63">
        <v>82.6</v>
      </c>
      <c r="N16" s="63">
        <v>565.04999999999995</v>
      </c>
      <c r="O16" s="63">
        <v>270</v>
      </c>
      <c r="P16" s="63">
        <v>0.45</v>
      </c>
      <c r="Q16" s="63">
        <v>0</v>
      </c>
      <c r="R16" s="63"/>
      <c r="S16" s="90">
        <v>0</v>
      </c>
      <c r="T16" s="89">
        <f t="shared" ref="T16:T35" si="3">+ABS(L16-D16)</f>
        <v>0.27000000000000135</v>
      </c>
      <c r="U16" s="63">
        <f t="shared" ref="U16:U35" si="4">+ABS(M16-E16)</f>
        <v>2.480000000000004</v>
      </c>
      <c r="V16" s="63">
        <f t="shared" ref="V16:V35" si="5">+ABS(N16-F16)</f>
        <v>0.51500000000010004</v>
      </c>
      <c r="W16" s="63">
        <f t="shared" ref="W16:W35" si="6">+ABS(O16-G16)</f>
        <v>0</v>
      </c>
      <c r="X16" s="63">
        <f t="shared" ref="X16:X35" si="7">+ABS(P16-H16)</f>
        <v>0.92000000000000015</v>
      </c>
      <c r="Y16" s="63">
        <f t="shared" ref="Y16:Y35" si="8">+ABS(Q16-I16)</f>
        <v>0</v>
      </c>
      <c r="Z16" s="63">
        <f t="shared" ref="Z16:Z35" si="9">+ABS(R16-J16)</f>
        <v>0</v>
      </c>
      <c r="AA16" s="88">
        <f t="shared" ref="AA16:AA35" si="10">IF(AND(K16=0, S16=0), 0, IF(K16=0, 1, ABS((S16-K16)/K16)))</f>
        <v>0</v>
      </c>
      <c r="AB16" s="27" t="str">
        <f t="shared" si="2"/>
        <v>Cumple</v>
      </c>
    </row>
    <row r="17" spans="2:28" ht="15" customHeight="1" thickBot="1">
      <c r="B17" s="21">
        <v>45249</v>
      </c>
      <c r="C17" s="103">
        <v>45690.208333333336</v>
      </c>
      <c r="D17" s="93">
        <v>13.59</v>
      </c>
      <c r="E17" s="63">
        <v>85.08</v>
      </c>
      <c r="F17" s="63">
        <v>566.30499999999995</v>
      </c>
      <c r="G17" s="63">
        <v>270</v>
      </c>
      <c r="H17" s="63">
        <v>0.94500000000000006</v>
      </c>
      <c r="I17" s="63">
        <v>0</v>
      </c>
      <c r="J17" s="63"/>
      <c r="K17" s="90">
        <v>0</v>
      </c>
      <c r="L17" s="89">
        <v>14.025</v>
      </c>
      <c r="M17" s="63">
        <v>83.699999999999989</v>
      </c>
      <c r="N17" s="63">
        <v>565.32500000000005</v>
      </c>
      <c r="O17" s="63">
        <v>270</v>
      </c>
      <c r="P17" s="63">
        <v>0.375</v>
      </c>
      <c r="Q17" s="63">
        <v>0</v>
      </c>
      <c r="R17" s="63"/>
      <c r="S17" s="90">
        <v>0</v>
      </c>
      <c r="T17" s="89">
        <f t="shared" si="3"/>
        <v>0.4350000000000005</v>
      </c>
      <c r="U17" s="63">
        <f t="shared" si="4"/>
        <v>1.3800000000000097</v>
      </c>
      <c r="V17" s="63">
        <f t="shared" si="5"/>
        <v>0.9799999999999045</v>
      </c>
      <c r="W17" s="63">
        <f t="shared" si="6"/>
        <v>0</v>
      </c>
      <c r="X17" s="63">
        <f t="shared" si="7"/>
        <v>0.57000000000000006</v>
      </c>
      <c r="Y17" s="63">
        <f t="shared" si="8"/>
        <v>0</v>
      </c>
      <c r="Z17" s="63">
        <f t="shared" si="9"/>
        <v>0</v>
      </c>
      <c r="AA17" s="88">
        <f t="shared" si="10"/>
        <v>0</v>
      </c>
      <c r="AB17" s="27" t="str">
        <f t="shared" si="2"/>
        <v>Cumple</v>
      </c>
    </row>
    <row r="18" spans="2:28" ht="15" customHeight="1" thickBot="1">
      <c r="B18" s="21">
        <v>45249</v>
      </c>
      <c r="C18" s="103">
        <v>45690.25</v>
      </c>
      <c r="D18" s="93">
        <v>13.26</v>
      </c>
      <c r="E18" s="63">
        <v>85.08</v>
      </c>
      <c r="F18" s="63">
        <v>566.6</v>
      </c>
      <c r="G18" s="63">
        <v>270</v>
      </c>
      <c r="H18" s="63">
        <v>0.52</v>
      </c>
      <c r="I18" s="63">
        <v>0</v>
      </c>
      <c r="J18" s="63"/>
      <c r="K18" s="90">
        <v>0</v>
      </c>
      <c r="L18" s="89">
        <v>13.5</v>
      </c>
      <c r="M18" s="63">
        <v>82.6</v>
      </c>
      <c r="N18" s="63">
        <v>565.6</v>
      </c>
      <c r="O18" s="63">
        <v>270</v>
      </c>
      <c r="P18" s="63">
        <v>0.5</v>
      </c>
      <c r="Q18" s="63">
        <v>0</v>
      </c>
      <c r="R18" s="63"/>
      <c r="S18" s="90">
        <v>0</v>
      </c>
      <c r="T18" s="89">
        <f t="shared" si="3"/>
        <v>0.24000000000000021</v>
      </c>
      <c r="U18" s="63">
        <f t="shared" si="4"/>
        <v>2.480000000000004</v>
      </c>
      <c r="V18" s="63">
        <f t="shared" si="5"/>
        <v>1</v>
      </c>
      <c r="W18" s="63">
        <f t="shared" si="6"/>
        <v>0</v>
      </c>
      <c r="X18" s="63">
        <f t="shared" si="7"/>
        <v>2.0000000000000018E-2</v>
      </c>
      <c r="Y18" s="63">
        <f t="shared" si="8"/>
        <v>0</v>
      </c>
      <c r="Z18" s="63">
        <f t="shared" si="9"/>
        <v>0</v>
      </c>
      <c r="AA18" s="88">
        <f t="shared" si="10"/>
        <v>0</v>
      </c>
      <c r="AB18" s="27" t="str">
        <f t="shared" si="2"/>
        <v>Cumple</v>
      </c>
    </row>
    <row r="19" spans="2:28" ht="15" customHeight="1" thickBot="1">
      <c r="B19" s="21">
        <v>45249</v>
      </c>
      <c r="C19" s="103">
        <v>45690.291666666664</v>
      </c>
      <c r="D19" s="93">
        <v>14.06</v>
      </c>
      <c r="E19" s="63">
        <v>87.37</v>
      </c>
      <c r="F19" s="63">
        <v>567.38</v>
      </c>
      <c r="G19" s="63">
        <v>247.5</v>
      </c>
      <c r="H19" s="63">
        <v>1.3</v>
      </c>
      <c r="I19" s="63">
        <v>165.87</v>
      </c>
      <c r="J19" s="63"/>
      <c r="K19" s="90">
        <v>0</v>
      </c>
      <c r="L19" s="89">
        <v>14.4</v>
      </c>
      <c r="M19" s="63">
        <v>84.8</v>
      </c>
      <c r="N19" s="63">
        <v>566.4</v>
      </c>
      <c r="O19" s="63">
        <v>247.5</v>
      </c>
      <c r="P19" s="63">
        <v>0.3</v>
      </c>
      <c r="Q19" s="63">
        <v>119.9</v>
      </c>
      <c r="R19" s="63"/>
      <c r="S19" s="90">
        <v>0</v>
      </c>
      <c r="T19" s="89">
        <f t="shared" si="3"/>
        <v>0.33999999999999986</v>
      </c>
      <c r="U19" s="63">
        <f t="shared" si="4"/>
        <v>2.5700000000000074</v>
      </c>
      <c r="V19" s="63">
        <f t="shared" si="5"/>
        <v>0.98000000000001819</v>
      </c>
      <c r="W19" s="63">
        <f t="shared" si="6"/>
        <v>0</v>
      </c>
      <c r="X19" s="63">
        <f t="shared" si="7"/>
        <v>1</v>
      </c>
      <c r="Y19" s="63">
        <f t="shared" si="8"/>
        <v>45.97</v>
      </c>
      <c r="Z19" s="63">
        <f t="shared" si="9"/>
        <v>0</v>
      </c>
      <c r="AA19" s="88">
        <f t="shared" si="10"/>
        <v>0</v>
      </c>
      <c r="AB19" s="27" t="str">
        <f t="shared" si="2"/>
        <v>Cumple</v>
      </c>
    </row>
    <row r="20" spans="2:28" ht="15" customHeight="1" thickBot="1">
      <c r="B20" s="21">
        <v>45249</v>
      </c>
      <c r="C20" s="103">
        <v>45690.333333333336</v>
      </c>
      <c r="D20" s="93">
        <v>16.63</v>
      </c>
      <c r="E20" s="63">
        <v>75.47</v>
      </c>
      <c r="F20" s="63">
        <v>567.70000000000005</v>
      </c>
      <c r="G20" s="63">
        <v>90</v>
      </c>
      <c r="H20" s="63">
        <v>0.75</v>
      </c>
      <c r="I20" s="63">
        <v>314.83</v>
      </c>
      <c r="J20" s="63"/>
      <c r="K20" s="90">
        <v>0</v>
      </c>
      <c r="L20" s="89">
        <v>17</v>
      </c>
      <c r="M20" s="63">
        <v>73.3</v>
      </c>
      <c r="N20" s="63">
        <v>566.70000000000005</v>
      </c>
      <c r="O20" s="63">
        <v>90</v>
      </c>
      <c r="P20" s="63">
        <v>0.8</v>
      </c>
      <c r="Q20" s="63">
        <v>296.8</v>
      </c>
      <c r="R20" s="63"/>
      <c r="S20" s="90">
        <v>0</v>
      </c>
      <c r="T20" s="89">
        <f t="shared" si="3"/>
        <v>0.37000000000000099</v>
      </c>
      <c r="U20" s="63">
        <f t="shared" si="4"/>
        <v>2.1700000000000017</v>
      </c>
      <c r="V20" s="63">
        <f t="shared" si="5"/>
        <v>1</v>
      </c>
      <c r="W20" s="63">
        <f t="shared" si="6"/>
        <v>0</v>
      </c>
      <c r="X20" s="63">
        <f t="shared" si="7"/>
        <v>5.0000000000000044E-2</v>
      </c>
      <c r="Y20" s="63">
        <f t="shared" si="8"/>
        <v>18.029999999999973</v>
      </c>
      <c r="Z20" s="63">
        <f t="shared" si="9"/>
        <v>0</v>
      </c>
      <c r="AA20" s="88">
        <f t="shared" si="10"/>
        <v>0</v>
      </c>
      <c r="AB20" s="27" t="str">
        <f t="shared" si="2"/>
        <v>Cumple</v>
      </c>
    </row>
    <row r="21" spans="2:28" ht="15" customHeight="1" thickBot="1">
      <c r="B21" s="21">
        <v>45249</v>
      </c>
      <c r="C21" s="103">
        <v>45690.375</v>
      </c>
      <c r="D21" s="93">
        <v>18.21</v>
      </c>
      <c r="E21" s="63">
        <v>67.42</v>
      </c>
      <c r="F21" s="63">
        <v>567.85</v>
      </c>
      <c r="G21" s="63">
        <v>247.5</v>
      </c>
      <c r="H21" s="63">
        <v>1.9</v>
      </c>
      <c r="I21" s="63">
        <v>432.83</v>
      </c>
      <c r="J21" s="63"/>
      <c r="K21" s="90">
        <v>0</v>
      </c>
      <c r="L21" s="89">
        <v>18.600000000000001</v>
      </c>
      <c r="M21" s="63">
        <v>65.5</v>
      </c>
      <c r="N21" s="63">
        <v>566.9</v>
      </c>
      <c r="O21" s="63">
        <v>247.5</v>
      </c>
      <c r="P21" s="63">
        <v>0.9</v>
      </c>
      <c r="Q21" s="63">
        <v>365.8</v>
      </c>
      <c r="R21" s="63"/>
      <c r="S21" s="90">
        <v>0</v>
      </c>
      <c r="T21" s="89">
        <f t="shared" si="3"/>
        <v>0.39000000000000057</v>
      </c>
      <c r="U21" s="63">
        <f t="shared" si="4"/>
        <v>1.9200000000000017</v>
      </c>
      <c r="V21" s="63">
        <f t="shared" si="5"/>
        <v>0.95000000000004547</v>
      </c>
      <c r="W21" s="63">
        <f t="shared" si="6"/>
        <v>0</v>
      </c>
      <c r="X21" s="63">
        <f t="shared" si="7"/>
        <v>0.99999999999999989</v>
      </c>
      <c r="Y21" s="63">
        <f t="shared" si="8"/>
        <v>67.029999999999973</v>
      </c>
      <c r="Z21" s="63">
        <f t="shared" si="9"/>
        <v>0</v>
      </c>
      <c r="AA21" s="88">
        <f t="shared" si="10"/>
        <v>0</v>
      </c>
      <c r="AB21" s="27" t="str">
        <f t="shared" si="2"/>
        <v>Cumple</v>
      </c>
    </row>
    <row r="22" spans="2:28" ht="15" customHeight="1" thickBot="1">
      <c r="B22" s="21">
        <v>45249</v>
      </c>
      <c r="C22" s="103">
        <v>45690.416666666664</v>
      </c>
      <c r="D22" s="93">
        <v>19.260000000000002</v>
      </c>
      <c r="E22" s="63">
        <v>63.08</v>
      </c>
      <c r="F22" s="63">
        <v>566.4</v>
      </c>
      <c r="G22" s="63">
        <v>292.5</v>
      </c>
      <c r="H22" s="63">
        <v>2.8</v>
      </c>
      <c r="I22" s="63">
        <v>589.37</v>
      </c>
      <c r="J22" s="63"/>
      <c r="K22" s="90">
        <v>0</v>
      </c>
      <c r="L22" s="89">
        <v>19.7</v>
      </c>
      <c r="M22" s="63">
        <v>61.2</v>
      </c>
      <c r="N22" s="63">
        <v>566.4</v>
      </c>
      <c r="O22" s="63">
        <v>292.5</v>
      </c>
      <c r="P22" s="63">
        <v>1.8</v>
      </c>
      <c r="Q22" s="63">
        <v>504.4</v>
      </c>
      <c r="R22" s="63"/>
      <c r="S22" s="90">
        <v>0</v>
      </c>
      <c r="T22" s="89">
        <f t="shared" si="3"/>
        <v>0.43999999999999773</v>
      </c>
      <c r="U22" s="63">
        <f t="shared" si="4"/>
        <v>1.8799999999999955</v>
      </c>
      <c r="V22" s="63">
        <f t="shared" si="5"/>
        <v>0</v>
      </c>
      <c r="W22" s="63">
        <f t="shared" si="6"/>
        <v>0</v>
      </c>
      <c r="X22" s="63">
        <f t="shared" si="7"/>
        <v>0.99999999999999978</v>
      </c>
      <c r="Y22" s="63">
        <f t="shared" si="8"/>
        <v>84.970000000000027</v>
      </c>
      <c r="Z22" s="63">
        <f t="shared" si="9"/>
        <v>0</v>
      </c>
      <c r="AA22" s="88">
        <f t="shared" si="10"/>
        <v>0</v>
      </c>
      <c r="AB22" s="27" t="str">
        <f t="shared" si="2"/>
        <v>Cumple</v>
      </c>
    </row>
    <row r="23" spans="2:28" ht="15" customHeight="1" thickBot="1">
      <c r="B23" s="21">
        <v>45249</v>
      </c>
      <c r="C23" s="103">
        <v>45690.458333333336</v>
      </c>
      <c r="D23" s="93">
        <v>20.29</v>
      </c>
      <c r="E23" s="63">
        <v>61.65</v>
      </c>
      <c r="F23" s="63">
        <v>566.33000000000004</v>
      </c>
      <c r="G23" s="63">
        <v>292.5</v>
      </c>
      <c r="H23" s="63">
        <v>3.8</v>
      </c>
      <c r="I23" s="63">
        <v>730.64</v>
      </c>
      <c r="J23" s="63"/>
      <c r="K23" s="90">
        <v>0</v>
      </c>
      <c r="L23" s="89">
        <v>20.7</v>
      </c>
      <c r="M23" s="63">
        <v>59.9</v>
      </c>
      <c r="N23" s="63">
        <v>565.6</v>
      </c>
      <c r="O23" s="63">
        <v>292.5</v>
      </c>
      <c r="P23" s="63">
        <v>2.8</v>
      </c>
      <c r="Q23" s="63">
        <v>706.6</v>
      </c>
      <c r="R23" s="63"/>
      <c r="S23" s="90">
        <v>0</v>
      </c>
      <c r="T23" s="89">
        <f t="shared" si="3"/>
        <v>0.41000000000000014</v>
      </c>
      <c r="U23" s="63">
        <f t="shared" si="4"/>
        <v>1.75</v>
      </c>
      <c r="V23" s="63">
        <f t="shared" si="5"/>
        <v>0.73000000000001819</v>
      </c>
      <c r="W23" s="63">
        <f t="shared" si="6"/>
        <v>0</v>
      </c>
      <c r="X23" s="63">
        <f t="shared" si="7"/>
        <v>1</v>
      </c>
      <c r="Y23" s="63">
        <f t="shared" si="8"/>
        <v>24.039999999999964</v>
      </c>
      <c r="Z23" s="63">
        <f t="shared" si="9"/>
        <v>0</v>
      </c>
      <c r="AA23" s="88">
        <f t="shared" si="10"/>
        <v>0</v>
      </c>
      <c r="AB23" s="27" t="str">
        <f t="shared" si="2"/>
        <v>Cumple</v>
      </c>
    </row>
    <row r="24" spans="2:28" ht="15" customHeight="1" thickBot="1">
      <c r="B24" s="21">
        <v>45249</v>
      </c>
      <c r="C24" s="103">
        <v>45690.5</v>
      </c>
      <c r="D24" s="93">
        <v>19.16</v>
      </c>
      <c r="E24" s="63">
        <v>65.7</v>
      </c>
      <c r="F24" s="63">
        <v>565.01</v>
      </c>
      <c r="G24" s="63">
        <v>247.5</v>
      </c>
      <c r="H24" s="63">
        <v>2.61</v>
      </c>
      <c r="I24" s="63">
        <v>241.38</v>
      </c>
      <c r="J24" s="63"/>
      <c r="K24" s="90">
        <v>0</v>
      </c>
      <c r="L24" s="89">
        <v>19.600000000000001</v>
      </c>
      <c r="M24" s="63">
        <v>63.8</v>
      </c>
      <c r="N24" s="63">
        <v>565</v>
      </c>
      <c r="O24" s="63">
        <v>247.5</v>
      </c>
      <c r="P24" s="63">
        <v>2.6</v>
      </c>
      <c r="Q24" s="63">
        <v>229.4</v>
      </c>
      <c r="R24" s="63"/>
      <c r="S24" s="90">
        <v>0</v>
      </c>
      <c r="T24" s="89">
        <f t="shared" si="3"/>
        <v>0.44000000000000128</v>
      </c>
      <c r="U24" s="63">
        <f t="shared" si="4"/>
        <v>1.9000000000000057</v>
      </c>
      <c r="V24" s="63">
        <f t="shared" si="5"/>
        <v>9.9999999999909051E-3</v>
      </c>
      <c r="W24" s="63">
        <f t="shared" si="6"/>
        <v>0</v>
      </c>
      <c r="X24" s="63">
        <f t="shared" si="7"/>
        <v>9.9999999999997868E-3</v>
      </c>
      <c r="Y24" s="63">
        <f t="shared" si="8"/>
        <v>11.97999999999999</v>
      </c>
      <c r="Z24" s="63">
        <f t="shared" si="9"/>
        <v>0</v>
      </c>
      <c r="AA24" s="88">
        <f t="shared" si="10"/>
        <v>0</v>
      </c>
      <c r="AB24" s="27" t="str">
        <f t="shared" si="2"/>
        <v>Cumple</v>
      </c>
    </row>
    <row r="25" spans="2:28" ht="15" customHeight="1" thickBot="1">
      <c r="B25" s="21">
        <v>45249</v>
      </c>
      <c r="C25" s="103">
        <v>45690.541666666664</v>
      </c>
      <c r="D25" s="93">
        <v>18.079999999999998</v>
      </c>
      <c r="E25" s="63">
        <v>71.010000000000005</v>
      </c>
      <c r="F25" s="63">
        <v>565.48</v>
      </c>
      <c r="G25" s="63">
        <v>247.5</v>
      </c>
      <c r="H25" s="63">
        <v>3.19</v>
      </c>
      <c r="I25" s="63">
        <v>179.64</v>
      </c>
      <c r="J25" s="63"/>
      <c r="K25" s="90">
        <v>0</v>
      </c>
      <c r="L25" s="89">
        <v>18.5</v>
      </c>
      <c r="M25" s="63">
        <v>68.900000000000006</v>
      </c>
      <c r="N25" s="63">
        <v>564.5</v>
      </c>
      <c r="O25" s="63">
        <v>247.5</v>
      </c>
      <c r="P25" s="63">
        <v>2.2000000000000002</v>
      </c>
      <c r="Q25" s="63">
        <v>101.6</v>
      </c>
      <c r="R25" s="63"/>
      <c r="S25" s="90">
        <v>0</v>
      </c>
      <c r="T25" s="89">
        <f t="shared" si="3"/>
        <v>0.42000000000000171</v>
      </c>
      <c r="U25" s="63">
        <f t="shared" si="4"/>
        <v>2.1099999999999994</v>
      </c>
      <c r="V25" s="63">
        <f t="shared" si="5"/>
        <v>0.98000000000001819</v>
      </c>
      <c r="W25" s="63">
        <f t="shared" si="6"/>
        <v>0</v>
      </c>
      <c r="X25" s="63">
        <f t="shared" si="7"/>
        <v>0.98999999999999977</v>
      </c>
      <c r="Y25" s="63">
        <f t="shared" si="8"/>
        <v>78.039999999999992</v>
      </c>
      <c r="Z25" s="63">
        <f t="shared" si="9"/>
        <v>0</v>
      </c>
      <c r="AA25" s="88">
        <f t="shared" si="10"/>
        <v>0</v>
      </c>
      <c r="AB25" s="27" t="str">
        <f t="shared" si="2"/>
        <v>Cumple</v>
      </c>
    </row>
    <row r="26" spans="2:28" ht="15" customHeight="1" thickBot="1">
      <c r="B26" s="21">
        <v>45249</v>
      </c>
      <c r="C26" s="103">
        <v>45690.583333333336</v>
      </c>
      <c r="D26" s="93">
        <v>16.559999999999999</v>
      </c>
      <c r="E26" s="63">
        <v>81.459999999999994</v>
      </c>
      <c r="F26" s="63">
        <v>563.92999999999995</v>
      </c>
      <c r="G26" s="63">
        <v>202.5</v>
      </c>
      <c r="H26" s="63">
        <v>2.84</v>
      </c>
      <c r="I26" s="63">
        <v>151.35</v>
      </c>
      <c r="J26" s="63"/>
      <c r="K26" s="90">
        <v>13</v>
      </c>
      <c r="L26" s="89">
        <v>16.899999999999999</v>
      </c>
      <c r="M26" s="63">
        <v>79.099999999999994</v>
      </c>
      <c r="N26" s="63">
        <v>563.9</v>
      </c>
      <c r="O26" s="63">
        <v>202.5</v>
      </c>
      <c r="P26" s="63">
        <v>1.9</v>
      </c>
      <c r="Q26" s="63">
        <v>63.4</v>
      </c>
      <c r="R26" s="63"/>
      <c r="S26" s="90">
        <v>12.4</v>
      </c>
      <c r="T26" s="89">
        <f t="shared" si="3"/>
        <v>0.33999999999999986</v>
      </c>
      <c r="U26" s="63">
        <f t="shared" si="4"/>
        <v>2.3599999999999994</v>
      </c>
      <c r="V26" s="63">
        <f t="shared" si="5"/>
        <v>2.9999999999972715E-2</v>
      </c>
      <c r="W26" s="63">
        <f t="shared" si="6"/>
        <v>0</v>
      </c>
      <c r="X26" s="63">
        <f t="shared" si="7"/>
        <v>0.94</v>
      </c>
      <c r="Y26" s="63">
        <f t="shared" si="8"/>
        <v>87.949999999999989</v>
      </c>
      <c r="Z26" s="63">
        <f t="shared" si="9"/>
        <v>0</v>
      </c>
      <c r="AA26" s="88">
        <f t="shared" si="10"/>
        <v>4.6153846153846129E-2</v>
      </c>
      <c r="AB26" s="27" t="str">
        <f t="shared" si="2"/>
        <v>Cumple</v>
      </c>
    </row>
    <row r="27" spans="2:28" ht="15" customHeight="1" thickBot="1">
      <c r="B27" s="21">
        <v>45249</v>
      </c>
      <c r="C27" s="103">
        <v>45690.625</v>
      </c>
      <c r="D27" s="93">
        <v>14.86</v>
      </c>
      <c r="E27" s="63">
        <v>92.48</v>
      </c>
      <c r="F27" s="63">
        <v>563.79</v>
      </c>
      <c r="G27" s="63">
        <v>202.5</v>
      </c>
      <c r="H27" s="63">
        <v>2.0299999999999998</v>
      </c>
      <c r="I27" s="63">
        <v>46.44</v>
      </c>
      <c r="J27" s="63"/>
      <c r="K27" s="90">
        <v>11.2</v>
      </c>
      <c r="L27" s="89">
        <v>15.2</v>
      </c>
      <c r="M27" s="63">
        <v>89.8</v>
      </c>
      <c r="N27" s="63">
        <v>563.79999999999995</v>
      </c>
      <c r="O27" s="63">
        <v>202.5</v>
      </c>
      <c r="P27" s="63">
        <v>1.1000000000000001</v>
      </c>
      <c r="Q27" s="63">
        <v>46.4</v>
      </c>
      <c r="R27" s="63"/>
      <c r="S27" s="90">
        <v>10.8</v>
      </c>
      <c r="T27" s="89">
        <f t="shared" si="3"/>
        <v>0.33999999999999986</v>
      </c>
      <c r="U27" s="63">
        <f t="shared" si="4"/>
        <v>2.6800000000000068</v>
      </c>
      <c r="V27" s="63">
        <f t="shared" si="5"/>
        <v>9.9999999999909051E-3</v>
      </c>
      <c r="W27" s="63">
        <f t="shared" si="6"/>
        <v>0</v>
      </c>
      <c r="X27" s="63">
        <f t="shared" si="7"/>
        <v>0.92999999999999972</v>
      </c>
      <c r="Y27" s="63">
        <f t="shared" si="8"/>
        <v>3.9999999999999147E-2</v>
      </c>
      <c r="Z27" s="63">
        <f t="shared" si="9"/>
        <v>0</v>
      </c>
      <c r="AA27" s="88">
        <f t="shared" si="10"/>
        <v>3.5714285714285587E-2</v>
      </c>
      <c r="AB27" s="27" t="str">
        <f t="shared" si="2"/>
        <v>Cumple</v>
      </c>
    </row>
    <row r="28" spans="2:28" ht="15" customHeight="1" thickBot="1">
      <c r="B28" s="21">
        <v>45249</v>
      </c>
      <c r="C28" s="103">
        <v>45690.666666666664</v>
      </c>
      <c r="D28" s="93">
        <v>14.83</v>
      </c>
      <c r="E28" s="63">
        <v>90.98</v>
      </c>
      <c r="F28" s="63">
        <v>564.05999999999995</v>
      </c>
      <c r="G28" s="63">
        <v>337.5</v>
      </c>
      <c r="H28" s="63">
        <v>0.84</v>
      </c>
      <c r="I28" s="63">
        <v>91.35</v>
      </c>
      <c r="J28" s="63"/>
      <c r="K28" s="90">
        <v>1.4</v>
      </c>
      <c r="L28" s="89">
        <v>15.1</v>
      </c>
      <c r="M28" s="63">
        <v>88.3</v>
      </c>
      <c r="N28" s="63">
        <v>564.1</v>
      </c>
      <c r="O28" s="63">
        <v>337.5</v>
      </c>
      <c r="P28" s="63">
        <v>0.8</v>
      </c>
      <c r="Q28" s="63">
        <v>17.399999999999999</v>
      </c>
      <c r="R28" s="63"/>
      <c r="S28" s="90">
        <v>1.4</v>
      </c>
      <c r="T28" s="89">
        <f t="shared" si="3"/>
        <v>0.26999999999999957</v>
      </c>
      <c r="U28" s="63">
        <f t="shared" si="4"/>
        <v>2.6800000000000068</v>
      </c>
      <c r="V28" s="63">
        <f t="shared" si="5"/>
        <v>4.0000000000077307E-2</v>
      </c>
      <c r="W28" s="63">
        <f t="shared" si="6"/>
        <v>0</v>
      </c>
      <c r="X28" s="63">
        <f t="shared" si="7"/>
        <v>3.9999999999999925E-2</v>
      </c>
      <c r="Y28" s="63">
        <f t="shared" si="8"/>
        <v>73.949999999999989</v>
      </c>
      <c r="Z28" s="63">
        <f t="shared" si="9"/>
        <v>0</v>
      </c>
      <c r="AA28" s="88">
        <f t="shared" si="10"/>
        <v>0</v>
      </c>
      <c r="AB28" s="27" t="str">
        <f t="shared" si="2"/>
        <v>Cumple</v>
      </c>
    </row>
    <row r="29" spans="2:28" ht="15" customHeight="1" thickBot="1">
      <c r="B29" s="21">
        <v>45249</v>
      </c>
      <c r="C29" s="103">
        <v>45690.708333333336</v>
      </c>
      <c r="D29" s="93">
        <v>14.49</v>
      </c>
      <c r="E29" s="63">
        <v>92.31</v>
      </c>
      <c r="F29" s="63">
        <v>565.41</v>
      </c>
      <c r="G29" s="63">
        <v>270</v>
      </c>
      <c r="H29" s="63">
        <v>0.66</v>
      </c>
      <c r="I29" s="63">
        <v>16.2</v>
      </c>
      <c r="J29" s="63"/>
      <c r="K29" s="90">
        <v>0.8</v>
      </c>
      <c r="L29" s="89">
        <v>14.8</v>
      </c>
      <c r="M29" s="63">
        <v>89.6</v>
      </c>
      <c r="N29" s="63">
        <v>564.6</v>
      </c>
      <c r="O29" s="63">
        <v>270</v>
      </c>
      <c r="P29" s="63">
        <v>0.7</v>
      </c>
      <c r="Q29" s="63">
        <v>6.2</v>
      </c>
      <c r="R29" s="63"/>
      <c r="S29" s="90">
        <v>0.8</v>
      </c>
      <c r="T29" s="89">
        <f t="shared" si="3"/>
        <v>0.3100000000000005</v>
      </c>
      <c r="U29" s="63">
        <f t="shared" si="4"/>
        <v>2.710000000000008</v>
      </c>
      <c r="V29" s="63">
        <f t="shared" si="5"/>
        <v>0.80999999999994543</v>
      </c>
      <c r="W29" s="63">
        <f t="shared" si="6"/>
        <v>0</v>
      </c>
      <c r="X29" s="63">
        <f t="shared" si="7"/>
        <v>3.9999999999999925E-2</v>
      </c>
      <c r="Y29" s="63">
        <f t="shared" si="8"/>
        <v>10</v>
      </c>
      <c r="Z29" s="63">
        <f t="shared" si="9"/>
        <v>0</v>
      </c>
      <c r="AA29" s="88">
        <f t="shared" si="10"/>
        <v>0</v>
      </c>
      <c r="AB29" s="27" t="str">
        <f t="shared" si="2"/>
        <v>Cumple</v>
      </c>
    </row>
    <row r="30" spans="2:28" ht="15" customHeight="1" thickBot="1">
      <c r="B30" s="21">
        <v>45249</v>
      </c>
      <c r="C30" s="103">
        <v>45690.75</v>
      </c>
      <c r="D30" s="93">
        <v>14.42</v>
      </c>
      <c r="E30" s="63">
        <v>93.38</v>
      </c>
      <c r="F30" s="63">
        <v>564.98</v>
      </c>
      <c r="G30" s="63">
        <v>292.5</v>
      </c>
      <c r="H30" s="63">
        <v>0.46</v>
      </c>
      <c r="I30" s="63">
        <v>0</v>
      </c>
      <c r="J30" s="63"/>
      <c r="K30" s="90">
        <v>0.6</v>
      </c>
      <c r="L30" s="89">
        <v>14.7</v>
      </c>
      <c r="M30" s="63">
        <v>90.7</v>
      </c>
      <c r="N30" s="63">
        <v>565</v>
      </c>
      <c r="O30" s="63">
        <v>292.5</v>
      </c>
      <c r="P30" s="63">
        <v>0.5</v>
      </c>
      <c r="Q30" s="63">
        <v>0</v>
      </c>
      <c r="R30" s="63"/>
      <c r="S30" s="90">
        <v>0.6</v>
      </c>
      <c r="T30" s="89">
        <f t="shared" si="3"/>
        <v>0.27999999999999936</v>
      </c>
      <c r="U30" s="63">
        <f t="shared" si="4"/>
        <v>2.6799999999999926</v>
      </c>
      <c r="V30" s="63">
        <f t="shared" si="5"/>
        <v>1.999999999998181E-2</v>
      </c>
      <c r="W30" s="63">
        <f t="shared" si="6"/>
        <v>0</v>
      </c>
      <c r="X30" s="63">
        <f t="shared" si="7"/>
        <v>3.999999999999998E-2</v>
      </c>
      <c r="Y30" s="63">
        <f t="shared" si="8"/>
        <v>0</v>
      </c>
      <c r="Z30" s="63">
        <f t="shared" si="9"/>
        <v>0</v>
      </c>
      <c r="AA30" s="88">
        <f t="shared" si="10"/>
        <v>0</v>
      </c>
      <c r="AB30" s="27" t="str">
        <f t="shared" si="2"/>
        <v>Cumple</v>
      </c>
    </row>
    <row r="31" spans="2:28" ht="15" customHeight="1" thickBot="1">
      <c r="B31" s="21">
        <v>45249</v>
      </c>
      <c r="C31" s="103">
        <v>45690.791666666664</v>
      </c>
      <c r="D31" s="93">
        <v>14.41</v>
      </c>
      <c r="E31" s="63">
        <v>93.36</v>
      </c>
      <c r="F31" s="63">
        <v>565.71</v>
      </c>
      <c r="G31" s="63">
        <v>315</v>
      </c>
      <c r="H31" s="63">
        <v>0.59</v>
      </c>
      <c r="I31" s="63">
        <v>0</v>
      </c>
      <c r="J31" s="63"/>
      <c r="K31" s="90">
        <v>0.2</v>
      </c>
      <c r="L31" s="89">
        <v>14.7</v>
      </c>
      <c r="M31" s="63">
        <v>90.6</v>
      </c>
      <c r="N31" s="63">
        <v>565.70000000000005</v>
      </c>
      <c r="O31" s="63">
        <v>315</v>
      </c>
      <c r="P31" s="63">
        <v>0.6</v>
      </c>
      <c r="Q31" s="63">
        <v>0</v>
      </c>
      <c r="R31" s="63"/>
      <c r="S31" s="90">
        <v>0.2</v>
      </c>
      <c r="T31" s="89">
        <f t="shared" si="3"/>
        <v>0.28999999999999915</v>
      </c>
      <c r="U31" s="63">
        <f t="shared" si="4"/>
        <v>2.7600000000000051</v>
      </c>
      <c r="V31" s="63">
        <f t="shared" si="5"/>
        <v>9.9999999999909051E-3</v>
      </c>
      <c r="W31" s="63">
        <f t="shared" si="6"/>
        <v>0</v>
      </c>
      <c r="X31" s="63">
        <f t="shared" si="7"/>
        <v>1.0000000000000009E-2</v>
      </c>
      <c r="Y31" s="63">
        <f t="shared" si="8"/>
        <v>0</v>
      </c>
      <c r="Z31" s="63">
        <f t="shared" si="9"/>
        <v>0</v>
      </c>
      <c r="AA31" s="88">
        <f t="shared" si="10"/>
        <v>0</v>
      </c>
      <c r="AB31" s="27" t="str">
        <f t="shared" si="2"/>
        <v>Cumple</v>
      </c>
    </row>
    <row r="32" spans="2:28" ht="15" customHeight="1" thickBot="1">
      <c r="B32" s="21">
        <v>45249</v>
      </c>
      <c r="C32" s="103">
        <v>45690.833333333336</v>
      </c>
      <c r="D32" s="93">
        <v>14.09</v>
      </c>
      <c r="E32" s="63">
        <v>93.51</v>
      </c>
      <c r="F32" s="63">
        <v>566.22</v>
      </c>
      <c r="G32" s="63">
        <v>337.5</v>
      </c>
      <c r="H32" s="63">
        <v>0.59</v>
      </c>
      <c r="I32" s="63">
        <v>0</v>
      </c>
      <c r="J32" s="63"/>
      <c r="K32" s="90">
        <v>0</v>
      </c>
      <c r="L32" s="89">
        <v>14.4</v>
      </c>
      <c r="M32" s="63">
        <v>90.8</v>
      </c>
      <c r="N32" s="63">
        <v>566.20000000000005</v>
      </c>
      <c r="O32" s="63">
        <v>337.5</v>
      </c>
      <c r="P32" s="63">
        <v>0.6</v>
      </c>
      <c r="Q32" s="63">
        <v>0</v>
      </c>
      <c r="R32" s="63"/>
      <c r="S32" s="90">
        <v>0</v>
      </c>
      <c r="T32" s="89">
        <f t="shared" si="3"/>
        <v>0.3100000000000005</v>
      </c>
      <c r="U32" s="63">
        <f t="shared" si="4"/>
        <v>2.710000000000008</v>
      </c>
      <c r="V32" s="63">
        <f t="shared" si="5"/>
        <v>1.999999999998181E-2</v>
      </c>
      <c r="W32" s="63">
        <f t="shared" si="6"/>
        <v>0</v>
      </c>
      <c r="X32" s="63">
        <f t="shared" si="7"/>
        <v>1.0000000000000009E-2</v>
      </c>
      <c r="Y32" s="63">
        <f t="shared" si="8"/>
        <v>0</v>
      </c>
      <c r="Z32" s="63">
        <f t="shared" si="9"/>
        <v>0</v>
      </c>
      <c r="AA32" s="88">
        <f t="shared" si="10"/>
        <v>0</v>
      </c>
      <c r="AB32" s="27" t="str">
        <f t="shared" si="2"/>
        <v>Cumple</v>
      </c>
    </row>
    <row r="33" spans="2:28" ht="15" customHeight="1" thickBot="1">
      <c r="B33" s="21">
        <v>45249</v>
      </c>
      <c r="C33" s="103">
        <v>45690.875</v>
      </c>
      <c r="D33" s="93">
        <v>13.79</v>
      </c>
      <c r="E33" s="63">
        <v>93.44</v>
      </c>
      <c r="F33" s="63">
        <v>566.77</v>
      </c>
      <c r="G33" s="63">
        <v>337.5</v>
      </c>
      <c r="H33" s="63">
        <v>1.56</v>
      </c>
      <c r="I33" s="63">
        <v>0</v>
      </c>
      <c r="J33" s="63"/>
      <c r="K33" s="90">
        <v>0</v>
      </c>
      <c r="L33" s="89">
        <v>14.1</v>
      </c>
      <c r="M33" s="63">
        <v>90.7</v>
      </c>
      <c r="N33" s="63">
        <v>566.79999999999995</v>
      </c>
      <c r="O33" s="63">
        <v>315</v>
      </c>
      <c r="P33" s="63">
        <v>0.6</v>
      </c>
      <c r="Q33" s="63">
        <v>0</v>
      </c>
      <c r="R33" s="63"/>
      <c r="S33" s="90">
        <v>0</v>
      </c>
      <c r="T33" s="89">
        <f t="shared" si="3"/>
        <v>0.3100000000000005</v>
      </c>
      <c r="U33" s="63">
        <f t="shared" si="4"/>
        <v>2.7399999999999949</v>
      </c>
      <c r="V33" s="63">
        <f t="shared" si="5"/>
        <v>2.9999999999972715E-2</v>
      </c>
      <c r="W33" s="63">
        <f t="shared" si="6"/>
        <v>22.5</v>
      </c>
      <c r="X33" s="63">
        <f t="shared" si="7"/>
        <v>0.96000000000000008</v>
      </c>
      <c r="Y33" s="63">
        <f t="shared" si="8"/>
        <v>0</v>
      </c>
      <c r="Z33" s="63">
        <f t="shared" si="9"/>
        <v>0</v>
      </c>
      <c r="AA33" s="88">
        <f t="shared" si="10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21">
        <v>45249</v>
      </c>
      <c r="C34" s="103">
        <v>45690.916666666664</v>
      </c>
      <c r="D34" s="93">
        <v>13.63</v>
      </c>
      <c r="E34" s="63">
        <v>92.01</v>
      </c>
      <c r="F34" s="63">
        <v>566.88</v>
      </c>
      <c r="G34" s="63">
        <v>337.5</v>
      </c>
      <c r="H34" s="63">
        <v>1.28</v>
      </c>
      <c r="I34" s="63">
        <v>0</v>
      </c>
      <c r="J34" s="63"/>
      <c r="K34" s="90">
        <v>0</v>
      </c>
      <c r="L34" s="89">
        <v>13.9</v>
      </c>
      <c r="M34" s="63">
        <v>89.3</v>
      </c>
      <c r="N34" s="63">
        <v>566.9</v>
      </c>
      <c r="O34" s="63">
        <v>337.5</v>
      </c>
      <c r="P34" s="63">
        <v>0.3</v>
      </c>
      <c r="Q34" s="63">
        <v>0</v>
      </c>
      <c r="R34" s="63"/>
      <c r="S34" s="90">
        <v>0</v>
      </c>
      <c r="T34" s="89">
        <f t="shared" si="3"/>
        <v>0.26999999999999957</v>
      </c>
      <c r="U34" s="63">
        <f t="shared" si="4"/>
        <v>2.710000000000008</v>
      </c>
      <c r="V34" s="63">
        <f t="shared" si="5"/>
        <v>1.999999999998181E-2</v>
      </c>
      <c r="W34" s="63">
        <f t="shared" si="6"/>
        <v>0</v>
      </c>
      <c r="X34" s="63">
        <f t="shared" si="7"/>
        <v>0.98</v>
      </c>
      <c r="Y34" s="63">
        <f t="shared" si="8"/>
        <v>0</v>
      </c>
      <c r="Z34" s="63">
        <f t="shared" si="9"/>
        <v>0</v>
      </c>
      <c r="AA34" s="88">
        <f t="shared" si="10"/>
        <v>0</v>
      </c>
      <c r="AB34" s="27" t="str">
        <f t="shared" si="2"/>
        <v>Cumple</v>
      </c>
    </row>
    <row r="35" spans="2:28" ht="15" customHeight="1" thickBot="1">
      <c r="B35" s="21">
        <v>45249</v>
      </c>
      <c r="C35" s="103">
        <v>45690.958333333336</v>
      </c>
      <c r="D35" s="98">
        <v>13.41</v>
      </c>
      <c r="E35" s="95">
        <v>92.12</v>
      </c>
      <c r="F35" s="95">
        <v>567.77</v>
      </c>
      <c r="G35" s="95">
        <v>292.5</v>
      </c>
      <c r="H35" s="95">
        <v>1.19</v>
      </c>
      <c r="I35" s="95">
        <v>0</v>
      </c>
      <c r="J35" s="95"/>
      <c r="K35" s="99">
        <v>0</v>
      </c>
      <c r="L35" s="94">
        <v>13.7</v>
      </c>
      <c r="M35" s="95">
        <v>89.4</v>
      </c>
      <c r="N35" s="95">
        <v>566.79999999999995</v>
      </c>
      <c r="O35" s="95">
        <v>292.5</v>
      </c>
      <c r="P35" s="95">
        <v>0.2</v>
      </c>
      <c r="Q35" s="95">
        <v>0</v>
      </c>
      <c r="R35" s="95"/>
      <c r="S35" s="99">
        <v>0</v>
      </c>
      <c r="T35" s="94">
        <f t="shared" si="3"/>
        <v>0.28999999999999915</v>
      </c>
      <c r="U35" s="95">
        <f t="shared" si="4"/>
        <v>2.7199999999999989</v>
      </c>
      <c r="V35" s="95">
        <f t="shared" si="5"/>
        <v>0.97000000000002728</v>
      </c>
      <c r="W35" s="95">
        <f t="shared" si="6"/>
        <v>0</v>
      </c>
      <c r="X35" s="95">
        <f t="shared" si="7"/>
        <v>0.99</v>
      </c>
      <c r="Y35" s="95">
        <f t="shared" si="8"/>
        <v>0</v>
      </c>
      <c r="Z35" s="95">
        <f t="shared" si="9"/>
        <v>0</v>
      </c>
      <c r="AA35" s="88">
        <f t="shared" si="10"/>
        <v>0</v>
      </c>
      <c r="AB35" s="27" t="str">
        <f t="shared" si="2"/>
        <v>Cumple</v>
      </c>
    </row>
    <row r="36" spans="2:28" ht="33" customHeight="1">
      <c r="B36" s="246" t="s">
        <v>42</v>
      </c>
      <c r="C36" s="199"/>
      <c r="D36" s="112">
        <v>45254</v>
      </c>
      <c r="E36" s="113"/>
      <c r="F36" s="113"/>
      <c r="G36" s="113"/>
      <c r="H36" s="113"/>
      <c r="I36" s="114"/>
      <c r="J36" s="199" t="s">
        <v>43</v>
      </c>
      <c r="K36" s="199"/>
      <c r="L36" s="199"/>
      <c r="M36" s="199"/>
      <c r="N36" s="199"/>
      <c r="O36" s="199"/>
      <c r="P36" s="199"/>
      <c r="Q36" s="118" t="s">
        <v>44</v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9"/>
    </row>
    <row r="37" spans="2:28" ht="33" customHeight="1">
      <c r="B37" s="200" t="s">
        <v>45</v>
      </c>
      <c r="C37" s="201"/>
      <c r="D37" s="123" t="s">
        <v>46</v>
      </c>
      <c r="E37" s="124"/>
      <c r="F37" s="124"/>
      <c r="G37" s="124"/>
      <c r="H37" s="124"/>
      <c r="I37" s="125"/>
      <c r="J37" s="202" t="s">
        <v>47</v>
      </c>
      <c r="K37" s="203"/>
      <c r="L37" s="203"/>
      <c r="M37" s="203"/>
      <c r="N37" s="203"/>
      <c r="O37" s="203"/>
      <c r="P37" s="204"/>
      <c r="Q37" s="208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</row>
    <row r="38" spans="2:28" ht="33" customHeight="1" thickBot="1">
      <c r="B38" s="210" t="s">
        <v>49</v>
      </c>
      <c r="C38" s="211"/>
      <c r="D38" s="212" t="s">
        <v>50</v>
      </c>
      <c r="E38" s="139"/>
      <c r="F38" s="139"/>
      <c r="G38" s="139"/>
      <c r="H38" s="139"/>
      <c r="I38" s="140"/>
      <c r="J38" s="205"/>
      <c r="K38" s="206"/>
      <c r="L38" s="206"/>
      <c r="M38" s="206"/>
      <c r="N38" s="206"/>
      <c r="O38" s="206"/>
      <c r="P38" s="207"/>
      <c r="Q38" s="209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8">
    <mergeCell ref="L7:S7"/>
    <mergeCell ref="L8:S8"/>
    <mergeCell ref="AB1:AB4"/>
    <mergeCell ref="D3:Z4"/>
    <mergeCell ref="B6:C6"/>
    <mergeCell ref="T6:X6"/>
    <mergeCell ref="Y6:Z6"/>
    <mergeCell ref="L6:S6"/>
    <mergeCell ref="D6:K6"/>
    <mergeCell ref="B1:C4"/>
    <mergeCell ref="D1:Z2"/>
    <mergeCell ref="AA6:AB6"/>
    <mergeCell ref="AB10:AB11"/>
    <mergeCell ref="B7:C7"/>
    <mergeCell ref="T7:X7"/>
    <mergeCell ref="Y7:Z7"/>
    <mergeCell ref="B8:C8"/>
    <mergeCell ref="T8:X8"/>
    <mergeCell ref="Y8:Z8"/>
    <mergeCell ref="B10:B11"/>
    <mergeCell ref="C10:C11"/>
    <mergeCell ref="D10:K10"/>
    <mergeCell ref="L10:S10"/>
    <mergeCell ref="T10:AA10"/>
    <mergeCell ref="D7:K7"/>
    <mergeCell ref="D8:K8"/>
    <mergeCell ref="AA7:AB7"/>
    <mergeCell ref="AA8:AB8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T12:T35">
    <cfRule type="cellIs" dxfId="73" priority="17" operator="greaterThan">
      <formula>0.51</formula>
    </cfRule>
    <cfRule type="cellIs" dxfId="72" priority="18" operator="lessThan">
      <formula>0.5</formula>
    </cfRule>
  </conditionalFormatting>
  <conditionalFormatting sqref="U12:U35">
    <cfRule type="cellIs" dxfId="71" priority="15" operator="greaterThan">
      <formula>5.1</formula>
    </cfRule>
    <cfRule type="cellIs" dxfId="70" priority="16" operator="lessThan">
      <formula>5</formula>
    </cfRule>
  </conditionalFormatting>
  <conditionalFormatting sqref="V12:V35">
    <cfRule type="cellIs" dxfId="69" priority="13" operator="greaterThan">
      <formula>1</formula>
    </cfRule>
    <cfRule type="cellIs" dxfId="68" priority="14" operator="lessThanOrEqual">
      <formula>1</formula>
    </cfRule>
  </conditionalFormatting>
  <conditionalFormatting sqref="W12:W35">
    <cfRule type="cellIs" dxfId="67" priority="11" operator="greaterThan">
      <formula>22.6</formula>
    </cfRule>
    <cfRule type="cellIs" dxfId="66" priority="12" operator="lessThanOrEqual">
      <formula>22.5</formula>
    </cfRule>
  </conditionalFormatting>
  <conditionalFormatting sqref="X12:X35">
    <cfRule type="cellIs" dxfId="65" priority="9" operator="greaterThan">
      <formula>1</formula>
    </cfRule>
    <cfRule type="cellIs" dxfId="64" priority="10" operator="lessThanOrEqual">
      <formula>1</formula>
    </cfRule>
  </conditionalFormatting>
  <conditionalFormatting sqref="Y12:Y35">
    <cfRule type="cellIs" dxfId="63" priority="7" operator="greaterThan">
      <formula>90.1</formula>
    </cfRule>
    <cfRule type="cellIs" dxfId="62" priority="8" operator="lessThan">
      <formula>90</formula>
    </cfRule>
  </conditionalFormatting>
  <conditionalFormatting sqref="Z12:Z35">
    <cfRule type="cellIs" dxfId="61" priority="5" operator="greaterThan">
      <formula>0.9</formula>
    </cfRule>
    <cfRule type="cellIs" dxfId="60" priority="6" operator="lessThan">
      <formula>0.8</formula>
    </cfRule>
  </conditionalFormatting>
  <conditionalFormatting sqref="AA12:AA35">
    <cfRule type="cellIs" dxfId="59" priority="2" operator="equal">
      <formula>0</formula>
    </cfRule>
    <cfRule type="expression" dxfId="58" priority="3">
      <formula>OR(AND(K12=0, S12=0), AND(K12&lt;&gt;0, ABS(S12-K12)/K12 &lt;= 0.05))</formula>
    </cfRule>
    <cfRule type="expression" dxfId="57" priority="4">
      <formula>AND(K12&lt;&gt;0, ABS(S12-K12)/K12 &gt; 0.05)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5A71-CBFF-483E-AFDB-6BEC28BECCA9}">
  <dimension ref="B1:AB68"/>
  <sheetViews>
    <sheetView topLeftCell="M1" zoomScale="96" zoomScaleNormal="96" workbookViewId="0">
      <selection activeCell="D1" sqref="D1:Z2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64"/>
      <c r="C1" s="233"/>
      <c r="D1" s="236" t="s">
        <v>6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8"/>
      <c r="AA1" s="2"/>
      <c r="AB1" s="239" t="s">
        <v>7</v>
      </c>
    </row>
    <row r="2" spans="2:28" ht="18" customHeight="1">
      <c r="B2" s="166"/>
      <c r="C2" s="234"/>
      <c r="D2" s="236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8"/>
      <c r="AA2" s="2"/>
      <c r="AB2" s="240"/>
    </row>
    <row r="3" spans="2:28" ht="18" customHeight="1">
      <c r="B3" s="166"/>
      <c r="C3" s="234"/>
      <c r="D3" s="236" t="s">
        <v>8</v>
      </c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8"/>
      <c r="AA3" s="2"/>
      <c r="AB3" s="240"/>
    </row>
    <row r="4" spans="2:28" ht="18" customHeight="1" thickBot="1">
      <c r="B4" s="168"/>
      <c r="C4" s="235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4"/>
      <c r="AA4" s="3"/>
      <c r="AB4" s="241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215" t="s">
        <v>9</v>
      </c>
      <c r="C6" s="215"/>
      <c r="D6" s="144" t="s">
        <v>68</v>
      </c>
      <c r="E6" s="145"/>
      <c r="F6" s="145"/>
      <c r="G6" s="145"/>
      <c r="H6" s="145"/>
      <c r="I6" s="145"/>
      <c r="J6" s="145"/>
      <c r="K6" s="146"/>
      <c r="L6" s="250" t="s">
        <v>10</v>
      </c>
      <c r="M6" s="251"/>
      <c r="N6" s="251"/>
      <c r="O6" s="251"/>
      <c r="P6" s="251"/>
      <c r="Q6" s="251"/>
      <c r="R6" s="251"/>
      <c r="S6" s="252"/>
      <c r="T6" s="245" t="s">
        <v>11</v>
      </c>
      <c r="U6" s="245"/>
      <c r="V6" s="245"/>
      <c r="W6" s="245"/>
      <c r="X6" s="245"/>
      <c r="Y6" s="250" t="s">
        <v>12</v>
      </c>
      <c r="Z6" s="251"/>
      <c r="AA6" s="253" t="s">
        <v>13</v>
      </c>
      <c r="AB6" s="254"/>
    </row>
    <row r="7" spans="2:28" ht="33.75" customHeight="1">
      <c r="B7" s="215" t="s">
        <v>14</v>
      </c>
      <c r="C7" s="215"/>
      <c r="D7" s="144" t="s">
        <v>71</v>
      </c>
      <c r="E7" s="145"/>
      <c r="F7" s="145"/>
      <c r="G7" s="145"/>
      <c r="H7" s="145"/>
      <c r="I7" s="145"/>
      <c r="J7" s="145"/>
      <c r="K7" s="146"/>
      <c r="L7" s="147" t="s">
        <v>15</v>
      </c>
      <c r="M7" s="148"/>
      <c r="N7" s="148"/>
      <c r="O7" s="148"/>
      <c r="P7" s="148"/>
      <c r="Q7" s="148"/>
      <c r="R7" s="148"/>
      <c r="S7" s="149"/>
      <c r="T7" s="147" t="s">
        <v>72</v>
      </c>
      <c r="U7" s="148"/>
      <c r="V7" s="148"/>
      <c r="W7" s="148"/>
      <c r="X7" s="149"/>
      <c r="Y7" s="150">
        <v>6262</v>
      </c>
      <c r="Z7" s="151"/>
      <c r="AA7" s="152" t="s">
        <v>82</v>
      </c>
      <c r="AB7" s="153"/>
    </row>
    <row r="8" spans="2:28" ht="33.75" customHeight="1">
      <c r="B8" s="215" t="s">
        <v>16</v>
      </c>
      <c r="C8" s="215"/>
      <c r="D8" s="144" t="s">
        <v>70</v>
      </c>
      <c r="E8" s="145"/>
      <c r="F8" s="145"/>
      <c r="G8" s="145"/>
      <c r="H8" s="145"/>
      <c r="I8" s="145"/>
      <c r="J8" s="145"/>
      <c r="K8" s="146"/>
      <c r="L8" s="147" t="s">
        <v>69</v>
      </c>
      <c r="M8" s="148"/>
      <c r="N8" s="148"/>
      <c r="O8" s="148"/>
      <c r="P8" s="148"/>
      <c r="Q8" s="148"/>
      <c r="R8" s="148"/>
      <c r="S8" s="149"/>
      <c r="T8" s="147" t="s">
        <v>72</v>
      </c>
      <c r="U8" s="148"/>
      <c r="V8" s="148"/>
      <c r="W8" s="148"/>
      <c r="X8" s="149"/>
      <c r="Y8" s="150">
        <v>6327</v>
      </c>
      <c r="Z8" s="151"/>
      <c r="AA8" s="152" t="s">
        <v>67</v>
      </c>
      <c r="AB8" s="153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20" t="s">
        <v>18</v>
      </c>
      <c r="C10" s="222" t="s">
        <v>19</v>
      </c>
      <c r="D10" s="224" t="s">
        <v>20</v>
      </c>
      <c r="E10" s="225"/>
      <c r="F10" s="225"/>
      <c r="G10" s="225"/>
      <c r="H10" s="225"/>
      <c r="I10" s="225"/>
      <c r="J10" s="225"/>
      <c r="K10" s="226"/>
      <c r="L10" s="227" t="s">
        <v>21</v>
      </c>
      <c r="M10" s="228"/>
      <c r="N10" s="228"/>
      <c r="O10" s="228"/>
      <c r="P10" s="228"/>
      <c r="Q10" s="228"/>
      <c r="R10" s="228"/>
      <c r="S10" s="229"/>
      <c r="T10" s="230" t="s">
        <v>22</v>
      </c>
      <c r="U10" s="231"/>
      <c r="V10" s="231"/>
      <c r="W10" s="231"/>
      <c r="X10" s="231"/>
      <c r="Y10" s="231"/>
      <c r="Z10" s="231"/>
      <c r="AA10" s="232"/>
      <c r="AB10" s="213" t="s">
        <v>23</v>
      </c>
    </row>
    <row r="11" spans="2:28" ht="48.75" customHeight="1" thickBot="1">
      <c r="B11" s="221"/>
      <c r="C11" s="223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14"/>
    </row>
    <row r="12" spans="2:28" ht="15" customHeight="1" thickBot="1">
      <c r="B12" s="78">
        <v>45430.041666666664</v>
      </c>
      <c r="C12" s="79">
        <v>0</v>
      </c>
      <c r="D12" s="86">
        <v>14.773333333333332</v>
      </c>
      <c r="E12" s="59">
        <v>83.048333333333332</v>
      </c>
      <c r="F12" s="59">
        <v>568.10666666666668</v>
      </c>
      <c r="G12" s="59">
        <v>45</v>
      </c>
      <c r="H12" s="59">
        <v>1.0316666666666665</v>
      </c>
      <c r="I12" s="59">
        <v>0</v>
      </c>
      <c r="J12" s="59"/>
      <c r="K12" s="87">
        <v>0</v>
      </c>
      <c r="L12" s="86">
        <v>15.1</v>
      </c>
      <c r="M12" s="59">
        <v>80.63333333333334</v>
      </c>
      <c r="N12" s="59">
        <v>567.76666666666654</v>
      </c>
      <c r="O12" s="59">
        <v>45</v>
      </c>
      <c r="P12" s="59">
        <v>0.51666666666666672</v>
      </c>
      <c r="Q12" s="59">
        <v>0</v>
      </c>
      <c r="R12" s="59"/>
      <c r="S12" s="87">
        <v>0</v>
      </c>
      <c r="T12" s="86">
        <f t="shared" ref="T12:Z35" si="0">+ABS(L12-D12)</f>
        <v>0.32666666666666799</v>
      </c>
      <c r="U12" s="59">
        <f t="shared" si="0"/>
        <v>2.414999999999992</v>
      </c>
      <c r="V12" s="59">
        <f t="shared" si="0"/>
        <v>0.34000000000014552</v>
      </c>
      <c r="W12" s="59">
        <f t="shared" si="0"/>
        <v>0</v>
      </c>
      <c r="X12" s="59">
        <f t="shared" si="0"/>
        <v>0.51499999999999979</v>
      </c>
      <c r="Y12" s="59">
        <f t="shared" si="0"/>
        <v>0</v>
      </c>
      <c r="Z12" s="59">
        <f t="shared" si="0"/>
        <v>0</v>
      </c>
      <c r="AA12" s="88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78">
        <v>45430</v>
      </c>
      <c r="C13" s="79">
        <v>4.1666666666666664E-2</v>
      </c>
      <c r="D13" s="89">
        <v>14.546666666666667</v>
      </c>
      <c r="E13" s="63">
        <v>84.02</v>
      </c>
      <c r="F13" s="63">
        <v>567.56166666666672</v>
      </c>
      <c r="G13" s="63">
        <v>22.5</v>
      </c>
      <c r="H13" s="63">
        <v>0.59166666666666667</v>
      </c>
      <c r="I13" s="63">
        <v>0</v>
      </c>
      <c r="J13" s="63"/>
      <c r="K13" s="90">
        <v>0</v>
      </c>
      <c r="L13" s="89">
        <v>14.85</v>
      </c>
      <c r="M13" s="63">
        <v>81.566666666666663</v>
      </c>
      <c r="N13" s="63">
        <v>567.21666666666658</v>
      </c>
      <c r="O13" s="63">
        <v>22.5</v>
      </c>
      <c r="P13" s="63">
        <v>0.10000000000000002</v>
      </c>
      <c r="Q13" s="63">
        <v>0</v>
      </c>
      <c r="R13" s="63"/>
      <c r="S13" s="90">
        <v>0</v>
      </c>
      <c r="T13" s="89">
        <f t="shared" si="0"/>
        <v>0.30333333333333279</v>
      </c>
      <c r="U13" s="63">
        <f t="shared" si="0"/>
        <v>2.4533333333333331</v>
      </c>
      <c r="V13" s="63">
        <f t="shared" si="0"/>
        <v>0.34500000000014097</v>
      </c>
      <c r="W13" s="63">
        <f t="shared" si="0"/>
        <v>0</v>
      </c>
      <c r="X13" s="63">
        <f t="shared" si="0"/>
        <v>0.49166666666666664</v>
      </c>
      <c r="Y13" s="63">
        <f t="shared" si="0"/>
        <v>0</v>
      </c>
      <c r="Z13" s="63">
        <f t="shared" si="0"/>
        <v>0</v>
      </c>
      <c r="AA13" s="88">
        <f t="shared" ref="AA13:AA3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78">
        <v>45430</v>
      </c>
      <c r="C14" s="79">
        <v>45690.083333333336</v>
      </c>
      <c r="D14" s="89">
        <v>13.893333333333333</v>
      </c>
      <c r="E14" s="63">
        <v>86.90000000000002</v>
      </c>
      <c r="F14" s="63">
        <v>567.29666666666662</v>
      </c>
      <c r="G14" s="63">
        <v>22.5</v>
      </c>
      <c r="H14" s="63">
        <v>0.6216666666666667</v>
      </c>
      <c r="I14" s="63">
        <v>0</v>
      </c>
      <c r="J14" s="63"/>
      <c r="K14" s="90">
        <v>0</v>
      </c>
      <c r="L14" s="89">
        <v>14.183333333333335</v>
      </c>
      <c r="M14" s="63">
        <v>84.383333333333326</v>
      </c>
      <c r="N14" s="63">
        <v>566.81666666666661</v>
      </c>
      <c r="O14" s="63">
        <v>22.5</v>
      </c>
      <c r="P14" s="63">
        <v>0.13333333333333333</v>
      </c>
      <c r="Q14" s="63">
        <v>0</v>
      </c>
      <c r="R14" s="63"/>
      <c r="S14" s="90">
        <v>0</v>
      </c>
      <c r="T14" s="89">
        <f t="shared" si="0"/>
        <v>0.2900000000000027</v>
      </c>
      <c r="U14" s="63">
        <f t="shared" si="0"/>
        <v>2.5166666666666941</v>
      </c>
      <c r="V14" s="63">
        <f t="shared" si="0"/>
        <v>0.48000000000001819</v>
      </c>
      <c r="W14" s="63">
        <f t="shared" si="0"/>
        <v>0</v>
      </c>
      <c r="X14" s="63">
        <f t="shared" si="0"/>
        <v>0.4883333333333334</v>
      </c>
      <c r="Y14" s="63">
        <f t="shared" si="0"/>
        <v>0</v>
      </c>
      <c r="Z14" s="63">
        <f t="shared" si="0"/>
        <v>0</v>
      </c>
      <c r="AA14" s="88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78">
        <v>45430</v>
      </c>
      <c r="C15" s="79">
        <v>45690.125</v>
      </c>
      <c r="D15" s="89">
        <v>13.35</v>
      </c>
      <c r="E15" s="63">
        <v>89.113333333333344</v>
      </c>
      <c r="F15" s="63">
        <v>567.08833333333337</v>
      </c>
      <c r="G15" s="63">
        <v>22.5</v>
      </c>
      <c r="H15" s="63">
        <v>0.87333333333333318</v>
      </c>
      <c r="I15" s="63">
        <v>0</v>
      </c>
      <c r="J15" s="63"/>
      <c r="K15" s="90">
        <v>0</v>
      </c>
      <c r="L15" s="89">
        <v>13.633333333333335</v>
      </c>
      <c r="M15" s="63">
        <v>86.533333333333346</v>
      </c>
      <c r="N15" s="63">
        <v>566.75000000000011</v>
      </c>
      <c r="O15" s="63">
        <v>22.5</v>
      </c>
      <c r="P15" s="63">
        <v>0.21666666666666667</v>
      </c>
      <c r="Q15" s="63">
        <v>0</v>
      </c>
      <c r="R15" s="63"/>
      <c r="S15" s="90">
        <v>0</v>
      </c>
      <c r="T15" s="89">
        <f t="shared" si="0"/>
        <v>0.28333333333333499</v>
      </c>
      <c r="U15" s="63">
        <f t="shared" si="0"/>
        <v>2.5799999999999983</v>
      </c>
      <c r="V15" s="63">
        <f t="shared" si="0"/>
        <v>0.33833333333325299</v>
      </c>
      <c r="W15" s="63">
        <f t="shared" si="0"/>
        <v>0</v>
      </c>
      <c r="X15" s="63">
        <f t="shared" si="0"/>
        <v>0.65666666666666651</v>
      </c>
      <c r="Y15" s="63">
        <f t="shared" si="0"/>
        <v>0</v>
      </c>
      <c r="Z15" s="63">
        <f t="shared" si="0"/>
        <v>0</v>
      </c>
      <c r="AA15" s="88">
        <f t="shared" si="1"/>
        <v>0</v>
      </c>
      <c r="AB15" s="27" t="str">
        <f t="shared" si="2"/>
        <v>Cumple</v>
      </c>
    </row>
    <row r="16" spans="2:28" ht="15" customHeight="1" thickBot="1">
      <c r="B16" s="78">
        <v>45430</v>
      </c>
      <c r="C16" s="79">
        <v>45690.166666666664</v>
      </c>
      <c r="D16" s="89">
        <v>12.719999999999999</v>
      </c>
      <c r="E16" s="63">
        <v>91.76</v>
      </c>
      <c r="F16" s="63">
        <v>567.52666666666676</v>
      </c>
      <c r="G16" s="63">
        <v>0</v>
      </c>
      <c r="H16" s="63">
        <v>0.90666666666666662</v>
      </c>
      <c r="I16" s="63">
        <v>0</v>
      </c>
      <c r="J16" s="63"/>
      <c r="K16" s="90">
        <v>0</v>
      </c>
      <c r="L16" s="89">
        <v>13</v>
      </c>
      <c r="M16" s="63">
        <v>89.066666666666663</v>
      </c>
      <c r="N16" s="63">
        <v>567.0333333333333</v>
      </c>
      <c r="O16" s="63">
        <v>0</v>
      </c>
      <c r="P16" s="63">
        <v>0.2166666666666667</v>
      </c>
      <c r="Q16" s="63">
        <v>0</v>
      </c>
      <c r="R16" s="63"/>
      <c r="S16" s="90">
        <v>0</v>
      </c>
      <c r="T16" s="89">
        <f t="shared" si="0"/>
        <v>0.28000000000000114</v>
      </c>
      <c r="U16" s="63">
        <f t="shared" si="0"/>
        <v>2.6933333333333422</v>
      </c>
      <c r="V16" s="63">
        <f t="shared" si="0"/>
        <v>0.49333333333345308</v>
      </c>
      <c r="W16" s="63">
        <f t="shared" si="0"/>
        <v>0</v>
      </c>
      <c r="X16" s="63">
        <f t="shared" si="0"/>
        <v>0.69</v>
      </c>
      <c r="Y16" s="63">
        <f t="shared" si="0"/>
        <v>0</v>
      </c>
      <c r="Z16" s="63">
        <f t="shared" si="0"/>
        <v>0</v>
      </c>
      <c r="AA16" s="88">
        <f t="shared" si="1"/>
        <v>0</v>
      </c>
      <c r="AB16" s="27" t="str">
        <f t="shared" si="2"/>
        <v>Cumple</v>
      </c>
    </row>
    <row r="17" spans="2:28" ht="15" customHeight="1" thickBot="1">
      <c r="B17" s="78">
        <v>45430</v>
      </c>
      <c r="C17" s="79">
        <v>45690.208333333336</v>
      </c>
      <c r="D17" s="89">
        <v>12.513333333333334</v>
      </c>
      <c r="E17" s="63">
        <v>93.06</v>
      </c>
      <c r="F17" s="63">
        <v>568.03166666666664</v>
      </c>
      <c r="G17" s="63">
        <v>337.5</v>
      </c>
      <c r="H17" s="63">
        <v>0.82333333333333336</v>
      </c>
      <c r="I17" s="63">
        <v>0</v>
      </c>
      <c r="J17" s="63"/>
      <c r="K17" s="90">
        <v>0</v>
      </c>
      <c r="L17" s="89">
        <v>12.783333333333331</v>
      </c>
      <c r="M17" s="63">
        <v>90.36666666666666</v>
      </c>
      <c r="N17" s="63">
        <v>567.38333333333333</v>
      </c>
      <c r="O17" s="63">
        <v>337.5</v>
      </c>
      <c r="P17" s="63">
        <v>0.16666666666666666</v>
      </c>
      <c r="Q17" s="63">
        <v>0</v>
      </c>
      <c r="R17" s="63"/>
      <c r="S17" s="90">
        <v>0</v>
      </c>
      <c r="T17" s="89">
        <f t="shared" si="0"/>
        <v>0.2699999999999978</v>
      </c>
      <c r="U17" s="63">
        <f t="shared" si="0"/>
        <v>2.6933333333333422</v>
      </c>
      <c r="V17" s="63">
        <f t="shared" si="0"/>
        <v>0.64833333333331211</v>
      </c>
      <c r="W17" s="63">
        <f t="shared" si="0"/>
        <v>0</v>
      </c>
      <c r="X17" s="63">
        <f t="shared" si="0"/>
        <v>0.65666666666666673</v>
      </c>
      <c r="Y17" s="63">
        <f t="shared" si="0"/>
        <v>0</v>
      </c>
      <c r="Z17" s="63">
        <f t="shared" si="0"/>
        <v>0</v>
      </c>
      <c r="AA17" s="88">
        <f t="shared" si="1"/>
        <v>0</v>
      </c>
      <c r="AB17" s="27" t="str">
        <f t="shared" si="2"/>
        <v>Cumple</v>
      </c>
    </row>
    <row r="18" spans="2:28" ht="15" customHeight="1" thickBot="1">
      <c r="B18" s="78">
        <v>45430</v>
      </c>
      <c r="C18" s="79">
        <v>45690.25</v>
      </c>
      <c r="D18" s="89">
        <v>13.023333333333332</v>
      </c>
      <c r="E18" s="63">
        <v>91.62833333333333</v>
      </c>
      <c r="F18" s="63">
        <v>568.29666666666662</v>
      </c>
      <c r="G18" s="63">
        <v>45</v>
      </c>
      <c r="H18" s="63">
        <v>0.71</v>
      </c>
      <c r="I18" s="63">
        <v>58.25333333333333</v>
      </c>
      <c r="J18" s="63"/>
      <c r="K18" s="90">
        <v>0</v>
      </c>
      <c r="L18" s="89">
        <v>13.283333333333333</v>
      </c>
      <c r="M18" s="63">
        <v>88.966666666666654</v>
      </c>
      <c r="N18" s="63">
        <v>567.61666666666667</v>
      </c>
      <c r="O18" s="63">
        <v>45</v>
      </c>
      <c r="P18" s="63">
        <v>0.3833333333333333</v>
      </c>
      <c r="Q18" s="63">
        <v>22.95</v>
      </c>
      <c r="R18" s="63"/>
      <c r="S18" s="90">
        <v>0</v>
      </c>
      <c r="T18" s="89">
        <f t="shared" si="0"/>
        <v>0.26000000000000156</v>
      </c>
      <c r="U18" s="63">
        <f t="shared" si="0"/>
        <v>2.661666666666676</v>
      </c>
      <c r="V18" s="63">
        <f t="shared" si="0"/>
        <v>0.67999999999994998</v>
      </c>
      <c r="W18" s="63">
        <f t="shared" si="0"/>
        <v>0</v>
      </c>
      <c r="X18" s="63">
        <f t="shared" si="0"/>
        <v>0.32666666666666666</v>
      </c>
      <c r="Y18" s="63">
        <f t="shared" si="0"/>
        <v>35.303333333333327</v>
      </c>
      <c r="Z18" s="63">
        <f t="shared" si="0"/>
        <v>0</v>
      </c>
      <c r="AA18" s="88">
        <f t="shared" si="1"/>
        <v>0</v>
      </c>
      <c r="AB18" s="27" t="str">
        <f t="shared" si="2"/>
        <v>Cumple</v>
      </c>
    </row>
    <row r="19" spans="2:28" ht="15" customHeight="1" thickBot="1">
      <c r="B19" s="78">
        <v>45430</v>
      </c>
      <c r="C19" s="79">
        <v>45690.291666666664</v>
      </c>
      <c r="D19" s="89">
        <v>14.051666666666668</v>
      </c>
      <c r="E19" s="63">
        <v>87.353333333333339</v>
      </c>
      <c r="F19" s="63">
        <v>568.81166666666672</v>
      </c>
      <c r="G19" s="63">
        <v>0</v>
      </c>
      <c r="H19" s="63">
        <v>1.1316666666666668</v>
      </c>
      <c r="I19" s="63">
        <v>103.82666666666667</v>
      </c>
      <c r="J19" s="63"/>
      <c r="K19" s="90">
        <v>0</v>
      </c>
      <c r="L19" s="89">
        <v>14.350000000000001</v>
      </c>
      <c r="M19" s="63">
        <v>84.833333333333314</v>
      </c>
      <c r="N19" s="63">
        <v>568.13333333333333</v>
      </c>
      <c r="O19" s="63">
        <v>0</v>
      </c>
      <c r="P19" s="63">
        <v>0.28333333333333333</v>
      </c>
      <c r="Q19" s="63">
        <v>68.850000000000009</v>
      </c>
      <c r="R19" s="63"/>
      <c r="S19" s="90">
        <v>0</v>
      </c>
      <c r="T19" s="89">
        <f t="shared" si="0"/>
        <v>0.29833333333333378</v>
      </c>
      <c r="U19" s="63">
        <f t="shared" si="0"/>
        <v>2.5200000000000244</v>
      </c>
      <c r="V19" s="63">
        <f t="shared" si="0"/>
        <v>0.67833333333339851</v>
      </c>
      <c r="W19" s="63">
        <f t="shared" si="0"/>
        <v>0</v>
      </c>
      <c r="X19" s="63">
        <f t="shared" si="0"/>
        <v>0.84833333333333349</v>
      </c>
      <c r="Y19" s="63">
        <f t="shared" si="0"/>
        <v>34.976666666666659</v>
      </c>
      <c r="Z19" s="63">
        <f t="shared" si="0"/>
        <v>0</v>
      </c>
      <c r="AA19" s="88">
        <f t="shared" si="1"/>
        <v>0</v>
      </c>
      <c r="AB19" s="27" t="str">
        <f t="shared" si="2"/>
        <v>Cumple</v>
      </c>
    </row>
    <row r="20" spans="2:28" ht="15" customHeight="1" thickBot="1">
      <c r="B20" s="78">
        <v>45430</v>
      </c>
      <c r="C20" s="79">
        <v>45690.333333333336</v>
      </c>
      <c r="D20" s="89">
        <v>15.844999999999999</v>
      </c>
      <c r="E20" s="63">
        <v>77.721666666666678</v>
      </c>
      <c r="F20" s="63">
        <v>568.66</v>
      </c>
      <c r="G20" s="63">
        <v>45</v>
      </c>
      <c r="H20" s="63">
        <v>0.57833333333333325</v>
      </c>
      <c r="I20" s="63">
        <v>292.03166666666664</v>
      </c>
      <c r="J20" s="63"/>
      <c r="K20" s="90">
        <v>0</v>
      </c>
      <c r="L20" s="89">
        <v>16.166666666666664</v>
      </c>
      <c r="M20" s="63">
        <v>75.466666666666654</v>
      </c>
      <c r="N20" s="63">
        <v>568.5</v>
      </c>
      <c r="O20" s="63">
        <v>45</v>
      </c>
      <c r="P20" s="63">
        <v>0.39999999999999997</v>
      </c>
      <c r="Q20" s="63">
        <v>244.2166666666667</v>
      </c>
      <c r="R20" s="63"/>
      <c r="S20" s="90">
        <v>0</v>
      </c>
      <c r="T20" s="89">
        <f t="shared" si="0"/>
        <v>0.32166666666666544</v>
      </c>
      <c r="U20" s="63">
        <f t="shared" si="0"/>
        <v>2.2550000000000239</v>
      </c>
      <c r="V20" s="63">
        <f t="shared" si="0"/>
        <v>0.15999999999996817</v>
      </c>
      <c r="W20" s="63">
        <f t="shared" si="0"/>
        <v>0</v>
      </c>
      <c r="X20" s="63">
        <f t="shared" si="0"/>
        <v>0.17833333333333329</v>
      </c>
      <c r="Y20" s="63">
        <f t="shared" si="0"/>
        <v>47.814999999999941</v>
      </c>
      <c r="Z20" s="63">
        <f t="shared" si="0"/>
        <v>0</v>
      </c>
      <c r="AA20" s="88">
        <f t="shared" si="1"/>
        <v>0</v>
      </c>
      <c r="AB20" s="27" t="str">
        <f t="shared" si="2"/>
        <v>Cumple</v>
      </c>
    </row>
    <row r="21" spans="2:28" ht="15" customHeight="1" thickBot="1">
      <c r="B21" s="78">
        <v>45430</v>
      </c>
      <c r="C21" s="79">
        <v>45690.375</v>
      </c>
      <c r="D21" s="89">
        <v>18.53</v>
      </c>
      <c r="E21" s="63">
        <v>64.944999999999993</v>
      </c>
      <c r="F21" s="63">
        <v>569.18000000000006</v>
      </c>
      <c r="G21" s="63">
        <v>90</v>
      </c>
      <c r="H21" s="63">
        <v>1.7850000000000001</v>
      </c>
      <c r="I21" s="63">
        <v>283.95999999999998</v>
      </c>
      <c r="J21" s="63"/>
      <c r="K21" s="90">
        <v>0</v>
      </c>
      <c r="L21" s="89">
        <v>18.900000000000002</v>
      </c>
      <c r="M21" s="63">
        <v>63.06666666666667</v>
      </c>
      <c r="N21" s="63">
        <v>568.69999999999993</v>
      </c>
      <c r="O21" s="63">
        <v>90</v>
      </c>
      <c r="P21" s="63">
        <v>1.1166666666666665</v>
      </c>
      <c r="Q21" s="63">
        <v>241.79999999999995</v>
      </c>
      <c r="R21" s="63"/>
      <c r="S21" s="90">
        <v>0</v>
      </c>
      <c r="T21" s="89">
        <f t="shared" si="0"/>
        <v>0.37000000000000099</v>
      </c>
      <c r="U21" s="63">
        <f t="shared" si="0"/>
        <v>1.8783333333333232</v>
      </c>
      <c r="V21" s="63">
        <f t="shared" si="0"/>
        <v>0.48000000000013188</v>
      </c>
      <c r="W21" s="63">
        <f t="shared" si="0"/>
        <v>0</v>
      </c>
      <c r="X21" s="63">
        <f t="shared" si="0"/>
        <v>0.66833333333333367</v>
      </c>
      <c r="Y21" s="63">
        <f t="shared" si="0"/>
        <v>42.160000000000025</v>
      </c>
      <c r="Z21" s="63">
        <f t="shared" si="0"/>
        <v>0</v>
      </c>
      <c r="AA21" s="88">
        <f t="shared" si="1"/>
        <v>0</v>
      </c>
      <c r="AB21" s="27" t="str">
        <f t="shared" si="2"/>
        <v>Cumple</v>
      </c>
    </row>
    <row r="22" spans="2:28" ht="15" customHeight="1" thickBot="1">
      <c r="B22" s="78">
        <v>45430</v>
      </c>
      <c r="C22" s="79">
        <v>45690.416666666664</v>
      </c>
      <c r="D22" s="89">
        <v>18.638333333333335</v>
      </c>
      <c r="E22" s="63">
        <v>63.704999999999991</v>
      </c>
      <c r="F22" s="63">
        <v>569.31333333333328</v>
      </c>
      <c r="G22" s="63">
        <v>135</v>
      </c>
      <c r="H22" s="63">
        <v>1.6233333333333333</v>
      </c>
      <c r="I22" s="63">
        <v>224.49333333333334</v>
      </c>
      <c r="J22" s="63"/>
      <c r="K22" s="90">
        <v>0</v>
      </c>
      <c r="L22" s="89">
        <v>19.033333333333335</v>
      </c>
      <c r="M22" s="63">
        <v>61.849999999999994</v>
      </c>
      <c r="N22" s="63">
        <v>568.65000000000009</v>
      </c>
      <c r="O22" s="63">
        <v>135</v>
      </c>
      <c r="P22" s="63">
        <v>1.4500000000000002</v>
      </c>
      <c r="Q22" s="63">
        <v>169.99999999999997</v>
      </c>
      <c r="R22" s="63"/>
      <c r="S22" s="90">
        <v>0</v>
      </c>
      <c r="T22" s="89">
        <f t="shared" si="0"/>
        <v>0.39499999999999957</v>
      </c>
      <c r="U22" s="63">
        <f t="shared" si="0"/>
        <v>1.8549999999999969</v>
      </c>
      <c r="V22" s="63">
        <f t="shared" si="0"/>
        <v>0.66333333333318478</v>
      </c>
      <c r="W22" s="63">
        <f t="shared" si="0"/>
        <v>0</v>
      </c>
      <c r="X22" s="63">
        <f t="shared" si="0"/>
        <v>0.17333333333333312</v>
      </c>
      <c r="Y22" s="63">
        <f t="shared" si="0"/>
        <v>54.493333333333368</v>
      </c>
      <c r="Z22" s="63">
        <f t="shared" si="0"/>
        <v>0</v>
      </c>
      <c r="AA22" s="88">
        <f t="shared" si="1"/>
        <v>0</v>
      </c>
      <c r="AB22" s="27" t="str">
        <f t="shared" si="2"/>
        <v>Cumple</v>
      </c>
    </row>
    <row r="23" spans="2:28" ht="15" customHeight="1" thickBot="1">
      <c r="B23" s="78">
        <v>45430</v>
      </c>
      <c r="C23" s="79">
        <v>45690.458333333336</v>
      </c>
      <c r="D23" s="89">
        <v>18.638333333333335</v>
      </c>
      <c r="E23" s="63">
        <v>65.13333333333334</v>
      </c>
      <c r="F23" s="63">
        <v>568.83833333333337</v>
      </c>
      <c r="G23" s="63">
        <v>22.5</v>
      </c>
      <c r="H23" s="63">
        <v>2.543333333333333</v>
      </c>
      <c r="I23" s="63">
        <v>289.86500000000001</v>
      </c>
      <c r="J23" s="63"/>
      <c r="K23" s="90">
        <v>0</v>
      </c>
      <c r="L23" s="89">
        <v>19.016666666666666</v>
      </c>
      <c r="M23" s="63">
        <v>63.233333333333341</v>
      </c>
      <c r="N23" s="63">
        <v>568.48333333333335</v>
      </c>
      <c r="O23" s="63">
        <v>22.5</v>
      </c>
      <c r="P23" s="63">
        <v>1.8833333333333331</v>
      </c>
      <c r="Q23" s="63">
        <v>240.5333333333333</v>
      </c>
      <c r="R23" s="63"/>
      <c r="S23" s="90">
        <v>0</v>
      </c>
      <c r="T23" s="89">
        <f t="shared" si="0"/>
        <v>0.3783333333333303</v>
      </c>
      <c r="U23" s="63">
        <f t="shared" si="0"/>
        <v>1.8999999999999986</v>
      </c>
      <c r="V23" s="63">
        <f t="shared" si="0"/>
        <v>0.35500000000001819</v>
      </c>
      <c r="W23" s="63">
        <f t="shared" si="0"/>
        <v>0</v>
      </c>
      <c r="X23" s="63">
        <f t="shared" si="0"/>
        <v>0.65999999999999992</v>
      </c>
      <c r="Y23" s="63">
        <f t="shared" si="0"/>
        <v>49.331666666666706</v>
      </c>
      <c r="Z23" s="63">
        <f t="shared" si="0"/>
        <v>0</v>
      </c>
      <c r="AA23" s="88">
        <f t="shared" si="1"/>
        <v>0</v>
      </c>
      <c r="AB23" s="27" t="str">
        <f t="shared" si="2"/>
        <v>Cumple</v>
      </c>
    </row>
    <row r="24" spans="2:28" ht="15" customHeight="1" thickBot="1">
      <c r="B24" s="78">
        <v>45430</v>
      </c>
      <c r="C24" s="79">
        <v>45690.5</v>
      </c>
      <c r="D24" s="89">
        <v>20.2</v>
      </c>
      <c r="E24" s="63">
        <v>58.456666666666671</v>
      </c>
      <c r="F24" s="63">
        <v>567.77666666666664</v>
      </c>
      <c r="G24" s="63">
        <v>135</v>
      </c>
      <c r="H24" s="63">
        <v>1.7</v>
      </c>
      <c r="I24" s="63">
        <v>574.73666666666668</v>
      </c>
      <c r="J24" s="63"/>
      <c r="K24" s="90">
        <v>0</v>
      </c>
      <c r="L24" s="89">
        <v>20.633333333333336</v>
      </c>
      <c r="M24" s="63">
        <v>56.75</v>
      </c>
      <c r="N24" s="63">
        <v>567.7833333333333</v>
      </c>
      <c r="O24" s="63">
        <v>112.5</v>
      </c>
      <c r="P24" s="63">
        <v>1.7166666666666668</v>
      </c>
      <c r="Q24" s="63">
        <v>524.25</v>
      </c>
      <c r="R24" s="63"/>
      <c r="S24" s="90">
        <v>0</v>
      </c>
      <c r="T24" s="89">
        <f t="shared" si="0"/>
        <v>0.43333333333333712</v>
      </c>
      <c r="U24" s="63">
        <f t="shared" si="0"/>
        <v>1.7066666666666706</v>
      </c>
      <c r="V24" s="63">
        <f t="shared" si="0"/>
        <v>6.6666666666606034E-3</v>
      </c>
      <c r="W24" s="63">
        <f t="shared" si="0"/>
        <v>22.5</v>
      </c>
      <c r="X24" s="63">
        <f t="shared" si="0"/>
        <v>1.6666666666666829E-2</v>
      </c>
      <c r="Y24" s="63">
        <f t="shared" si="0"/>
        <v>50.486666666666679</v>
      </c>
      <c r="Z24" s="63">
        <f t="shared" si="0"/>
        <v>0</v>
      </c>
      <c r="AA24" s="88">
        <f t="shared" si="1"/>
        <v>0</v>
      </c>
      <c r="AB24" s="27" t="str">
        <f t="shared" si="2"/>
        <v>Cumple</v>
      </c>
    </row>
    <row r="25" spans="2:28" ht="15" customHeight="1" thickBot="1">
      <c r="B25" s="78">
        <v>45430</v>
      </c>
      <c r="C25" s="79">
        <v>45690.541666666664</v>
      </c>
      <c r="D25" s="89">
        <v>21.043333333333337</v>
      </c>
      <c r="E25" s="63">
        <v>54.701666666666661</v>
      </c>
      <c r="F25" s="63">
        <v>567.20500000000004</v>
      </c>
      <c r="G25" s="63">
        <v>67.5</v>
      </c>
      <c r="H25" s="63">
        <v>2.0766666666666667</v>
      </c>
      <c r="I25" s="63">
        <v>241.88499999999999</v>
      </c>
      <c r="J25" s="63"/>
      <c r="K25" s="90">
        <v>0</v>
      </c>
      <c r="L25" s="89">
        <v>21.466666666666665</v>
      </c>
      <c r="M25" s="63">
        <v>53.1</v>
      </c>
      <c r="N25" s="63">
        <v>566.7166666666667</v>
      </c>
      <c r="O25" s="63">
        <v>67.5</v>
      </c>
      <c r="P25" s="63">
        <v>1.4166666666666667</v>
      </c>
      <c r="Q25" s="63">
        <v>202.06666666666663</v>
      </c>
      <c r="R25" s="63"/>
      <c r="S25" s="90">
        <v>0</v>
      </c>
      <c r="T25" s="89">
        <f t="shared" si="0"/>
        <v>0.42333333333332845</v>
      </c>
      <c r="U25" s="63">
        <f t="shared" si="0"/>
        <v>1.6016666666666595</v>
      </c>
      <c r="V25" s="63">
        <f t="shared" si="0"/>
        <v>0.48833333333334394</v>
      </c>
      <c r="W25" s="63">
        <f t="shared" si="0"/>
        <v>0</v>
      </c>
      <c r="X25" s="63">
        <f t="shared" si="0"/>
        <v>0.65999999999999992</v>
      </c>
      <c r="Y25" s="63">
        <f t="shared" si="0"/>
        <v>39.818333333333356</v>
      </c>
      <c r="Z25" s="63">
        <f t="shared" si="0"/>
        <v>0</v>
      </c>
      <c r="AA25" s="88">
        <f t="shared" si="1"/>
        <v>0</v>
      </c>
      <c r="AB25" s="27" t="str">
        <f t="shared" si="2"/>
        <v>Cumple</v>
      </c>
    </row>
    <row r="26" spans="2:28" ht="15" customHeight="1" thickBot="1">
      <c r="B26" s="78">
        <v>45430</v>
      </c>
      <c r="C26" s="79">
        <v>45690.583333333336</v>
      </c>
      <c r="D26" s="89">
        <v>19.27</v>
      </c>
      <c r="E26" s="63">
        <v>61.625</v>
      </c>
      <c r="F26" s="63">
        <v>567.11833333333334</v>
      </c>
      <c r="G26" s="63">
        <v>67.5</v>
      </c>
      <c r="H26" s="63">
        <v>2.2533333333333334</v>
      </c>
      <c r="I26" s="63">
        <v>124.57166666666666</v>
      </c>
      <c r="J26" s="63"/>
      <c r="K26" s="90">
        <v>0</v>
      </c>
      <c r="L26" s="89">
        <v>19.650000000000002</v>
      </c>
      <c r="M26" s="63">
        <v>59.833333333333343</v>
      </c>
      <c r="N26" s="63">
        <v>566.43333333333328</v>
      </c>
      <c r="O26" s="63">
        <v>67.5</v>
      </c>
      <c r="P26" s="63">
        <v>1.9166666666666667</v>
      </c>
      <c r="Q26" s="63">
        <v>73.566666666666663</v>
      </c>
      <c r="R26" s="63"/>
      <c r="S26" s="90">
        <v>0</v>
      </c>
      <c r="T26" s="89">
        <f t="shared" si="0"/>
        <v>0.38000000000000256</v>
      </c>
      <c r="U26" s="63">
        <f t="shared" si="0"/>
        <v>1.7916666666666572</v>
      </c>
      <c r="V26" s="63">
        <f t="shared" si="0"/>
        <v>0.68500000000005912</v>
      </c>
      <c r="W26" s="63">
        <f t="shared" si="0"/>
        <v>0</v>
      </c>
      <c r="X26" s="63">
        <f t="shared" si="0"/>
        <v>0.33666666666666667</v>
      </c>
      <c r="Y26" s="63">
        <f t="shared" si="0"/>
        <v>51.004999999999995</v>
      </c>
      <c r="Z26" s="63">
        <f t="shared" si="0"/>
        <v>0</v>
      </c>
      <c r="AA26" s="88">
        <f t="shared" si="1"/>
        <v>0</v>
      </c>
      <c r="AB26" s="27" t="str">
        <f t="shared" si="2"/>
        <v>Cumple</v>
      </c>
    </row>
    <row r="27" spans="2:28" ht="15" customHeight="1" thickBot="1">
      <c r="B27" s="78">
        <v>45430</v>
      </c>
      <c r="C27" s="79">
        <v>45690.625</v>
      </c>
      <c r="D27" s="89">
        <v>18.323333333333334</v>
      </c>
      <c r="E27" s="63">
        <v>66.679999999999993</v>
      </c>
      <c r="F27" s="63">
        <v>567.0333333333333</v>
      </c>
      <c r="G27" s="63">
        <v>135</v>
      </c>
      <c r="H27" s="63">
        <v>2.4783333333333331</v>
      </c>
      <c r="I27" s="63">
        <v>123.79333333333334</v>
      </c>
      <c r="J27" s="63"/>
      <c r="K27" s="90">
        <v>0</v>
      </c>
      <c r="L27" s="89">
        <v>18.7</v>
      </c>
      <c r="M27" s="63">
        <v>64.75</v>
      </c>
      <c r="N27" s="63">
        <v>566.5333333333333</v>
      </c>
      <c r="O27" s="63">
        <v>135</v>
      </c>
      <c r="P27" s="63">
        <v>2.0166666666666662</v>
      </c>
      <c r="Q27" s="63">
        <v>83.616666666666674</v>
      </c>
      <c r="R27" s="63"/>
      <c r="S27" s="90">
        <v>0</v>
      </c>
      <c r="T27" s="89">
        <f t="shared" si="0"/>
        <v>0.37666666666666515</v>
      </c>
      <c r="U27" s="63">
        <f t="shared" si="0"/>
        <v>1.9299999999999926</v>
      </c>
      <c r="V27" s="63">
        <f t="shared" si="0"/>
        <v>0.5</v>
      </c>
      <c r="W27" s="63">
        <f t="shared" si="0"/>
        <v>0</v>
      </c>
      <c r="X27" s="63">
        <f t="shared" si="0"/>
        <v>0.46166666666666689</v>
      </c>
      <c r="Y27" s="63">
        <f t="shared" si="0"/>
        <v>40.176666666666662</v>
      </c>
      <c r="Z27" s="63">
        <f t="shared" si="0"/>
        <v>0</v>
      </c>
      <c r="AA27" s="88">
        <f t="shared" si="1"/>
        <v>0</v>
      </c>
      <c r="AB27" s="27" t="str">
        <f t="shared" si="2"/>
        <v>Cumple</v>
      </c>
    </row>
    <row r="28" spans="2:28" ht="15" customHeight="1" thickBot="1">
      <c r="B28" s="78">
        <v>45430</v>
      </c>
      <c r="C28" s="79">
        <v>45690.666666666664</v>
      </c>
      <c r="D28" s="89">
        <v>17.439999999999998</v>
      </c>
      <c r="E28" s="63">
        <v>72.173333333333332</v>
      </c>
      <c r="F28" s="63">
        <v>566.98166666666668</v>
      </c>
      <c r="G28" s="63">
        <v>112.5</v>
      </c>
      <c r="H28" s="63">
        <v>2.3149999999999999</v>
      </c>
      <c r="I28" s="63">
        <v>98.126666666666665</v>
      </c>
      <c r="J28" s="63"/>
      <c r="K28" s="90">
        <v>0</v>
      </c>
      <c r="L28" s="89">
        <v>17.783333333333335</v>
      </c>
      <c r="M28" s="63">
        <v>70.083333333333329</v>
      </c>
      <c r="N28" s="63">
        <v>566.80000000000007</v>
      </c>
      <c r="O28" s="63">
        <v>112.5</v>
      </c>
      <c r="P28" s="63">
        <v>1.6666666666666667</v>
      </c>
      <c r="Q28" s="63">
        <v>60.783333333333331</v>
      </c>
      <c r="R28" s="63"/>
      <c r="S28" s="90">
        <v>0</v>
      </c>
      <c r="T28" s="89">
        <f t="shared" si="0"/>
        <v>0.34333333333333727</v>
      </c>
      <c r="U28" s="63">
        <f t="shared" si="0"/>
        <v>2.0900000000000034</v>
      </c>
      <c r="V28" s="63">
        <f t="shared" si="0"/>
        <v>0.18166666666661513</v>
      </c>
      <c r="W28" s="63">
        <f t="shared" si="0"/>
        <v>0</v>
      </c>
      <c r="X28" s="63">
        <f t="shared" si="0"/>
        <v>0.64833333333333321</v>
      </c>
      <c r="Y28" s="63">
        <f t="shared" si="0"/>
        <v>37.343333333333334</v>
      </c>
      <c r="Z28" s="63">
        <f t="shared" si="0"/>
        <v>0</v>
      </c>
      <c r="AA28" s="88">
        <f t="shared" si="1"/>
        <v>0</v>
      </c>
      <c r="AB28" s="27" t="str">
        <f t="shared" si="2"/>
        <v>Cumple</v>
      </c>
    </row>
    <row r="29" spans="2:28" ht="15" customHeight="1" thickBot="1">
      <c r="B29" s="78">
        <v>45430</v>
      </c>
      <c r="C29" s="79">
        <v>45690.708333333336</v>
      </c>
      <c r="D29" s="89">
        <v>16.734999999999999</v>
      </c>
      <c r="E29" s="63">
        <v>72.23</v>
      </c>
      <c r="F29" s="63">
        <v>567.83333333333326</v>
      </c>
      <c r="G29" s="63">
        <v>157.5</v>
      </c>
      <c r="H29" s="63">
        <v>1.905</v>
      </c>
      <c r="I29" s="63">
        <v>57.293333333333329</v>
      </c>
      <c r="J29" s="63"/>
      <c r="K29" s="90">
        <v>0</v>
      </c>
      <c r="L29" s="89">
        <v>17.066666666666666</v>
      </c>
      <c r="M29" s="63">
        <v>70.13333333333334</v>
      </c>
      <c r="N29" s="63">
        <v>567.18333333333328</v>
      </c>
      <c r="O29" s="63">
        <v>157.5</v>
      </c>
      <c r="P29" s="63">
        <v>1.5833333333333333</v>
      </c>
      <c r="Q29" s="63">
        <v>22.950000000000003</v>
      </c>
      <c r="R29" s="63"/>
      <c r="S29" s="90">
        <v>0</v>
      </c>
      <c r="T29" s="89">
        <f t="shared" si="0"/>
        <v>0.331666666666667</v>
      </c>
      <c r="U29" s="63">
        <f t="shared" si="0"/>
        <v>2.096666666666664</v>
      </c>
      <c r="V29" s="63">
        <f t="shared" si="0"/>
        <v>0.64999999999997726</v>
      </c>
      <c r="W29" s="63">
        <f t="shared" si="0"/>
        <v>0</v>
      </c>
      <c r="X29" s="63">
        <f t="shared" si="0"/>
        <v>0.32166666666666677</v>
      </c>
      <c r="Y29" s="63">
        <f t="shared" si="0"/>
        <v>34.343333333333327</v>
      </c>
      <c r="Z29" s="63">
        <f t="shared" si="0"/>
        <v>0</v>
      </c>
      <c r="AA29" s="88">
        <f t="shared" si="1"/>
        <v>0</v>
      </c>
      <c r="AB29" s="27" t="str">
        <f t="shared" si="2"/>
        <v>Cumple</v>
      </c>
    </row>
    <row r="30" spans="2:28" ht="15" customHeight="1" thickBot="1">
      <c r="B30" s="78">
        <v>45430</v>
      </c>
      <c r="C30" s="79">
        <v>45690.75</v>
      </c>
      <c r="D30" s="89">
        <v>16.275000000000002</v>
      </c>
      <c r="E30" s="63">
        <v>71.751666666666665</v>
      </c>
      <c r="F30" s="63">
        <v>568.40166666666664</v>
      </c>
      <c r="G30" s="63">
        <v>112.5</v>
      </c>
      <c r="H30" s="63">
        <v>2.2516666666666665</v>
      </c>
      <c r="I30" s="63">
        <v>1.5366666666666668</v>
      </c>
      <c r="J30" s="63"/>
      <c r="K30" s="90">
        <v>0</v>
      </c>
      <c r="L30" s="89">
        <v>16.600000000000001</v>
      </c>
      <c r="M30" s="63">
        <v>69.649999999999991</v>
      </c>
      <c r="N30" s="63">
        <v>568.06666666666661</v>
      </c>
      <c r="O30" s="63">
        <v>112.5</v>
      </c>
      <c r="P30" s="63">
        <v>1.4166666666666667</v>
      </c>
      <c r="Q30" s="63">
        <v>0.3666666666666667</v>
      </c>
      <c r="R30" s="63"/>
      <c r="S30" s="90">
        <v>0</v>
      </c>
      <c r="T30" s="89">
        <f t="shared" si="0"/>
        <v>0.32499999999999929</v>
      </c>
      <c r="U30" s="63">
        <f t="shared" si="0"/>
        <v>2.1016666666666737</v>
      </c>
      <c r="V30" s="63">
        <f t="shared" si="0"/>
        <v>0.33500000000003638</v>
      </c>
      <c r="W30" s="63">
        <f t="shared" si="0"/>
        <v>0</v>
      </c>
      <c r="X30" s="63">
        <f t="shared" si="0"/>
        <v>0.83499999999999974</v>
      </c>
      <c r="Y30" s="63">
        <f t="shared" si="0"/>
        <v>1.1700000000000002</v>
      </c>
      <c r="Z30" s="63">
        <f t="shared" si="0"/>
        <v>0</v>
      </c>
      <c r="AA30" s="88">
        <f t="shared" si="1"/>
        <v>0</v>
      </c>
      <c r="AB30" s="27" t="str">
        <f t="shared" si="2"/>
        <v>Cumple</v>
      </c>
    </row>
    <row r="31" spans="2:28" ht="15" customHeight="1" thickBot="1">
      <c r="B31" s="78">
        <v>45430</v>
      </c>
      <c r="C31" s="79">
        <v>45690.791666666664</v>
      </c>
      <c r="D31" s="89">
        <v>15.888333333333334</v>
      </c>
      <c r="E31" s="63">
        <v>74.081666666666663</v>
      </c>
      <c r="F31" s="63">
        <v>569.16666666666663</v>
      </c>
      <c r="G31" s="63">
        <v>157.5</v>
      </c>
      <c r="H31" s="63">
        <v>1.875</v>
      </c>
      <c r="I31" s="63">
        <v>0</v>
      </c>
      <c r="J31" s="63"/>
      <c r="K31" s="90">
        <v>0</v>
      </c>
      <c r="L31" s="89">
        <v>16.216666666666669</v>
      </c>
      <c r="M31" s="63">
        <v>71.916666666666671</v>
      </c>
      <c r="N31" s="63">
        <v>568.66666666666663</v>
      </c>
      <c r="O31" s="63">
        <v>157.5</v>
      </c>
      <c r="P31" s="63">
        <v>1.2166666666666666</v>
      </c>
      <c r="Q31" s="63">
        <v>0</v>
      </c>
      <c r="R31" s="63"/>
      <c r="S31" s="90">
        <v>0</v>
      </c>
      <c r="T31" s="89">
        <f t="shared" si="0"/>
        <v>0.32833333333333492</v>
      </c>
      <c r="U31" s="63">
        <f t="shared" si="0"/>
        <v>2.164999999999992</v>
      </c>
      <c r="V31" s="63">
        <f t="shared" si="0"/>
        <v>0.5</v>
      </c>
      <c r="W31" s="63">
        <f t="shared" si="0"/>
        <v>0</v>
      </c>
      <c r="X31" s="63">
        <f t="shared" si="0"/>
        <v>0.65833333333333344</v>
      </c>
      <c r="Y31" s="63">
        <f t="shared" si="0"/>
        <v>0</v>
      </c>
      <c r="Z31" s="63">
        <f t="shared" si="0"/>
        <v>0</v>
      </c>
      <c r="AA31" s="88">
        <f t="shared" si="1"/>
        <v>0</v>
      </c>
      <c r="AB31" s="27" t="str">
        <f t="shared" si="2"/>
        <v>Cumple</v>
      </c>
    </row>
    <row r="32" spans="2:28" ht="15" customHeight="1" thickBot="1">
      <c r="B32" s="78">
        <v>45430</v>
      </c>
      <c r="C32" s="79">
        <v>45690.833333333336</v>
      </c>
      <c r="D32" s="89">
        <v>15.67</v>
      </c>
      <c r="E32" s="63">
        <v>75.588333333333338</v>
      </c>
      <c r="F32" s="63">
        <v>569.45833333333337</v>
      </c>
      <c r="G32" s="63">
        <v>90</v>
      </c>
      <c r="H32" s="63">
        <v>1.75</v>
      </c>
      <c r="I32" s="63">
        <v>0</v>
      </c>
      <c r="J32" s="63"/>
      <c r="K32" s="90">
        <v>0</v>
      </c>
      <c r="L32" s="89">
        <v>16</v>
      </c>
      <c r="M32" s="63">
        <v>73.36666666666666</v>
      </c>
      <c r="N32" s="63">
        <v>568.94999999999993</v>
      </c>
      <c r="O32" s="63">
        <v>90</v>
      </c>
      <c r="P32" s="63">
        <v>0.93333333333333324</v>
      </c>
      <c r="Q32" s="63">
        <v>0</v>
      </c>
      <c r="R32" s="63"/>
      <c r="S32" s="90">
        <v>0</v>
      </c>
      <c r="T32" s="89">
        <f t="shared" si="0"/>
        <v>0.33000000000000007</v>
      </c>
      <c r="U32" s="63">
        <f t="shared" si="0"/>
        <v>2.2216666666666782</v>
      </c>
      <c r="V32" s="63">
        <f t="shared" si="0"/>
        <v>0.50833333333343944</v>
      </c>
      <c r="W32" s="63">
        <f t="shared" si="0"/>
        <v>0</v>
      </c>
      <c r="X32" s="63">
        <f t="shared" si="0"/>
        <v>0.81666666666666676</v>
      </c>
      <c r="Y32" s="63">
        <f t="shared" si="0"/>
        <v>0</v>
      </c>
      <c r="Z32" s="63">
        <f t="shared" si="0"/>
        <v>0</v>
      </c>
      <c r="AA32" s="88">
        <f t="shared" si="1"/>
        <v>0</v>
      </c>
      <c r="AB32" s="27" t="str">
        <f t="shared" si="2"/>
        <v>Cumple</v>
      </c>
    </row>
    <row r="33" spans="2:28" ht="15" customHeight="1" thickBot="1">
      <c r="B33" s="78">
        <v>45430</v>
      </c>
      <c r="C33" s="79">
        <v>45690.875</v>
      </c>
      <c r="D33" s="89">
        <v>15.39</v>
      </c>
      <c r="E33" s="63">
        <v>77.36333333333333</v>
      </c>
      <c r="F33" s="63">
        <v>570.01</v>
      </c>
      <c r="G33" s="63">
        <v>45</v>
      </c>
      <c r="H33" s="63">
        <v>1.0550000000000002</v>
      </c>
      <c r="I33" s="63">
        <v>0</v>
      </c>
      <c r="J33" s="63"/>
      <c r="K33" s="90">
        <v>0</v>
      </c>
      <c r="L33" s="89">
        <v>15.716666666666667</v>
      </c>
      <c r="M33" s="63">
        <v>75.11666666666666</v>
      </c>
      <c r="N33" s="63">
        <v>569.51666666666677</v>
      </c>
      <c r="O33" s="63">
        <v>45</v>
      </c>
      <c r="P33" s="63">
        <v>0.53333333333333333</v>
      </c>
      <c r="Q33" s="63">
        <v>0</v>
      </c>
      <c r="R33" s="63"/>
      <c r="S33" s="90">
        <v>0</v>
      </c>
      <c r="T33" s="89">
        <f t="shared" si="0"/>
        <v>0.32666666666666622</v>
      </c>
      <c r="U33" s="63">
        <f t="shared" si="0"/>
        <v>2.2466666666666697</v>
      </c>
      <c r="V33" s="63">
        <f t="shared" si="0"/>
        <v>0.49333333333322571</v>
      </c>
      <c r="W33" s="63">
        <f t="shared" si="0"/>
        <v>0</v>
      </c>
      <c r="X33" s="63">
        <f t="shared" si="0"/>
        <v>0.52166666666666683</v>
      </c>
      <c r="Y33" s="63">
        <f t="shared" si="0"/>
        <v>0</v>
      </c>
      <c r="Z33" s="63">
        <f t="shared" si="0"/>
        <v>0</v>
      </c>
      <c r="AA33" s="88">
        <f t="shared" si="1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78">
        <v>45430</v>
      </c>
      <c r="C34" s="79">
        <v>45690.916666666664</v>
      </c>
      <c r="D34" s="89">
        <v>15.325000000000001</v>
      </c>
      <c r="E34" s="63">
        <v>76.103333333333339</v>
      </c>
      <c r="F34" s="63">
        <v>570.14333333333343</v>
      </c>
      <c r="G34" s="63">
        <v>112.5</v>
      </c>
      <c r="H34" s="63">
        <v>0.69499999999999995</v>
      </c>
      <c r="I34" s="63">
        <v>0</v>
      </c>
      <c r="J34" s="63"/>
      <c r="K34" s="90">
        <v>0</v>
      </c>
      <c r="L34" s="89">
        <v>15.633333333333333</v>
      </c>
      <c r="M34" s="63">
        <v>73.88333333333334</v>
      </c>
      <c r="N34" s="63">
        <v>569.48333333333335</v>
      </c>
      <c r="O34" s="63">
        <v>90</v>
      </c>
      <c r="P34" s="63">
        <v>0.53333333333333333</v>
      </c>
      <c r="Q34" s="63">
        <v>0</v>
      </c>
      <c r="R34" s="63"/>
      <c r="S34" s="90">
        <v>0</v>
      </c>
      <c r="T34" s="89">
        <f t="shared" si="0"/>
        <v>0.30833333333333179</v>
      </c>
      <c r="U34" s="63">
        <f t="shared" si="0"/>
        <v>2.2199999999999989</v>
      </c>
      <c r="V34" s="63">
        <f t="shared" si="0"/>
        <v>0.66000000000008185</v>
      </c>
      <c r="W34" s="63">
        <f t="shared" si="0"/>
        <v>22.5</v>
      </c>
      <c r="X34" s="63">
        <f t="shared" si="0"/>
        <v>0.16166666666666663</v>
      </c>
      <c r="Y34" s="63">
        <f t="shared" si="0"/>
        <v>0</v>
      </c>
      <c r="Z34" s="63">
        <f t="shared" si="0"/>
        <v>0</v>
      </c>
      <c r="AA34" s="88">
        <f t="shared" si="1"/>
        <v>0</v>
      </c>
      <c r="AB34" s="27" t="str">
        <f t="shared" si="2"/>
        <v>Cumple</v>
      </c>
    </row>
    <row r="35" spans="2:28" ht="15" customHeight="1" thickBot="1">
      <c r="B35" s="78">
        <v>45430</v>
      </c>
      <c r="C35" s="79">
        <v>45690.958333333336</v>
      </c>
      <c r="D35" s="94">
        <v>15.018333333333333</v>
      </c>
      <c r="E35" s="95">
        <v>81.825000000000003</v>
      </c>
      <c r="F35" s="95">
        <v>569.93666666666661</v>
      </c>
      <c r="G35" s="95">
        <v>0</v>
      </c>
      <c r="H35" s="95">
        <v>0.94333333333333336</v>
      </c>
      <c r="I35" s="95">
        <v>0</v>
      </c>
      <c r="J35" s="95"/>
      <c r="K35" s="99">
        <v>0</v>
      </c>
      <c r="L35" s="94">
        <v>15.316666666666665</v>
      </c>
      <c r="M35" s="95">
        <v>79.45</v>
      </c>
      <c r="N35" s="95">
        <v>569.2833333333333</v>
      </c>
      <c r="O35" s="95">
        <v>0</v>
      </c>
      <c r="P35" s="95">
        <v>0.61666666666666659</v>
      </c>
      <c r="Q35" s="95">
        <v>0</v>
      </c>
      <c r="R35" s="95"/>
      <c r="S35" s="99">
        <v>0</v>
      </c>
      <c r="T35" s="94">
        <f t="shared" si="0"/>
        <v>0.29833333333333201</v>
      </c>
      <c r="U35" s="95">
        <f t="shared" si="0"/>
        <v>2.375</v>
      </c>
      <c r="V35" s="95">
        <f t="shared" si="0"/>
        <v>0.65333333333330756</v>
      </c>
      <c r="W35" s="95">
        <f t="shared" si="0"/>
        <v>0</v>
      </c>
      <c r="X35" s="95">
        <f t="shared" si="0"/>
        <v>0.32666666666666677</v>
      </c>
      <c r="Y35" s="95">
        <f t="shared" si="0"/>
        <v>0</v>
      </c>
      <c r="Z35" s="95">
        <f t="shared" si="0"/>
        <v>0</v>
      </c>
      <c r="AA35" s="88">
        <f t="shared" si="1"/>
        <v>0</v>
      </c>
      <c r="AB35" s="27" t="str">
        <f t="shared" si="2"/>
        <v>Cumple</v>
      </c>
    </row>
    <row r="36" spans="2:28" ht="33" customHeight="1">
      <c r="B36" s="194" t="s">
        <v>42</v>
      </c>
      <c r="C36" s="195"/>
      <c r="D36" s="112">
        <v>45435</v>
      </c>
      <c r="E36" s="113"/>
      <c r="F36" s="113"/>
      <c r="G36" s="113"/>
      <c r="H36" s="113"/>
      <c r="I36" s="114"/>
      <c r="J36" s="199" t="s">
        <v>43</v>
      </c>
      <c r="K36" s="199"/>
      <c r="L36" s="199"/>
      <c r="M36" s="199"/>
      <c r="N36" s="199"/>
      <c r="O36" s="199"/>
      <c r="P36" s="199"/>
      <c r="Q36" s="118" t="s">
        <v>44</v>
      </c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9"/>
    </row>
    <row r="37" spans="2:28" ht="33" customHeight="1">
      <c r="B37" s="200" t="s">
        <v>45</v>
      </c>
      <c r="C37" s="201"/>
      <c r="D37" s="123" t="s">
        <v>46</v>
      </c>
      <c r="E37" s="124"/>
      <c r="F37" s="124"/>
      <c r="G37" s="124"/>
      <c r="H37" s="124"/>
      <c r="I37" s="125"/>
      <c r="J37" s="202" t="s">
        <v>47</v>
      </c>
      <c r="K37" s="203"/>
      <c r="L37" s="203"/>
      <c r="M37" s="203"/>
      <c r="N37" s="203"/>
      <c r="O37" s="203"/>
      <c r="P37" s="204"/>
      <c r="Q37" s="208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</row>
    <row r="38" spans="2:28" ht="33" customHeight="1" thickBot="1">
      <c r="B38" s="210" t="s">
        <v>49</v>
      </c>
      <c r="C38" s="211"/>
      <c r="D38" s="212" t="s">
        <v>50</v>
      </c>
      <c r="E38" s="139"/>
      <c r="F38" s="139"/>
      <c r="G38" s="139"/>
      <c r="H38" s="139"/>
      <c r="I38" s="140"/>
      <c r="J38" s="205"/>
      <c r="K38" s="206"/>
      <c r="L38" s="206"/>
      <c r="M38" s="206"/>
      <c r="N38" s="206"/>
      <c r="O38" s="206"/>
      <c r="P38" s="207"/>
      <c r="Q38" s="209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8">
    <mergeCell ref="L7:S7"/>
    <mergeCell ref="L8:S8"/>
    <mergeCell ref="Q36:AB36"/>
    <mergeCell ref="B37:C37"/>
    <mergeCell ref="D37:I37"/>
    <mergeCell ref="J37:P38"/>
    <mergeCell ref="Q37:AB38"/>
    <mergeCell ref="B38:C38"/>
    <mergeCell ref="D38:I38"/>
    <mergeCell ref="B36:C36"/>
    <mergeCell ref="D36:I36"/>
    <mergeCell ref="J36:P36"/>
    <mergeCell ref="AB10:AB11"/>
    <mergeCell ref="B7:C7"/>
    <mergeCell ref="T7:X7"/>
    <mergeCell ref="Y7:Z7"/>
    <mergeCell ref="Y8:Z8"/>
    <mergeCell ref="B10:B11"/>
    <mergeCell ref="C10:C11"/>
    <mergeCell ref="D10:K10"/>
    <mergeCell ref="L10:S10"/>
    <mergeCell ref="T10:AA10"/>
    <mergeCell ref="D7:K7"/>
    <mergeCell ref="D8:K8"/>
    <mergeCell ref="AA7:AB7"/>
    <mergeCell ref="AA8:AB8"/>
    <mergeCell ref="B1:C4"/>
    <mergeCell ref="D1:Z2"/>
    <mergeCell ref="AB1:AB4"/>
    <mergeCell ref="D3:Z4"/>
    <mergeCell ref="B6:C6"/>
    <mergeCell ref="T6:X6"/>
    <mergeCell ref="Y6:Z6"/>
    <mergeCell ref="L6:S6"/>
    <mergeCell ref="D6:K6"/>
    <mergeCell ref="AA6:AB6"/>
    <mergeCell ref="B8:C8"/>
    <mergeCell ref="T8:X8"/>
  </mergeCells>
  <conditionalFormatting sqref="T12:T35">
    <cfRule type="cellIs" dxfId="56" priority="16" operator="greaterThan">
      <formula>0.51</formula>
    </cfRule>
    <cfRule type="cellIs" dxfId="55" priority="17" operator="lessThan">
      <formula>0.5</formula>
    </cfRule>
  </conditionalFormatting>
  <conditionalFormatting sqref="U12:U35">
    <cfRule type="cellIs" dxfId="54" priority="14" operator="greaterThan">
      <formula>5.1</formula>
    </cfRule>
    <cfRule type="cellIs" dxfId="53" priority="15" operator="lessThan">
      <formula>5</formula>
    </cfRule>
  </conditionalFormatting>
  <conditionalFormatting sqref="V12:V35">
    <cfRule type="cellIs" dxfId="52" priority="12" operator="greaterThan">
      <formula>1.1</formula>
    </cfRule>
    <cfRule type="cellIs" dxfId="51" priority="13" operator="lessThan">
      <formula>1</formula>
    </cfRule>
  </conditionalFormatting>
  <conditionalFormatting sqref="W12:W35">
    <cfRule type="cellIs" dxfId="50" priority="10" operator="greaterThan">
      <formula>22.6</formula>
    </cfRule>
    <cfRule type="cellIs" dxfId="49" priority="11" operator="lessThanOrEqual">
      <formula>22.5</formula>
    </cfRule>
  </conditionalFormatting>
  <conditionalFormatting sqref="X12:X35">
    <cfRule type="cellIs" dxfId="48" priority="8" operator="greaterThan">
      <formula>1.1</formula>
    </cfRule>
    <cfRule type="cellIs" dxfId="47" priority="9" operator="lessThan">
      <formula>1</formula>
    </cfRule>
  </conditionalFormatting>
  <conditionalFormatting sqref="Y12:Y35">
    <cfRule type="cellIs" dxfId="46" priority="6" operator="greaterThan">
      <formula>90.1</formula>
    </cfRule>
    <cfRule type="cellIs" dxfId="45" priority="7" operator="lessThan">
      <formula>90</formula>
    </cfRule>
  </conditionalFormatting>
  <conditionalFormatting sqref="Z12:Z35">
    <cfRule type="cellIs" dxfId="44" priority="4" operator="greaterThan">
      <formula>0.9</formula>
    </cfRule>
    <cfRule type="cellIs" dxfId="43" priority="5" operator="lessThan">
      <formula>0.8</formula>
    </cfRule>
  </conditionalFormatting>
  <conditionalFormatting sqref="AA12:AA35">
    <cfRule type="cellIs" dxfId="42" priority="1" operator="equal">
      <formula>0</formula>
    </cfRule>
    <cfRule type="expression" dxfId="41" priority="2">
      <formula>OR(AND(K12=0, S12=0), AND(K12&lt;&gt;0, ABS(S12-K12)/K12 &lt;= 0.05))</formula>
    </cfRule>
    <cfRule type="expression" dxfId="40" priority="3">
      <formula>AND(K12&lt;&gt;0, ABS(S12-K12)/K12 &gt; 0.05)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ABC6-8C4E-4495-B3BA-044A3449BE8D}">
  <dimension ref="B1:AM68"/>
  <sheetViews>
    <sheetView topLeftCell="M1" zoomScale="94" zoomScaleNormal="94" workbookViewId="0">
      <selection activeCell="Y7" sqref="Y7:Z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64"/>
      <c r="C1" s="165"/>
      <c r="D1" s="170" t="s">
        <v>6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176" t="s">
        <v>51</v>
      </c>
      <c r="AB1" s="177"/>
    </row>
    <row r="2" spans="2:39" ht="18" customHeight="1">
      <c r="B2" s="166"/>
      <c r="C2" s="167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5"/>
      <c r="AA2" s="178"/>
      <c r="AB2" s="179"/>
    </row>
    <row r="3" spans="2:39" ht="18" customHeight="1">
      <c r="B3" s="166"/>
      <c r="C3" s="167"/>
      <c r="D3" s="182" t="s">
        <v>8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4"/>
      <c r="AA3" s="178"/>
      <c r="AB3" s="179"/>
    </row>
    <row r="4" spans="2:39" ht="18" customHeight="1" thickBot="1">
      <c r="B4" s="168"/>
      <c r="C4" s="169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7"/>
      <c r="AA4" s="180"/>
      <c r="AB4" s="181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43" t="s">
        <v>9</v>
      </c>
      <c r="C6" s="143"/>
      <c r="D6" s="144" t="s">
        <v>68</v>
      </c>
      <c r="E6" s="145"/>
      <c r="F6" s="145"/>
      <c r="G6" s="145"/>
      <c r="H6" s="145"/>
      <c r="I6" s="145"/>
      <c r="J6" s="145"/>
      <c r="K6" s="146"/>
      <c r="L6" s="188" t="s">
        <v>10</v>
      </c>
      <c r="M6" s="189"/>
      <c r="N6" s="189"/>
      <c r="O6" s="189"/>
      <c r="P6" s="189"/>
      <c r="Q6" s="189"/>
      <c r="R6" s="189"/>
      <c r="S6" s="190"/>
      <c r="T6" s="191" t="s">
        <v>11</v>
      </c>
      <c r="U6" s="191"/>
      <c r="V6" s="191"/>
      <c r="W6" s="191"/>
      <c r="X6" s="191"/>
      <c r="Y6" s="191" t="s">
        <v>12</v>
      </c>
      <c r="Z6" s="191"/>
      <c r="AA6" s="192" t="s">
        <v>52</v>
      </c>
      <c r="AB6" s="193"/>
    </row>
    <row r="7" spans="2:39" ht="33.75" customHeight="1">
      <c r="B7" s="143" t="s">
        <v>14</v>
      </c>
      <c r="C7" s="143"/>
      <c r="D7" s="144" t="s">
        <v>71</v>
      </c>
      <c r="E7" s="145"/>
      <c r="F7" s="145"/>
      <c r="G7" s="145"/>
      <c r="H7" s="145"/>
      <c r="I7" s="145"/>
      <c r="J7" s="145"/>
      <c r="K7" s="146"/>
      <c r="L7" s="147" t="s">
        <v>15</v>
      </c>
      <c r="M7" s="148"/>
      <c r="N7" s="148"/>
      <c r="O7" s="148"/>
      <c r="P7" s="148"/>
      <c r="Q7" s="148"/>
      <c r="R7" s="148"/>
      <c r="S7" s="149"/>
      <c r="T7" s="147" t="s">
        <v>72</v>
      </c>
      <c r="U7" s="148"/>
      <c r="V7" s="148"/>
      <c r="W7" s="148"/>
      <c r="X7" s="149"/>
      <c r="Y7" s="150">
        <v>6327</v>
      </c>
      <c r="Z7" s="151"/>
      <c r="AA7" s="152" t="s">
        <v>81</v>
      </c>
      <c r="AB7" s="153"/>
    </row>
    <row r="8" spans="2:39" ht="33.75" customHeight="1">
      <c r="B8" s="143" t="s">
        <v>16</v>
      </c>
      <c r="C8" s="143"/>
      <c r="D8" s="144" t="s">
        <v>70</v>
      </c>
      <c r="E8" s="145"/>
      <c r="F8" s="145"/>
      <c r="G8" s="145"/>
      <c r="H8" s="145"/>
      <c r="I8" s="145"/>
      <c r="J8" s="145"/>
      <c r="K8" s="146"/>
      <c r="L8" s="147" t="s">
        <v>69</v>
      </c>
      <c r="M8" s="148"/>
      <c r="N8" s="148"/>
      <c r="O8" s="148"/>
      <c r="P8" s="148"/>
      <c r="Q8" s="148"/>
      <c r="R8" s="148"/>
      <c r="S8" s="149"/>
      <c r="T8" s="147" t="s">
        <v>72</v>
      </c>
      <c r="U8" s="148"/>
      <c r="V8" s="148"/>
      <c r="W8" s="148"/>
      <c r="X8" s="149"/>
      <c r="Y8" s="150">
        <v>6327</v>
      </c>
      <c r="Z8" s="151"/>
      <c r="AA8" s="152" t="s">
        <v>67</v>
      </c>
      <c r="AB8" s="153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54" t="s">
        <v>18</v>
      </c>
      <c r="C10" s="156" t="s">
        <v>19</v>
      </c>
      <c r="D10" s="158" t="s">
        <v>20</v>
      </c>
      <c r="E10" s="159"/>
      <c r="F10" s="159"/>
      <c r="G10" s="159"/>
      <c r="H10" s="159"/>
      <c r="I10" s="159"/>
      <c r="J10" s="159"/>
      <c r="K10" s="160"/>
      <c r="L10" s="158" t="s">
        <v>21</v>
      </c>
      <c r="M10" s="159"/>
      <c r="N10" s="159"/>
      <c r="O10" s="159"/>
      <c r="P10" s="159"/>
      <c r="Q10" s="159"/>
      <c r="R10" s="159"/>
      <c r="S10" s="161"/>
      <c r="T10" s="162" t="s">
        <v>53</v>
      </c>
      <c r="U10" s="163"/>
      <c r="V10" s="163"/>
      <c r="W10" s="163"/>
      <c r="X10" s="163"/>
      <c r="Y10" s="163"/>
      <c r="Z10" s="163"/>
      <c r="AA10" s="163"/>
      <c r="AB10" s="141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55"/>
      <c r="C11" s="157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2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0">
        <v>45615</v>
      </c>
      <c r="C12" s="57">
        <v>0</v>
      </c>
      <c r="D12" s="86">
        <v>13.31</v>
      </c>
      <c r="E12" s="59">
        <v>93.708333333333329</v>
      </c>
      <c r="F12" s="59">
        <v>567.09833333333336</v>
      </c>
      <c r="G12" s="59">
        <v>337.5</v>
      </c>
      <c r="H12" s="59">
        <v>1.4483333333333335</v>
      </c>
      <c r="I12" s="59">
        <v>0</v>
      </c>
      <c r="J12" s="59"/>
      <c r="K12" s="87">
        <v>1.4</v>
      </c>
      <c r="L12" s="86">
        <v>13.583333333333334</v>
      </c>
      <c r="M12" s="59">
        <v>90.966666666666683</v>
      </c>
      <c r="N12" s="59">
        <v>566.26666666666654</v>
      </c>
      <c r="O12" s="59">
        <v>315</v>
      </c>
      <c r="P12" s="59">
        <v>0.80000000000000016</v>
      </c>
      <c r="Q12" s="59">
        <v>0</v>
      </c>
      <c r="R12" s="59"/>
      <c r="S12" s="88">
        <v>1.4</v>
      </c>
      <c r="T12" s="86">
        <f>+ABS(L12-D12)</f>
        <v>0.27333333333333343</v>
      </c>
      <c r="U12" s="59">
        <f t="shared" ref="T12:Z35" si="0">+ABS(M12-E12)</f>
        <v>2.7416666666666458</v>
      </c>
      <c r="V12" s="59">
        <f t="shared" si="0"/>
        <v>0.83166666666681976</v>
      </c>
      <c r="W12" s="59">
        <f t="shared" si="0"/>
        <v>22.5</v>
      </c>
      <c r="X12" s="59">
        <f t="shared" si="0"/>
        <v>0.64833333333333332</v>
      </c>
      <c r="Y12" s="100">
        <f t="shared" si="0"/>
        <v>0</v>
      </c>
      <c r="Z12" s="59">
        <f t="shared" si="0"/>
        <v>0</v>
      </c>
      <c r="AA12" s="90">
        <f>IF(AND(K12=0, S12=0), 0, IF(K12=0, 1, ABS((S12-K12)/K12)))</f>
        <v>0</v>
      </c>
      <c r="AB12" s="60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0">
        <v>45615</v>
      </c>
      <c r="C13" s="61">
        <v>4.1666666666666664E-2</v>
      </c>
      <c r="D13" s="89">
        <v>13.025</v>
      </c>
      <c r="E13" s="63">
        <v>96.074999999999989</v>
      </c>
      <c r="F13" s="63">
        <v>566.44333333333327</v>
      </c>
      <c r="G13" s="63">
        <v>292.5</v>
      </c>
      <c r="H13" s="63">
        <v>1.8266666666666669</v>
      </c>
      <c r="I13" s="63">
        <v>0</v>
      </c>
      <c r="J13" s="63"/>
      <c r="K13" s="90">
        <v>20.8</v>
      </c>
      <c r="L13" s="89">
        <v>13.299999999999999</v>
      </c>
      <c r="M13" s="63">
        <v>93.266666666666652</v>
      </c>
      <c r="N13" s="63">
        <v>566.11666666666667</v>
      </c>
      <c r="O13" s="63">
        <v>292.5</v>
      </c>
      <c r="P13" s="63">
        <v>0.83333333333333337</v>
      </c>
      <c r="Q13" s="63">
        <v>0</v>
      </c>
      <c r="R13" s="63"/>
      <c r="S13" s="91">
        <v>19.799999999999997</v>
      </c>
      <c r="T13" s="89">
        <f t="shared" si="0"/>
        <v>0.27499999999999858</v>
      </c>
      <c r="U13" s="63">
        <f t="shared" si="0"/>
        <v>2.8083333333333371</v>
      </c>
      <c r="V13" s="63">
        <f t="shared" si="0"/>
        <v>0.32666666666659694</v>
      </c>
      <c r="W13" s="63">
        <f t="shared" si="0"/>
        <v>0</v>
      </c>
      <c r="X13" s="63">
        <f t="shared" si="0"/>
        <v>0.99333333333333351</v>
      </c>
      <c r="Y13" s="63">
        <f t="shared" si="0"/>
        <v>0</v>
      </c>
      <c r="Z13" s="63">
        <f t="shared" si="0"/>
        <v>0</v>
      </c>
      <c r="AA13" s="90">
        <f t="shared" ref="AA13:AA35" si="1">IF(AND(K13=0, S13=0), 0, IF(K13=0, 1, ABS((S13-K13)/K13)))</f>
        <v>4.8076923076923246E-2</v>
      </c>
      <c r="AB13" s="60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0">
        <v>45615</v>
      </c>
      <c r="C14" s="61">
        <v>8.3333333333333301E-2</v>
      </c>
      <c r="D14" s="89">
        <v>12.628333333333332</v>
      </c>
      <c r="E14" s="63">
        <v>95.635000000000005</v>
      </c>
      <c r="F14" s="63">
        <v>565.92833333333328</v>
      </c>
      <c r="G14" s="63">
        <v>337.5</v>
      </c>
      <c r="H14" s="63">
        <v>1.3299999999999998</v>
      </c>
      <c r="I14" s="63">
        <v>0</v>
      </c>
      <c r="J14" s="63"/>
      <c r="K14" s="90">
        <v>2.2000000000000002</v>
      </c>
      <c r="L14" s="89">
        <v>12.883333333333333</v>
      </c>
      <c r="M14" s="63">
        <v>92.850000000000009</v>
      </c>
      <c r="N14" s="63">
        <v>565.76666666666665</v>
      </c>
      <c r="O14" s="63">
        <v>337.5</v>
      </c>
      <c r="P14" s="63">
        <v>0.81666666666666676</v>
      </c>
      <c r="Q14" s="63">
        <v>0</v>
      </c>
      <c r="R14" s="63"/>
      <c r="S14" s="91">
        <v>2.2000000000000002</v>
      </c>
      <c r="T14" s="89">
        <f t="shared" si="0"/>
        <v>0.25500000000000078</v>
      </c>
      <c r="U14" s="63">
        <f t="shared" si="0"/>
        <v>2.7849999999999966</v>
      </c>
      <c r="V14" s="63">
        <f>+ABS(N14-F14)</f>
        <v>0.16166666666663332</v>
      </c>
      <c r="W14" s="63">
        <f t="shared" si="0"/>
        <v>0</v>
      </c>
      <c r="X14" s="63">
        <f t="shared" si="0"/>
        <v>0.51333333333333309</v>
      </c>
      <c r="Y14" s="63">
        <f t="shared" si="0"/>
        <v>0</v>
      </c>
      <c r="Z14" s="63">
        <f t="shared" si="0"/>
        <v>0</v>
      </c>
      <c r="AA14" s="90">
        <f t="shared" si="1"/>
        <v>0</v>
      </c>
      <c r="AB14" s="60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0">
        <v>45615</v>
      </c>
      <c r="C15" s="61">
        <v>0.125</v>
      </c>
      <c r="D15" s="89">
        <v>12.5</v>
      </c>
      <c r="E15" s="63">
        <v>95.618333333333339</v>
      </c>
      <c r="F15" s="63">
        <v>565.97833333333335</v>
      </c>
      <c r="G15" s="63">
        <v>337.5</v>
      </c>
      <c r="H15" s="63">
        <v>1.0966666666666667</v>
      </c>
      <c r="I15" s="63">
        <v>0</v>
      </c>
      <c r="J15" s="63"/>
      <c r="K15" s="90">
        <v>0.2</v>
      </c>
      <c r="L15" s="89">
        <v>12.766666666666666</v>
      </c>
      <c r="M15" s="63">
        <v>92.833333333333329</v>
      </c>
      <c r="N15" s="63">
        <v>565.46666666666658</v>
      </c>
      <c r="O15" s="63">
        <v>337.5</v>
      </c>
      <c r="P15" s="63">
        <v>0.26666666666666666</v>
      </c>
      <c r="Q15" s="63">
        <v>0</v>
      </c>
      <c r="R15" s="63"/>
      <c r="S15" s="91">
        <v>0.2</v>
      </c>
      <c r="T15" s="89">
        <f t="shared" si="0"/>
        <v>0.26666666666666572</v>
      </c>
      <c r="U15" s="63">
        <f t="shared" si="0"/>
        <v>2.7850000000000108</v>
      </c>
      <c r="V15" s="63">
        <f t="shared" si="0"/>
        <v>0.51166666666676974</v>
      </c>
      <c r="W15" s="63">
        <f t="shared" si="0"/>
        <v>0</v>
      </c>
      <c r="X15" s="63">
        <f t="shared" si="0"/>
        <v>0.83000000000000007</v>
      </c>
      <c r="Y15" s="63">
        <f t="shared" si="0"/>
        <v>0</v>
      </c>
      <c r="Z15" s="63">
        <f t="shared" si="0"/>
        <v>0</v>
      </c>
      <c r="AA15" s="90">
        <f t="shared" si="1"/>
        <v>0</v>
      </c>
      <c r="AB15" s="60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0">
        <v>45615</v>
      </c>
      <c r="C16" s="61">
        <v>0.16666666666666699</v>
      </c>
      <c r="D16" s="89">
        <v>12.604999999999999</v>
      </c>
      <c r="E16" s="63">
        <v>94.605000000000004</v>
      </c>
      <c r="F16" s="63">
        <v>566.22666666666669</v>
      </c>
      <c r="G16" s="63">
        <v>0</v>
      </c>
      <c r="H16" s="63">
        <v>1.125</v>
      </c>
      <c r="I16" s="63">
        <v>0</v>
      </c>
      <c r="J16" s="63"/>
      <c r="K16" s="90">
        <v>0</v>
      </c>
      <c r="L16" s="89">
        <v>12.9</v>
      </c>
      <c r="M16" s="63">
        <v>91.850000000000009</v>
      </c>
      <c r="N16" s="63">
        <v>565.73333333333335</v>
      </c>
      <c r="O16" s="63">
        <v>0</v>
      </c>
      <c r="P16" s="63">
        <v>0.46666666666666673</v>
      </c>
      <c r="Q16" s="63">
        <v>0</v>
      </c>
      <c r="R16" s="63"/>
      <c r="S16" s="91">
        <v>0</v>
      </c>
      <c r="T16" s="89">
        <f t="shared" si="0"/>
        <v>0.29500000000000171</v>
      </c>
      <c r="U16" s="63">
        <f t="shared" si="0"/>
        <v>2.7549999999999955</v>
      </c>
      <c r="V16" s="63">
        <f t="shared" si="0"/>
        <v>0.4933333333333394</v>
      </c>
      <c r="W16" s="63">
        <f t="shared" si="0"/>
        <v>0</v>
      </c>
      <c r="X16" s="63">
        <f t="shared" si="0"/>
        <v>0.65833333333333321</v>
      </c>
      <c r="Y16" s="63">
        <f t="shared" si="0"/>
        <v>0</v>
      </c>
      <c r="Z16" s="63">
        <f t="shared" si="0"/>
        <v>0</v>
      </c>
      <c r="AA16" s="90">
        <f t="shared" si="1"/>
        <v>0</v>
      </c>
      <c r="AB16" s="60" t="str">
        <f t="shared" si="2"/>
        <v>Cumple</v>
      </c>
      <c r="AL16" t="s">
        <v>56</v>
      </c>
      <c r="AM16" t="s">
        <v>57</v>
      </c>
    </row>
    <row r="17" spans="2:39" ht="15" customHeight="1">
      <c r="B17" s="80">
        <v>45615</v>
      </c>
      <c r="C17" s="61">
        <v>0.20833333333333301</v>
      </c>
      <c r="D17" s="89">
        <v>12.685</v>
      </c>
      <c r="E17" s="63">
        <v>94.76</v>
      </c>
      <c r="F17" s="63">
        <v>566.8366666666667</v>
      </c>
      <c r="G17" s="63">
        <v>337.5</v>
      </c>
      <c r="H17" s="63">
        <v>0.83000000000000007</v>
      </c>
      <c r="I17" s="63">
        <v>0</v>
      </c>
      <c r="J17" s="63"/>
      <c r="K17" s="90">
        <v>0</v>
      </c>
      <c r="L17" s="89">
        <v>12.950000000000001</v>
      </c>
      <c r="M17" s="63">
        <v>92</v>
      </c>
      <c r="N17" s="63">
        <v>566.18333333333328</v>
      </c>
      <c r="O17" s="63">
        <v>337.5</v>
      </c>
      <c r="P17" s="63">
        <v>0.33333333333333331</v>
      </c>
      <c r="Q17" s="63">
        <v>0</v>
      </c>
      <c r="R17" s="63"/>
      <c r="S17" s="91">
        <v>0</v>
      </c>
      <c r="T17" s="89">
        <f t="shared" si="0"/>
        <v>0.26500000000000057</v>
      </c>
      <c r="U17" s="63">
        <f t="shared" si="0"/>
        <v>2.7600000000000051</v>
      </c>
      <c r="V17" s="63">
        <f t="shared" si="0"/>
        <v>0.65333333333342125</v>
      </c>
      <c r="W17" s="63">
        <f t="shared" si="0"/>
        <v>0</v>
      </c>
      <c r="X17" s="63">
        <f t="shared" si="0"/>
        <v>0.49666666666666676</v>
      </c>
      <c r="Y17" s="63">
        <f t="shared" si="0"/>
        <v>0</v>
      </c>
      <c r="Z17" s="63">
        <f t="shared" si="0"/>
        <v>0</v>
      </c>
      <c r="AA17" s="90">
        <f t="shared" si="1"/>
        <v>0</v>
      </c>
      <c r="AB17" s="60" t="str">
        <f t="shared" si="2"/>
        <v>Cumple</v>
      </c>
      <c r="AL17" t="s">
        <v>58</v>
      </c>
      <c r="AM17" t="s">
        <v>58</v>
      </c>
    </row>
    <row r="18" spans="2:39" ht="15" customHeight="1">
      <c r="B18" s="80">
        <v>45615</v>
      </c>
      <c r="C18" s="61">
        <v>0.25</v>
      </c>
      <c r="D18" s="89">
        <v>12.975000000000001</v>
      </c>
      <c r="E18" s="63">
        <v>94.185000000000002</v>
      </c>
      <c r="F18" s="63">
        <v>567.41833333333341</v>
      </c>
      <c r="G18" s="63">
        <v>315</v>
      </c>
      <c r="H18" s="63">
        <v>1.1066666666666667</v>
      </c>
      <c r="I18" s="63">
        <v>85.515000000000001</v>
      </c>
      <c r="J18" s="63"/>
      <c r="K18" s="90">
        <v>0</v>
      </c>
      <c r="L18" s="89">
        <v>13.216666666666667</v>
      </c>
      <c r="M18" s="63">
        <v>91.45</v>
      </c>
      <c r="N18" s="63">
        <v>566.76666666666665</v>
      </c>
      <c r="O18" s="63">
        <v>315</v>
      </c>
      <c r="P18" s="63">
        <v>0.46666666666666662</v>
      </c>
      <c r="Q18" s="63">
        <v>37.366666666666667</v>
      </c>
      <c r="R18" s="63"/>
      <c r="S18" s="91">
        <v>0</v>
      </c>
      <c r="T18" s="89">
        <f t="shared" si="0"/>
        <v>0.24166666666666536</v>
      </c>
      <c r="U18" s="63">
        <f t="shared" si="0"/>
        <v>2.7349999999999994</v>
      </c>
      <c r="V18" s="63">
        <f t="shared" si="0"/>
        <v>0.6516666666667561</v>
      </c>
      <c r="W18" s="63">
        <f t="shared" si="0"/>
        <v>0</v>
      </c>
      <c r="X18" s="63">
        <f t="shared" si="0"/>
        <v>0.64000000000000012</v>
      </c>
      <c r="Y18" s="63">
        <f t="shared" si="0"/>
        <v>48.148333333333333</v>
      </c>
      <c r="Z18" s="63">
        <f t="shared" si="0"/>
        <v>0</v>
      </c>
      <c r="AA18" s="90">
        <f t="shared" si="1"/>
        <v>0</v>
      </c>
      <c r="AB18" s="60" t="str">
        <f t="shared" si="2"/>
        <v>Cumple</v>
      </c>
      <c r="AL18" t="s">
        <v>55</v>
      </c>
      <c r="AM18" t="s">
        <v>55</v>
      </c>
    </row>
    <row r="19" spans="2:39" ht="15" customHeight="1">
      <c r="B19" s="80">
        <v>45615</v>
      </c>
      <c r="C19" s="61">
        <v>0.29166666666666702</v>
      </c>
      <c r="D19" s="89">
        <v>14.711666666666666</v>
      </c>
      <c r="E19" s="63">
        <v>85.545000000000016</v>
      </c>
      <c r="F19" s="63">
        <v>568.14333333333332</v>
      </c>
      <c r="G19" s="63">
        <v>0</v>
      </c>
      <c r="H19" s="63">
        <v>1.2733333333333334</v>
      </c>
      <c r="I19" s="63">
        <v>228.0516666666667</v>
      </c>
      <c r="J19" s="63"/>
      <c r="K19" s="90">
        <v>0</v>
      </c>
      <c r="L19" s="89">
        <v>15</v>
      </c>
      <c r="M19" s="63">
        <v>83.033333333333346</v>
      </c>
      <c r="N19" s="63">
        <v>567.31666666666661</v>
      </c>
      <c r="O19" s="63">
        <v>0</v>
      </c>
      <c r="P19" s="63">
        <v>0.78333333333333333</v>
      </c>
      <c r="Q19" s="63">
        <v>169.71666666666667</v>
      </c>
      <c r="R19" s="63"/>
      <c r="S19" s="91">
        <v>0</v>
      </c>
      <c r="T19" s="89">
        <f t="shared" si="0"/>
        <v>0.288333333333334</v>
      </c>
      <c r="U19" s="63">
        <f t="shared" si="0"/>
        <v>2.5116666666666703</v>
      </c>
      <c r="V19" s="63">
        <f t="shared" si="0"/>
        <v>0.82666666666671063</v>
      </c>
      <c r="W19" s="63">
        <f t="shared" si="0"/>
        <v>0</v>
      </c>
      <c r="X19" s="63">
        <f t="shared" si="0"/>
        <v>0.4900000000000001</v>
      </c>
      <c r="Y19" s="63">
        <f t="shared" si="0"/>
        <v>58.335000000000036</v>
      </c>
      <c r="Z19" s="63">
        <f t="shared" si="0"/>
        <v>0</v>
      </c>
      <c r="AA19" s="90">
        <f t="shared" si="1"/>
        <v>0</v>
      </c>
      <c r="AB19" s="60" t="str">
        <f t="shared" si="2"/>
        <v>Cumple</v>
      </c>
      <c r="AL19" t="s">
        <v>55</v>
      </c>
      <c r="AM19" t="s">
        <v>55</v>
      </c>
    </row>
    <row r="20" spans="2:39" ht="15" customHeight="1">
      <c r="B20" s="80">
        <v>45615</v>
      </c>
      <c r="C20" s="61">
        <v>0.33333333333333298</v>
      </c>
      <c r="D20" s="89">
        <v>17.125</v>
      </c>
      <c r="E20" s="63">
        <v>71.733333333333348</v>
      </c>
      <c r="F20" s="63">
        <v>568.41</v>
      </c>
      <c r="G20" s="63">
        <v>67.5</v>
      </c>
      <c r="H20" s="63">
        <v>1.2033333333333334</v>
      </c>
      <c r="I20" s="63">
        <v>318.14500000000004</v>
      </c>
      <c r="J20" s="63"/>
      <c r="K20" s="90">
        <v>0</v>
      </c>
      <c r="L20" s="89">
        <v>17.483333333333334</v>
      </c>
      <c r="M20" s="63">
        <v>69.650000000000006</v>
      </c>
      <c r="N20" s="63">
        <v>567.9</v>
      </c>
      <c r="O20" s="63">
        <v>45</v>
      </c>
      <c r="P20" s="63">
        <v>0.70000000000000007</v>
      </c>
      <c r="Q20" s="63">
        <v>269.48333333333335</v>
      </c>
      <c r="R20" s="63"/>
      <c r="S20" s="91">
        <v>0</v>
      </c>
      <c r="T20" s="89">
        <f t="shared" si="0"/>
        <v>0.35833333333333428</v>
      </c>
      <c r="U20" s="63">
        <f t="shared" si="0"/>
        <v>2.0833333333333428</v>
      </c>
      <c r="V20" s="63">
        <f t="shared" si="0"/>
        <v>0.50999999999999091</v>
      </c>
      <c r="W20" s="63">
        <f t="shared" si="0"/>
        <v>22.5</v>
      </c>
      <c r="X20" s="63">
        <f t="shared" si="0"/>
        <v>0.5033333333333333</v>
      </c>
      <c r="Y20" s="63">
        <f t="shared" si="0"/>
        <v>48.66166666666669</v>
      </c>
      <c r="Z20" s="63">
        <f t="shared" si="0"/>
        <v>0</v>
      </c>
      <c r="AA20" s="90">
        <f t="shared" si="1"/>
        <v>0</v>
      </c>
      <c r="AB20" s="60" t="str">
        <f t="shared" si="2"/>
        <v>Cumple</v>
      </c>
      <c r="AL20" t="s">
        <v>55</v>
      </c>
      <c r="AM20" t="s">
        <v>55</v>
      </c>
    </row>
    <row r="21" spans="2:39" ht="15" customHeight="1">
      <c r="B21" s="80">
        <v>45615</v>
      </c>
      <c r="C21" s="61">
        <v>0.375</v>
      </c>
      <c r="D21" s="89">
        <v>18.735000000000003</v>
      </c>
      <c r="E21" s="63">
        <v>60.706666666666671</v>
      </c>
      <c r="F21" s="63">
        <v>568.52</v>
      </c>
      <c r="G21" s="63">
        <v>45</v>
      </c>
      <c r="H21" s="63">
        <v>1.3299999999999998</v>
      </c>
      <c r="I21" s="63">
        <v>461.55333333333334</v>
      </c>
      <c r="J21" s="63"/>
      <c r="K21" s="90">
        <v>0</v>
      </c>
      <c r="L21" s="89">
        <v>19.133333333333333</v>
      </c>
      <c r="M21" s="63">
        <v>58.966666666666669</v>
      </c>
      <c r="N21" s="63">
        <v>567.84999999999991</v>
      </c>
      <c r="O21" s="63">
        <v>45</v>
      </c>
      <c r="P21" s="63">
        <v>1.1833333333333336</v>
      </c>
      <c r="Q21" s="63">
        <v>424.88333333333338</v>
      </c>
      <c r="R21" s="63"/>
      <c r="S21" s="91">
        <v>0</v>
      </c>
      <c r="T21" s="89">
        <f t="shared" si="0"/>
        <v>0.39833333333332988</v>
      </c>
      <c r="U21" s="63">
        <f t="shared" si="0"/>
        <v>1.740000000000002</v>
      </c>
      <c r="V21" s="63">
        <f t="shared" si="0"/>
        <v>0.67000000000007276</v>
      </c>
      <c r="W21" s="63">
        <f t="shared" si="0"/>
        <v>0</v>
      </c>
      <c r="X21" s="63">
        <f t="shared" si="0"/>
        <v>0.14666666666666628</v>
      </c>
      <c r="Y21" s="63">
        <f t="shared" si="0"/>
        <v>36.669999999999959</v>
      </c>
      <c r="Z21" s="63">
        <f t="shared" si="0"/>
        <v>0</v>
      </c>
      <c r="AA21" s="90">
        <f t="shared" si="1"/>
        <v>0</v>
      </c>
      <c r="AB21" s="60" t="str">
        <f t="shared" si="2"/>
        <v>Cumple</v>
      </c>
      <c r="AL21" t="s">
        <v>58</v>
      </c>
      <c r="AM21" t="s">
        <v>58</v>
      </c>
    </row>
    <row r="22" spans="2:39" ht="15" customHeight="1">
      <c r="B22" s="80">
        <v>45615</v>
      </c>
      <c r="C22" s="61">
        <v>0.41666666666666702</v>
      </c>
      <c r="D22" s="89">
        <v>18.860000000000003</v>
      </c>
      <c r="E22" s="63">
        <v>60.07833333333334</v>
      </c>
      <c r="F22" s="63">
        <v>567.78166666666664</v>
      </c>
      <c r="G22" s="63">
        <v>202.5</v>
      </c>
      <c r="H22" s="63">
        <v>1.5733333333333335</v>
      </c>
      <c r="I22" s="63">
        <v>394.53166666666669</v>
      </c>
      <c r="J22" s="63"/>
      <c r="K22" s="90">
        <v>0</v>
      </c>
      <c r="L22" s="89">
        <v>19.233333333333331</v>
      </c>
      <c r="M22" s="63">
        <v>58.35</v>
      </c>
      <c r="N22" s="63">
        <v>567.44999999999993</v>
      </c>
      <c r="O22" s="63">
        <v>202.5</v>
      </c>
      <c r="P22" s="63">
        <v>1.4000000000000001</v>
      </c>
      <c r="Q22" s="63">
        <v>328.03333333333336</v>
      </c>
      <c r="R22" s="63"/>
      <c r="S22" s="91">
        <v>0</v>
      </c>
      <c r="T22" s="89">
        <f t="shared" si="0"/>
        <v>0.37333333333332774</v>
      </c>
      <c r="U22" s="63">
        <f t="shared" si="0"/>
        <v>1.7283333333333388</v>
      </c>
      <c r="V22" s="63">
        <f t="shared" si="0"/>
        <v>0.33166666666670608</v>
      </c>
      <c r="W22" s="63">
        <f t="shared" si="0"/>
        <v>0</v>
      </c>
      <c r="X22" s="63">
        <f t="shared" si="0"/>
        <v>0.17333333333333334</v>
      </c>
      <c r="Y22" s="63">
        <f t="shared" si="0"/>
        <v>66.498333333333335</v>
      </c>
      <c r="Z22" s="63">
        <f t="shared" si="0"/>
        <v>0</v>
      </c>
      <c r="AA22" s="90">
        <f t="shared" si="1"/>
        <v>0</v>
      </c>
      <c r="AB22" s="60" t="str">
        <f t="shared" si="2"/>
        <v>Cumple</v>
      </c>
      <c r="AL22" t="s">
        <v>58</v>
      </c>
      <c r="AM22" t="s">
        <v>59</v>
      </c>
    </row>
    <row r="23" spans="2:39" ht="15" customHeight="1">
      <c r="B23" s="80">
        <v>45615</v>
      </c>
      <c r="C23" s="61">
        <v>0.45833333333333298</v>
      </c>
      <c r="D23" s="89">
        <v>19.953333333333333</v>
      </c>
      <c r="E23" s="63">
        <v>56.416666666666664</v>
      </c>
      <c r="F23" s="63">
        <v>567.31666666666661</v>
      </c>
      <c r="G23" s="63">
        <v>0</v>
      </c>
      <c r="H23" s="63">
        <v>2.1433333333333331</v>
      </c>
      <c r="I23" s="63">
        <v>652.69999999999993</v>
      </c>
      <c r="J23" s="63"/>
      <c r="K23" s="90">
        <v>0</v>
      </c>
      <c r="L23" s="89">
        <v>20.366666666666667</v>
      </c>
      <c r="M23" s="63">
        <v>54.783333333333331</v>
      </c>
      <c r="N23" s="63">
        <v>566.66666666666663</v>
      </c>
      <c r="O23" s="63">
        <v>0</v>
      </c>
      <c r="P23" s="63">
        <v>1.6333333333333335</v>
      </c>
      <c r="Q23" s="63">
        <v>625.69999999999993</v>
      </c>
      <c r="R23" s="63"/>
      <c r="S23" s="91">
        <v>0</v>
      </c>
      <c r="T23" s="89">
        <f t="shared" si="0"/>
        <v>0.413333333333334</v>
      </c>
      <c r="U23" s="63">
        <f t="shared" si="0"/>
        <v>1.6333333333333329</v>
      </c>
      <c r="V23" s="63">
        <f t="shared" si="0"/>
        <v>0.64999999999997726</v>
      </c>
      <c r="W23" s="63">
        <f t="shared" si="0"/>
        <v>0</v>
      </c>
      <c r="X23" s="63">
        <f t="shared" si="0"/>
        <v>0.50999999999999956</v>
      </c>
      <c r="Y23" s="63">
        <f>+ABS(Q23-I23)</f>
        <v>27</v>
      </c>
      <c r="Z23" s="63">
        <f t="shared" si="0"/>
        <v>0</v>
      </c>
      <c r="AA23" s="90">
        <f t="shared" si="1"/>
        <v>0</v>
      </c>
      <c r="AB23" s="60" t="str">
        <f t="shared" si="2"/>
        <v>Cumple</v>
      </c>
      <c r="AL23" t="s">
        <v>58</v>
      </c>
      <c r="AM23" t="s">
        <v>58</v>
      </c>
    </row>
    <row r="24" spans="2:39" ht="15" customHeight="1">
      <c r="B24" s="80">
        <v>45615</v>
      </c>
      <c r="C24" s="61">
        <v>0.5</v>
      </c>
      <c r="D24" s="89">
        <v>20.675000000000001</v>
      </c>
      <c r="E24" s="63">
        <v>51.21</v>
      </c>
      <c r="F24" s="63">
        <v>565.97333333333324</v>
      </c>
      <c r="G24" s="63">
        <v>45</v>
      </c>
      <c r="H24" s="63">
        <v>2.0266666666666668</v>
      </c>
      <c r="I24" s="63">
        <v>331.34666666666664</v>
      </c>
      <c r="J24" s="63"/>
      <c r="K24" s="90">
        <v>0</v>
      </c>
      <c r="L24" s="89">
        <v>21.116666666666667</v>
      </c>
      <c r="M24" s="63">
        <v>49.699999999999996</v>
      </c>
      <c r="N24" s="63">
        <v>565.66666666666663</v>
      </c>
      <c r="O24" s="63">
        <v>45</v>
      </c>
      <c r="P24" s="63">
        <v>1.3666666666666669</v>
      </c>
      <c r="Q24" s="63">
        <v>289.85000000000002</v>
      </c>
      <c r="R24" s="63"/>
      <c r="S24" s="91">
        <v>0</v>
      </c>
      <c r="T24" s="89">
        <f t="shared" si="0"/>
        <v>0.44166666666666643</v>
      </c>
      <c r="U24" s="63">
        <f t="shared" si="0"/>
        <v>1.5100000000000051</v>
      </c>
      <c r="V24" s="63">
        <f t="shared" si="0"/>
        <v>0.30666666666661513</v>
      </c>
      <c r="W24" s="63">
        <f t="shared" si="0"/>
        <v>0</v>
      </c>
      <c r="X24" s="63">
        <f t="shared" si="0"/>
        <v>0.65999999999999992</v>
      </c>
      <c r="Y24" s="63">
        <f t="shared" si="0"/>
        <v>41.496666666666613</v>
      </c>
      <c r="Z24" s="63">
        <f t="shared" si="0"/>
        <v>0</v>
      </c>
      <c r="AA24" s="90">
        <f t="shared" si="1"/>
        <v>0</v>
      </c>
      <c r="AB24" s="60" t="str">
        <f t="shared" si="2"/>
        <v>Cumple</v>
      </c>
      <c r="AL24" t="s">
        <v>58</v>
      </c>
      <c r="AM24" t="s">
        <v>58</v>
      </c>
    </row>
    <row r="25" spans="2:39" ht="15" customHeight="1">
      <c r="B25" s="80">
        <v>45615</v>
      </c>
      <c r="C25" s="61">
        <v>0.54166666666666696</v>
      </c>
      <c r="D25" s="89">
        <v>20.126666666666669</v>
      </c>
      <c r="E25" s="63">
        <v>59.638333333333343</v>
      </c>
      <c r="F25" s="63">
        <v>564.84333333333336</v>
      </c>
      <c r="G25" s="63">
        <v>0</v>
      </c>
      <c r="H25" s="63">
        <v>2.6449999999999996</v>
      </c>
      <c r="I25" s="92">
        <v>306.56833333333333</v>
      </c>
      <c r="J25" s="63"/>
      <c r="K25" s="91">
        <v>0</v>
      </c>
      <c r="L25" s="93">
        <v>20.55</v>
      </c>
      <c r="M25" s="63">
        <v>57.933333333333337</v>
      </c>
      <c r="N25" s="63">
        <v>564.68333333333339</v>
      </c>
      <c r="O25" s="63">
        <v>0</v>
      </c>
      <c r="P25" s="63">
        <v>1.9500000000000002</v>
      </c>
      <c r="Q25" s="92">
        <v>266.75</v>
      </c>
      <c r="R25" s="63"/>
      <c r="S25" s="91">
        <v>0</v>
      </c>
      <c r="T25" s="89">
        <f t="shared" si="0"/>
        <v>0.42333333333333201</v>
      </c>
      <c r="U25" s="63">
        <f t="shared" si="0"/>
        <v>1.7050000000000054</v>
      </c>
      <c r="V25" s="63">
        <f t="shared" si="0"/>
        <v>0.15999999999996817</v>
      </c>
      <c r="W25" s="63">
        <f t="shared" si="0"/>
        <v>0</v>
      </c>
      <c r="X25" s="63">
        <f t="shared" si="0"/>
        <v>0.6949999999999994</v>
      </c>
      <c r="Y25" s="63">
        <f t="shared" si="0"/>
        <v>39.818333333333328</v>
      </c>
      <c r="Z25" s="63">
        <f t="shared" si="0"/>
        <v>0</v>
      </c>
      <c r="AA25" s="90">
        <f t="shared" si="1"/>
        <v>0</v>
      </c>
      <c r="AB25" s="60" t="str">
        <f t="shared" si="2"/>
        <v>Cumple</v>
      </c>
      <c r="AL25" t="s">
        <v>60</v>
      </c>
      <c r="AM25" t="s">
        <v>60</v>
      </c>
    </row>
    <row r="26" spans="2:39" ht="15" customHeight="1">
      <c r="B26" s="80">
        <v>45615</v>
      </c>
      <c r="C26" s="61">
        <v>0.58333333333333304</v>
      </c>
      <c r="D26" s="89">
        <v>18.563333333333333</v>
      </c>
      <c r="E26" s="63">
        <v>73.373333333333321</v>
      </c>
      <c r="F26" s="63">
        <v>564.08833333333337</v>
      </c>
      <c r="G26" s="63">
        <v>225</v>
      </c>
      <c r="H26" s="63">
        <v>3.06</v>
      </c>
      <c r="I26" s="92">
        <v>273.58833333333337</v>
      </c>
      <c r="J26" s="63"/>
      <c r="K26" s="91">
        <v>0</v>
      </c>
      <c r="L26" s="93">
        <v>18.933333333333334</v>
      </c>
      <c r="M26" s="63">
        <v>71.25</v>
      </c>
      <c r="N26" s="63">
        <v>563.7833333333333</v>
      </c>
      <c r="O26" s="63">
        <v>225</v>
      </c>
      <c r="P26" s="63">
        <v>2.4</v>
      </c>
      <c r="Q26" s="92">
        <v>228.75</v>
      </c>
      <c r="R26" s="63"/>
      <c r="S26" s="91">
        <v>0</v>
      </c>
      <c r="T26" s="89">
        <f t="shared" si="0"/>
        <v>0.37000000000000099</v>
      </c>
      <c r="U26" s="63">
        <f t="shared" si="0"/>
        <v>2.1233333333333206</v>
      </c>
      <c r="V26" s="63">
        <f t="shared" si="0"/>
        <v>0.30500000000006366</v>
      </c>
      <c r="W26" s="63">
        <f t="shared" si="0"/>
        <v>0</v>
      </c>
      <c r="X26" s="63">
        <f t="shared" si="0"/>
        <v>0.66000000000000014</v>
      </c>
      <c r="Y26" s="63">
        <f t="shared" si="0"/>
        <v>44.838333333333367</v>
      </c>
      <c r="Z26" s="63">
        <f t="shared" si="0"/>
        <v>0</v>
      </c>
      <c r="AA26" s="90">
        <f t="shared" si="1"/>
        <v>0</v>
      </c>
      <c r="AB26" s="60" t="str">
        <f t="shared" si="2"/>
        <v>Cumple</v>
      </c>
      <c r="AL26" t="s">
        <v>61</v>
      </c>
      <c r="AM26" t="s">
        <v>61</v>
      </c>
    </row>
    <row r="27" spans="2:39" ht="15" customHeight="1">
      <c r="B27" s="80">
        <v>45615</v>
      </c>
      <c r="C27" s="61">
        <v>0.625</v>
      </c>
      <c r="D27" s="89">
        <v>18.136666666666667</v>
      </c>
      <c r="E27" s="63">
        <v>74.308333333333337</v>
      </c>
      <c r="F27" s="63">
        <v>563.94166666666672</v>
      </c>
      <c r="G27" s="63">
        <v>247.5</v>
      </c>
      <c r="H27" s="63">
        <v>3.0566666666666666</v>
      </c>
      <c r="I27" s="92">
        <v>241.1816666666667</v>
      </c>
      <c r="J27" s="63"/>
      <c r="K27" s="91">
        <v>0</v>
      </c>
      <c r="L27" s="93">
        <v>18.516666666666669</v>
      </c>
      <c r="M27" s="63">
        <v>72.166666666666671</v>
      </c>
      <c r="N27" s="63">
        <v>563.63333333333333</v>
      </c>
      <c r="O27" s="63">
        <v>247.5</v>
      </c>
      <c r="P27" s="63">
        <v>2.9</v>
      </c>
      <c r="Q27" s="92">
        <v>191.85</v>
      </c>
      <c r="R27" s="63"/>
      <c r="S27" s="91">
        <v>0</v>
      </c>
      <c r="T27" s="89">
        <f t="shared" si="0"/>
        <v>0.38000000000000256</v>
      </c>
      <c r="U27" s="63">
        <f t="shared" si="0"/>
        <v>2.1416666666666657</v>
      </c>
      <c r="V27" s="63">
        <f t="shared" si="0"/>
        <v>0.30833333333339397</v>
      </c>
      <c r="W27" s="63">
        <f t="shared" si="0"/>
        <v>0</v>
      </c>
      <c r="X27" s="63">
        <f t="shared" si="0"/>
        <v>0.15666666666666673</v>
      </c>
      <c r="Y27" s="63">
        <f t="shared" si="0"/>
        <v>49.331666666666706</v>
      </c>
      <c r="Z27" s="63">
        <f t="shared" si="0"/>
        <v>0</v>
      </c>
      <c r="AA27" s="90">
        <f t="shared" si="1"/>
        <v>0</v>
      </c>
      <c r="AB27" s="60" t="str">
        <f t="shared" si="2"/>
        <v>Cumple</v>
      </c>
      <c r="AL27" t="s">
        <v>60</v>
      </c>
      <c r="AM27" t="s">
        <v>60</v>
      </c>
    </row>
    <row r="28" spans="2:39" ht="15" customHeight="1">
      <c r="B28" s="80">
        <v>45615</v>
      </c>
      <c r="C28" s="61">
        <v>0.66666666666666696</v>
      </c>
      <c r="D28" s="89">
        <v>16.048333333333336</v>
      </c>
      <c r="E28" s="63">
        <v>84.798333333333332</v>
      </c>
      <c r="F28" s="63">
        <v>564.79000000000008</v>
      </c>
      <c r="G28" s="63">
        <v>225</v>
      </c>
      <c r="H28" s="63">
        <v>2.8016666666666663</v>
      </c>
      <c r="I28" s="92">
        <v>83.551666666666677</v>
      </c>
      <c r="J28" s="63"/>
      <c r="K28" s="91">
        <v>2.6</v>
      </c>
      <c r="L28" s="93">
        <v>16.383333333333333</v>
      </c>
      <c r="M28" s="63">
        <v>82.316666666666677</v>
      </c>
      <c r="N28" s="63">
        <v>564.11666666666667</v>
      </c>
      <c r="O28" s="63">
        <v>225</v>
      </c>
      <c r="P28" s="63">
        <v>2.3000000000000003</v>
      </c>
      <c r="Q28" s="92">
        <v>48.900000000000006</v>
      </c>
      <c r="R28" s="63"/>
      <c r="S28" s="91">
        <v>2.6</v>
      </c>
      <c r="T28" s="89">
        <f t="shared" si="0"/>
        <v>0.3349999999999973</v>
      </c>
      <c r="U28" s="63">
        <f t="shared" si="0"/>
        <v>2.4816666666666549</v>
      </c>
      <c r="V28" s="63">
        <f t="shared" si="0"/>
        <v>0.67333333333340306</v>
      </c>
      <c r="W28" s="63">
        <f t="shared" si="0"/>
        <v>0</v>
      </c>
      <c r="X28" s="63">
        <f t="shared" si="0"/>
        <v>0.50166666666666604</v>
      </c>
      <c r="Y28" s="63">
        <f t="shared" si="0"/>
        <v>34.651666666666671</v>
      </c>
      <c r="Z28" s="63">
        <f t="shared" si="0"/>
        <v>0</v>
      </c>
      <c r="AA28" s="90">
        <f t="shared" si="1"/>
        <v>0</v>
      </c>
      <c r="AB28" s="60" t="str">
        <f t="shared" si="2"/>
        <v>Cumple</v>
      </c>
      <c r="AL28" t="s">
        <v>62</v>
      </c>
      <c r="AM28" t="s">
        <v>63</v>
      </c>
    </row>
    <row r="29" spans="2:39" ht="15" customHeight="1">
      <c r="B29" s="80">
        <v>45615</v>
      </c>
      <c r="C29" s="61">
        <v>0.70833333333333304</v>
      </c>
      <c r="D29" s="89">
        <v>14.930000000000001</v>
      </c>
      <c r="E29" s="63">
        <v>91.19</v>
      </c>
      <c r="F29" s="63">
        <v>565.11</v>
      </c>
      <c r="G29" s="63">
        <v>225</v>
      </c>
      <c r="H29" s="63">
        <v>1.7450000000000001</v>
      </c>
      <c r="I29" s="92">
        <v>66.070000000000007</v>
      </c>
      <c r="J29" s="63"/>
      <c r="K29" s="91">
        <v>0.8</v>
      </c>
      <c r="L29" s="93">
        <v>15.233333333333334</v>
      </c>
      <c r="M29" s="63">
        <v>88.55</v>
      </c>
      <c r="N29" s="63">
        <v>564.44999999999993</v>
      </c>
      <c r="O29" s="63">
        <v>225</v>
      </c>
      <c r="P29" s="63">
        <v>1.5833333333333333</v>
      </c>
      <c r="Q29" s="92">
        <v>26.25</v>
      </c>
      <c r="R29" s="63"/>
      <c r="S29" s="91">
        <v>0.8</v>
      </c>
      <c r="T29" s="89">
        <f t="shared" si="0"/>
        <v>0.30333333333333279</v>
      </c>
      <c r="U29" s="63">
        <f t="shared" si="0"/>
        <v>2.6400000000000006</v>
      </c>
      <c r="V29" s="63">
        <f t="shared" si="0"/>
        <v>0.66000000000008185</v>
      </c>
      <c r="W29" s="63">
        <f t="shared" si="0"/>
        <v>0</v>
      </c>
      <c r="X29" s="63">
        <f t="shared" si="0"/>
        <v>0.16166666666666685</v>
      </c>
      <c r="Y29" s="63">
        <f t="shared" si="0"/>
        <v>39.820000000000007</v>
      </c>
      <c r="Z29" s="63">
        <f t="shared" si="0"/>
        <v>0</v>
      </c>
      <c r="AA29" s="90">
        <f t="shared" si="1"/>
        <v>0</v>
      </c>
      <c r="AB29" s="60" t="str">
        <f t="shared" si="2"/>
        <v>Cumple</v>
      </c>
      <c r="AL29" t="s">
        <v>64</v>
      </c>
      <c r="AM29" t="s">
        <v>64</v>
      </c>
    </row>
    <row r="30" spans="2:39" ht="15" customHeight="1">
      <c r="B30" s="80">
        <v>45615</v>
      </c>
      <c r="C30" s="61">
        <v>0.75</v>
      </c>
      <c r="D30" s="89">
        <v>14.641666666666666</v>
      </c>
      <c r="E30" s="63">
        <v>91.513333333333335</v>
      </c>
      <c r="F30" s="63">
        <v>565.64333333333332</v>
      </c>
      <c r="G30" s="63">
        <v>225</v>
      </c>
      <c r="H30" s="63">
        <v>1.5666666666666664</v>
      </c>
      <c r="I30" s="92">
        <v>0</v>
      </c>
      <c r="J30" s="63"/>
      <c r="K30" s="91">
        <v>0.4</v>
      </c>
      <c r="L30" s="93">
        <v>14.950000000000001</v>
      </c>
      <c r="M30" s="63">
        <v>88.866666666666674</v>
      </c>
      <c r="N30" s="63">
        <v>565.15</v>
      </c>
      <c r="O30" s="63">
        <v>202.5</v>
      </c>
      <c r="P30" s="63">
        <v>1.0666666666666664</v>
      </c>
      <c r="Q30" s="92">
        <v>0</v>
      </c>
      <c r="R30" s="63"/>
      <c r="S30" s="91">
        <v>0.4</v>
      </c>
      <c r="T30" s="89">
        <f t="shared" si="0"/>
        <v>0.30833333333333535</v>
      </c>
      <c r="U30" s="63">
        <f t="shared" si="0"/>
        <v>2.6466666666666612</v>
      </c>
      <c r="V30" s="63">
        <f t="shared" si="0"/>
        <v>0.4933333333333394</v>
      </c>
      <c r="W30" s="63">
        <f t="shared" si="0"/>
        <v>22.5</v>
      </c>
      <c r="X30" s="63">
        <f t="shared" si="0"/>
        <v>0.5</v>
      </c>
      <c r="Y30" s="63">
        <f t="shared" si="0"/>
        <v>0</v>
      </c>
      <c r="Z30" s="63">
        <f t="shared" si="0"/>
        <v>0</v>
      </c>
      <c r="AA30" s="90">
        <f t="shared" si="1"/>
        <v>0</v>
      </c>
      <c r="AB30" s="60" t="str">
        <f t="shared" si="2"/>
        <v>Cumple</v>
      </c>
      <c r="AL30" t="s">
        <v>54</v>
      </c>
      <c r="AM30" t="s">
        <v>54</v>
      </c>
    </row>
    <row r="31" spans="2:39" ht="15" customHeight="1">
      <c r="B31" s="80">
        <v>45615</v>
      </c>
      <c r="C31" s="61">
        <v>0.79166666666666696</v>
      </c>
      <c r="D31" s="89">
        <v>14.603333333333333</v>
      </c>
      <c r="E31" s="63">
        <v>91.151666666666657</v>
      </c>
      <c r="F31" s="63">
        <v>566.34333333333336</v>
      </c>
      <c r="G31" s="63">
        <v>202.5</v>
      </c>
      <c r="H31" s="63">
        <v>0.84</v>
      </c>
      <c r="I31" s="92">
        <v>0</v>
      </c>
      <c r="J31" s="63"/>
      <c r="K31" s="91">
        <v>0</v>
      </c>
      <c r="L31" s="93">
        <v>14.916666666666666</v>
      </c>
      <c r="M31" s="63">
        <v>88.5</v>
      </c>
      <c r="N31" s="63">
        <v>566.0333333333333</v>
      </c>
      <c r="O31" s="63">
        <v>180</v>
      </c>
      <c r="P31" s="63">
        <v>0.51666666666666661</v>
      </c>
      <c r="Q31" s="92">
        <v>0</v>
      </c>
      <c r="R31" s="63"/>
      <c r="S31" s="91">
        <v>0</v>
      </c>
      <c r="T31" s="89">
        <f t="shared" si="0"/>
        <v>0.31333333333333258</v>
      </c>
      <c r="U31" s="63">
        <f t="shared" si="0"/>
        <v>2.6516666666666566</v>
      </c>
      <c r="V31" s="63">
        <f t="shared" si="0"/>
        <v>0.31000000000005912</v>
      </c>
      <c r="W31" s="63">
        <f t="shared" si="0"/>
        <v>22.5</v>
      </c>
      <c r="X31" s="63">
        <f t="shared" si="0"/>
        <v>0.32333333333333336</v>
      </c>
      <c r="Y31" s="63">
        <f t="shared" si="0"/>
        <v>0</v>
      </c>
      <c r="Z31" s="63">
        <f t="shared" si="0"/>
        <v>0</v>
      </c>
      <c r="AA31" s="90">
        <f t="shared" si="1"/>
        <v>0</v>
      </c>
      <c r="AB31" s="60" t="str">
        <f t="shared" si="2"/>
        <v>Cumple</v>
      </c>
      <c r="AL31" t="s">
        <v>65</v>
      </c>
      <c r="AM31" t="s">
        <v>65</v>
      </c>
    </row>
    <row r="32" spans="2:39" ht="15" customHeight="1">
      <c r="B32" s="80">
        <v>45615</v>
      </c>
      <c r="C32" s="61">
        <v>0.83333333333333304</v>
      </c>
      <c r="D32" s="89">
        <v>14.496666666666668</v>
      </c>
      <c r="E32" s="63">
        <v>90.786666666666676</v>
      </c>
      <c r="F32" s="63">
        <v>567.27666666666664</v>
      </c>
      <c r="G32" s="63">
        <v>292.5</v>
      </c>
      <c r="H32" s="63">
        <v>0.77999999999999992</v>
      </c>
      <c r="I32" s="92">
        <v>0</v>
      </c>
      <c r="J32" s="63"/>
      <c r="K32" s="91">
        <v>0</v>
      </c>
      <c r="L32" s="93">
        <v>14.799999999999999</v>
      </c>
      <c r="M32" s="63">
        <v>88.15000000000002</v>
      </c>
      <c r="N32" s="63">
        <v>566.7833333333333</v>
      </c>
      <c r="O32" s="63">
        <v>292.5</v>
      </c>
      <c r="P32" s="63">
        <v>0.30000000000000004</v>
      </c>
      <c r="Q32" s="92">
        <v>0</v>
      </c>
      <c r="R32" s="63"/>
      <c r="S32" s="91">
        <v>0</v>
      </c>
      <c r="T32" s="89">
        <f t="shared" si="0"/>
        <v>0.30333333333333101</v>
      </c>
      <c r="U32" s="63">
        <f t="shared" si="0"/>
        <v>2.6366666666666561</v>
      </c>
      <c r="V32" s="63">
        <f t="shared" si="0"/>
        <v>0.4933333333333394</v>
      </c>
      <c r="W32" s="63">
        <f t="shared" si="0"/>
        <v>0</v>
      </c>
      <c r="X32" s="63">
        <f t="shared" si="0"/>
        <v>0.47999999999999987</v>
      </c>
      <c r="Y32" s="63">
        <f t="shared" si="0"/>
        <v>0</v>
      </c>
      <c r="Z32" s="63">
        <f t="shared" si="0"/>
        <v>0</v>
      </c>
      <c r="AA32" s="90">
        <f t="shared" si="1"/>
        <v>0</v>
      </c>
      <c r="AB32" s="60" t="str">
        <f t="shared" si="2"/>
        <v>Cumple</v>
      </c>
      <c r="AL32" t="s">
        <v>55</v>
      </c>
      <c r="AM32" t="s">
        <v>54</v>
      </c>
    </row>
    <row r="33" spans="2:39" ht="15" customHeight="1">
      <c r="B33" s="80">
        <v>45615</v>
      </c>
      <c r="C33" s="61">
        <v>0.875</v>
      </c>
      <c r="D33" s="89">
        <v>14.36166666666667</v>
      </c>
      <c r="E33" s="63">
        <v>91.42</v>
      </c>
      <c r="F33" s="63">
        <v>567.81333333333339</v>
      </c>
      <c r="G33" s="63">
        <v>270</v>
      </c>
      <c r="H33" s="63">
        <v>1.0450000000000002</v>
      </c>
      <c r="I33" s="92">
        <v>0</v>
      </c>
      <c r="J33" s="63"/>
      <c r="K33" s="91">
        <v>0</v>
      </c>
      <c r="L33" s="93">
        <v>14.65</v>
      </c>
      <c r="M33" s="63">
        <v>88.766666666666666</v>
      </c>
      <c r="N33" s="63">
        <v>567.31666666666672</v>
      </c>
      <c r="O33" s="63">
        <v>270</v>
      </c>
      <c r="P33" s="63">
        <v>0.54999999999999993</v>
      </c>
      <c r="Q33" s="92">
        <v>0</v>
      </c>
      <c r="R33" s="63"/>
      <c r="S33" s="91">
        <v>0</v>
      </c>
      <c r="T33" s="89">
        <f t="shared" si="0"/>
        <v>0.28833333333333044</v>
      </c>
      <c r="U33" s="63">
        <f t="shared" si="0"/>
        <v>2.653333333333336</v>
      </c>
      <c r="V33" s="63">
        <f t="shared" si="0"/>
        <v>0.4966666666666697</v>
      </c>
      <c r="W33" s="63">
        <f t="shared" si="0"/>
        <v>0</v>
      </c>
      <c r="X33" s="63">
        <f t="shared" si="0"/>
        <v>0.49500000000000022</v>
      </c>
      <c r="Y33" s="63">
        <f t="shared" si="0"/>
        <v>0</v>
      </c>
      <c r="Z33" s="63">
        <f t="shared" si="0"/>
        <v>0</v>
      </c>
      <c r="AA33" s="90">
        <f t="shared" si="1"/>
        <v>0</v>
      </c>
      <c r="AB33" s="60" t="str">
        <f t="shared" si="2"/>
        <v>Cumple</v>
      </c>
      <c r="AL33" t="s">
        <v>55</v>
      </c>
      <c r="AM33" t="s">
        <v>55</v>
      </c>
    </row>
    <row r="34" spans="2:39" ht="15" customHeight="1">
      <c r="B34" s="80">
        <v>45615</v>
      </c>
      <c r="C34" s="61">
        <v>0.91666666666666696</v>
      </c>
      <c r="D34" s="89">
        <v>13.956666666666665</v>
      </c>
      <c r="E34" s="63">
        <v>92.241666666666674</v>
      </c>
      <c r="F34" s="63">
        <v>568.18833333333339</v>
      </c>
      <c r="G34" s="63">
        <v>292.5</v>
      </c>
      <c r="H34" s="63">
        <v>1.0766666666666664</v>
      </c>
      <c r="I34" s="92">
        <v>0</v>
      </c>
      <c r="J34" s="63"/>
      <c r="K34" s="91">
        <v>0</v>
      </c>
      <c r="L34" s="93">
        <v>14.249999999999998</v>
      </c>
      <c r="M34" s="63">
        <v>89.55</v>
      </c>
      <c r="N34" s="63">
        <v>567.36666666666667</v>
      </c>
      <c r="O34" s="63">
        <v>270</v>
      </c>
      <c r="P34" s="63">
        <v>0.41666666666666669</v>
      </c>
      <c r="Q34" s="92">
        <v>0</v>
      </c>
      <c r="R34" s="63"/>
      <c r="S34" s="91">
        <v>0</v>
      </c>
      <c r="T34" s="89">
        <f t="shared" si="0"/>
        <v>0.293333333333333</v>
      </c>
      <c r="U34" s="63">
        <f t="shared" si="0"/>
        <v>2.6916666666666771</v>
      </c>
      <c r="V34" s="63">
        <f t="shared" si="0"/>
        <v>0.82166666666671517</v>
      </c>
      <c r="W34" s="63">
        <f t="shared" si="0"/>
        <v>22.5</v>
      </c>
      <c r="X34" s="63">
        <f t="shared" si="0"/>
        <v>0.6599999999999997</v>
      </c>
      <c r="Y34" s="63">
        <f t="shared" si="0"/>
        <v>0</v>
      </c>
      <c r="Z34" s="63">
        <f t="shared" si="0"/>
        <v>0</v>
      </c>
      <c r="AA34" s="90">
        <f t="shared" si="1"/>
        <v>0</v>
      </c>
      <c r="AB34" s="60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0">
        <v>45615</v>
      </c>
      <c r="C35" s="61">
        <v>0.95833333333333304</v>
      </c>
      <c r="D35" s="94">
        <v>13.566666666666668</v>
      </c>
      <c r="E35" s="95">
        <v>93.271666666666661</v>
      </c>
      <c r="F35" s="95">
        <v>567.77666666666664</v>
      </c>
      <c r="G35" s="95">
        <v>292.5</v>
      </c>
      <c r="H35" s="95">
        <v>0.50166666666666671</v>
      </c>
      <c r="I35" s="96">
        <v>0</v>
      </c>
      <c r="J35" s="95"/>
      <c r="K35" s="97">
        <v>0</v>
      </c>
      <c r="L35" s="98">
        <v>13.866666666666667</v>
      </c>
      <c r="M35" s="95">
        <v>90.55</v>
      </c>
      <c r="N35" s="95">
        <v>567.11666666666667</v>
      </c>
      <c r="O35" s="95">
        <v>270</v>
      </c>
      <c r="P35" s="95">
        <v>0.35000000000000003</v>
      </c>
      <c r="Q35" s="96">
        <v>0</v>
      </c>
      <c r="R35" s="95"/>
      <c r="S35" s="97">
        <v>0</v>
      </c>
      <c r="T35" s="94">
        <f t="shared" si="0"/>
        <v>0.29999999999999893</v>
      </c>
      <c r="U35" s="95">
        <f t="shared" si="0"/>
        <v>2.721666666666664</v>
      </c>
      <c r="V35" s="95">
        <f t="shared" si="0"/>
        <v>0.65999999999996817</v>
      </c>
      <c r="W35" s="95">
        <f t="shared" si="0"/>
        <v>22.5</v>
      </c>
      <c r="X35" s="95">
        <f t="shared" si="0"/>
        <v>0.15166666666666667</v>
      </c>
      <c r="Y35" s="95">
        <f t="shared" si="0"/>
        <v>0</v>
      </c>
      <c r="Z35" s="95">
        <f t="shared" si="0"/>
        <v>0</v>
      </c>
      <c r="AA35" s="90">
        <f t="shared" si="1"/>
        <v>0</v>
      </c>
      <c r="AB35" s="65" t="str">
        <f t="shared" si="2"/>
        <v>Cumple</v>
      </c>
      <c r="AL35" t="s">
        <v>55</v>
      </c>
      <c r="AM35" t="s">
        <v>55</v>
      </c>
    </row>
    <row r="36" spans="2:39" ht="33" customHeight="1">
      <c r="B36" s="110" t="s">
        <v>42</v>
      </c>
      <c r="C36" s="111"/>
      <c r="D36" s="112">
        <v>45621</v>
      </c>
      <c r="E36" s="113"/>
      <c r="F36" s="113"/>
      <c r="G36" s="113"/>
      <c r="H36" s="113"/>
      <c r="I36" s="114"/>
      <c r="J36" s="115" t="s">
        <v>43</v>
      </c>
      <c r="K36" s="115"/>
      <c r="L36" s="115"/>
      <c r="M36" s="115"/>
      <c r="N36" s="115"/>
      <c r="O36" s="115"/>
      <c r="P36" s="116"/>
      <c r="Q36" s="117" t="s">
        <v>73</v>
      </c>
      <c r="R36" s="118"/>
      <c r="S36" s="118"/>
      <c r="T36" s="119"/>
      <c r="U36" s="119"/>
      <c r="V36" s="119"/>
      <c r="W36" s="119"/>
      <c r="X36" s="119"/>
      <c r="Y36" s="119"/>
      <c r="Z36" s="119"/>
      <c r="AA36" s="119"/>
      <c r="AB36" s="120"/>
    </row>
    <row r="37" spans="2:39" ht="33" customHeight="1">
      <c r="B37" s="121" t="s">
        <v>45</v>
      </c>
      <c r="C37" s="122"/>
      <c r="D37" s="123" t="s">
        <v>46</v>
      </c>
      <c r="E37" s="124"/>
      <c r="F37" s="124"/>
      <c r="G37" s="124"/>
      <c r="H37" s="124"/>
      <c r="I37" s="125"/>
      <c r="J37" s="126" t="s">
        <v>47</v>
      </c>
      <c r="K37" s="127"/>
      <c r="L37" s="127"/>
      <c r="M37" s="127"/>
      <c r="N37" s="127"/>
      <c r="O37" s="127"/>
      <c r="P37" s="127"/>
      <c r="Q37" s="130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2"/>
    </row>
    <row r="38" spans="2:39" ht="33" customHeight="1" thickBot="1">
      <c r="B38" s="136" t="s">
        <v>49</v>
      </c>
      <c r="C38" s="137"/>
      <c r="D38" s="138" t="s">
        <v>50</v>
      </c>
      <c r="E38" s="139"/>
      <c r="F38" s="139"/>
      <c r="G38" s="139"/>
      <c r="H38" s="139"/>
      <c r="I38" s="140"/>
      <c r="J38" s="128"/>
      <c r="K38" s="129"/>
      <c r="L38" s="129"/>
      <c r="M38" s="129"/>
      <c r="N38" s="129"/>
      <c r="O38" s="129"/>
      <c r="P38" s="129"/>
      <c r="Q38" s="133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5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G12:G24">
    <cfRule type="cellIs" dxfId="39" priority="2" operator="equal">
      <formula>FALSE</formula>
    </cfRule>
  </conditionalFormatting>
  <conditionalFormatting sqref="T12:T35">
    <cfRule type="cellIs" dxfId="38" priority="19" operator="greaterThan">
      <formula>0.5</formula>
    </cfRule>
    <cfRule type="cellIs" dxfId="37" priority="20" operator="lessThanOrEqual">
      <formula>0.5</formula>
    </cfRule>
  </conditionalFormatting>
  <conditionalFormatting sqref="U12:U35">
    <cfRule type="cellIs" dxfId="36" priority="17" operator="greaterThan">
      <formula>5</formula>
    </cfRule>
    <cfRule type="cellIs" dxfId="35" priority="18" operator="lessThanOrEqual">
      <formula>5</formula>
    </cfRule>
  </conditionalFormatting>
  <conditionalFormatting sqref="V12:V35">
    <cfRule type="cellIs" dxfId="34" priority="15" operator="greaterThan">
      <formula>1</formula>
    </cfRule>
    <cfRule type="cellIs" dxfId="33" priority="16" operator="lessThanOrEqual">
      <formula>1</formula>
    </cfRule>
  </conditionalFormatting>
  <conditionalFormatting sqref="W12:W35">
    <cfRule type="cellIs" dxfId="32" priority="13" operator="greaterThan">
      <formula>22.5</formula>
    </cfRule>
    <cfRule type="cellIs" dxfId="31" priority="14" operator="lessThanOrEqual">
      <formula>22.5</formula>
    </cfRule>
  </conditionalFormatting>
  <conditionalFormatting sqref="X12:X35">
    <cfRule type="cellIs" dxfId="30" priority="7" operator="lessThanOrEqual">
      <formula>1</formula>
    </cfRule>
    <cfRule type="cellIs" dxfId="29" priority="8" operator="greaterThan">
      <formula>1</formula>
    </cfRule>
  </conditionalFormatting>
  <conditionalFormatting sqref="Y12:Y35">
    <cfRule type="cellIs" dxfId="28" priority="5" operator="lessThanOrEqual">
      <formula>90</formula>
    </cfRule>
    <cfRule type="cellIs" dxfId="27" priority="6" operator="greaterThan">
      <formula>90</formula>
    </cfRule>
  </conditionalFormatting>
  <conditionalFormatting sqref="Z12:Z35">
    <cfRule type="cellIs" dxfId="26" priority="11" operator="greaterThan">
      <formula>0.8</formula>
    </cfRule>
    <cfRule type="cellIs" dxfId="25" priority="12" operator="lessThanOrEqual">
      <formula>0.8</formula>
    </cfRule>
  </conditionalFormatting>
  <conditionalFormatting sqref="AA12:AA35">
    <cfRule type="expression" dxfId="24" priority="1">
      <formula>OR(AND(K12=0, S12=0), AND(K12&lt;&gt;0, ABS(S12-K12)/K12 &lt;= 0.05))</formula>
    </cfRule>
    <cfRule type="cellIs" dxfId="23" priority="9" operator="equal">
      <formula>0</formula>
    </cfRule>
    <cfRule type="expression" dxfId="22" priority="10">
      <formula>AND(K12&lt;&gt;0, S, ABS(S12-K12)/K12 &gt; 0.05)</formula>
    </cfRule>
  </conditionalFormatting>
  <conditionalFormatting sqref="AK11">
    <cfRule type="cellIs" dxfId="21" priority="3" operator="lessThan">
      <formula>0.05</formula>
    </cfRule>
    <cfRule type="cellIs" dxfId="20" priority="4" operator="greater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B75-60BC-4BF4-B619-EAA6497A1466}">
  <dimension ref="B1:AM68"/>
  <sheetViews>
    <sheetView tabSelected="1" topLeftCell="R3" zoomScaleNormal="100" workbookViewId="0">
      <selection activeCell="AA8" sqref="AA8:AB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</cols>
  <sheetData>
    <row r="1" spans="2:39" ht="18" customHeight="1">
      <c r="B1" s="164"/>
      <c r="C1" s="165"/>
      <c r="D1" s="170" t="s">
        <v>6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2"/>
      <c r="AA1" s="176" t="s">
        <v>51</v>
      </c>
      <c r="AB1" s="177"/>
    </row>
    <row r="2" spans="2:39" ht="18" customHeight="1">
      <c r="B2" s="166"/>
      <c r="C2" s="167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5"/>
      <c r="AA2" s="178"/>
      <c r="AB2" s="179"/>
    </row>
    <row r="3" spans="2:39" ht="18" customHeight="1">
      <c r="B3" s="166"/>
      <c r="C3" s="167"/>
      <c r="D3" s="182" t="s">
        <v>8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4"/>
      <c r="AA3" s="178"/>
      <c r="AB3" s="179"/>
    </row>
    <row r="4" spans="2:39" ht="18" customHeight="1" thickBot="1">
      <c r="B4" s="168"/>
      <c r="C4" s="169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7"/>
      <c r="AA4" s="180"/>
      <c r="AB4" s="181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43" t="s">
        <v>9</v>
      </c>
      <c r="C6" s="143"/>
      <c r="D6" s="144" t="s">
        <v>68</v>
      </c>
      <c r="E6" s="145"/>
      <c r="F6" s="145"/>
      <c r="G6" s="145"/>
      <c r="H6" s="145"/>
      <c r="I6" s="145"/>
      <c r="J6" s="145"/>
      <c r="K6" s="146"/>
      <c r="L6" s="188" t="s">
        <v>10</v>
      </c>
      <c r="M6" s="189"/>
      <c r="N6" s="189"/>
      <c r="O6" s="189"/>
      <c r="P6" s="189"/>
      <c r="Q6" s="189"/>
      <c r="R6" s="189"/>
      <c r="S6" s="190"/>
      <c r="T6" s="191" t="s">
        <v>11</v>
      </c>
      <c r="U6" s="191"/>
      <c r="V6" s="191"/>
      <c r="W6" s="191"/>
      <c r="X6" s="191"/>
      <c r="Y6" s="191" t="s">
        <v>12</v>
      </c>
      <c r="Z6" s="191"/>
      <c r="AA6" s="192" t="s">
        <v>52</v>
      </c>
      <c r="AB6" s="193"/>
    </row>
    <row r="7" spans="2:39" ht="33.75" customHeight="1">
      <c r="B7" s="143" t="s">
        <v>14</v>
      </c>
      <c r="C7" s="143"/>
      <c r="D7" s="144" t="s">
        <v>71</v>
      </c>
      <c r="E7" s="145"/>
      <c r="F7" s="145"/>
      <c r="G7" s="145"/>
      <c r="H7" s="145"/>
      <c r="I7" s="145"/>
      <c r="J7" s="145"/>
      <c r="K7" s="146"/>
      <c r="L7" s="147" t="s">
        <v>15</v>
      </c>
      <c r="M7" s="148"/>
      <c r="N7" s="148"/>
      <c r="O7" s="148"/>
      <c r="P7" s="148"/>
      <c r="Q7" s="148"/>
      <c r="R7" s="148"/>
      <c r="S7" s="149"/>
      <c r="T7" s="147" t="s">
        <v>72</v>
      </c>
      <c r="U7" s="148"/>
      <c r="V7" s="148"/>
      <c r="W7" s="148"/>
      <c r="X7" s="149"/>
      <c r="Y7" s="150">
        <v>6327</v>
      </c>
      <c r="Z7" s="151"/>
      <c r="AA7" s="152" t="s">
        <v>81</v>
      </c>
      <c r="AB7" s="153"/>
    </row>
    <row r="8" spans="2:39" ht="33.75" customHeight="1">
      <c r="B8" s="143" t="s">
        <v>16</v>
      </c>
      <c r="C8" s="143"/>
      <c r="D8" s="144" t="s">
        <v>70</v>
      </c>
      <c r="E8" s="145"/>
      <c r="F8" s="145"/>
      <c r="G8" s="145"/>
      <c r="H8" s="145"/>
      <c r="I8" s="145"/>
      <c r="J8" s="145"/>
      <c r="K8" s="146"/>
      <c r="L8" s="147" t="s">
        <v>69</v>
      </c>
      <c r="M8" s="148"/>
      <c r="N8" s="148"/>
      <c r="O8" s="148"/>
      <c r="P8" s="148"/>
      <c r="Q8" s="148"/>
      <c r="R8" s="148"/>
      <c r="S8" s="149"/>
      <c r="T8" s="147" t="s">
        <v>72</v>
      </c>
      <c r="U8" s="148"/>
      <c r="V8" s="148"/>
      <c r="W8" s="148"/>
      <c r="X8" s="149"/>
      <c r="Y8" s="150">
        <v>6327</v>
      </c>
      <c r="Z8" s="151"/>
      <c r="AA8" s="152" t="s">
        <v>67</v>
      </c>
      <c r="AB8" s="153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54" t="s">
        <v>18</v>
      </c>
      <c r="C10" s="156" t="s">
        <v>19</v>
      </c>
      <c r="D10" s="158" t="s">
        <v>20</v>
      </c>
      <c r="E10" s="159"/>
      <c r="F10" s="159"/>
      <c r="G10" s="159"/>
      <c r="H10" s="159"/>
      <c r="I10" s="159"/>
      <c r="J10" s="159"/>
      <c r="K10" s="160"/>
      <c r="L10" s="158" t="s">
        <v>21</v>
      </c>
      <c r="M10" s="159"/>
      <c r="N10" s="159"/>
      <c r="O10" s="159"/>
      <c r="P10" s="159"/>
      <c r="Q10" s="159"/>
      <c r="R10" s="159"/>
      <c r="S10" s="161"/>
      <c r="T10" s="162" t="s">
        <v>53</v>
      </c>
      <c r="U10" s="163"/>
      <c r="V10" s="163"/>
      <c r="W10" s="163"/>
      <c r="X10" s="163"/>
      <c r="Y10" s="163"/>
      <c r="Z10" s="163"/>
      <c r="AA10" s="163"/>
      <c r="AB10" s="141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55"/>
      <c r="C11" s="157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2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0">
        <v>45800</v>
      </c>
      <c r="C12" s="57">
        <v>0</v>
      </c>
      <c r="D12" s="86">
        <v>14.963333333333333</v>
      </c>
      <c r="E12" s="59">
        <v>83.063333333333333</v>
      </c>
      <c r="F12" s="59">
        <v>569.25666666666666</v>
      </c>
      <c r="G12" s="59">
        <v>45</v>
      </c>
      <c r="H12" s="59">
        <v>1.21</v>
      </c>
      <c r="I12" s="59">
        <v>0</v>
      </c>
      <c r="J12" s="59"/>
      <c r="K12" s="87">
        <v>0</v>
      </c>
      <c r="L12" s="86">
        <v>15.283333333333333</v>
      </c>
      <c r="M12" s="59">
        <v>80.649999999999991</v>
      </c>
      <c r="N12" s="59">
        <v>568.76666666666665</v>
      </c>
      <c r="O12" s="59">
        <v>22.5</v>
      </c>
      <c r="P12" s="59">
        <v>0.21666666666666667</v>
      </c>
      <c r="Q12" s="59">
        <v>0</v>
      </c>
      <c r="R12" s="59"/>
      <c r="S12" s="88">
        <v>0</v>
      </c>
      <c r="T12" s="58">
        <f>+ABS(L12-D12)</f>
        <v>0.32000000000000028</v>
      </c>
      <c r="U12" s="81">
        <f t="shared" ref="T12:Z35" si="0">+ABS(M12-E12)</f>
        <v>2.4133333333333411</v>
      </c>
      <c r="V12" s="81">
        <f t="shared" si="0"/>
        <v>0.49000000000000909</v>
      </c>
      <c r="W12" s="81">
        <f t="shared" si="0"/>
        <v>22.5</v>
      </c>
      <c r="X12" s="81">
        <f t="shared" si="0"/>
        <v>0.99333333333333329</v>
      </c>
      <c r="Y12" s="82">
        <f t="shared" si="0"/>
        <v>0</v>
      </c>
      <c r="Z12" s="81">
        <f t="shared" si="0"/>
        <v>0</v>
      </c>
      <c r="AA12" s="83">
        <f>IF(AND(K12=0, S12=0), 0, IF(K12=0, 1, ABS((S12-K12)/K12)))</f>
        <v>0</v>
      </c>
      <c r="AB12" s="60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0">
        <v>45800</v>
      </c>
      <c r="C13" s="61">
        <v>4.1666666666666664E-2</v>
      </c>
      <c r="D13" s="89">
        <v>14.69</v>
      </c>
      <c r="E13" s="63">
        <v>83.046666666666667</v>
      </c>
      <c r="F13" s="63">
        <v>568.80166666666673</v>
      </c>
      <c r="G13" s="63">
        <v>90</v>
      </c>
      <c r="H13" s="63">
        <v>0.88333333333333341</v>
      </c>
      <c r="I13" s="63">
        <v>0</v>
      </c>
      <c r="J13" s="63"/>
      <c r="K13" s="90">
        <v>0</v>
      </c>
      <c r="L13" s="89">
        <v>15.000000000000002</v>
      </c>
      <c r="M13" s="63">
        <v>80.633333333333326</v>
      </c>
      <c r="N13" s="63">
        <v>568.48333333333346</v>
      </c>
      <c r="O13" s="63">
        <v>90</v>
      </c>
      <c r="P13" s="63">
        <v>0.23333333333333336</v>
      </c>
      <c r="Q13" s="63">
        <v>0</v>
      </c>
      <c r="R13" s="63"/>
      <c r="S13" s="91">
        <v>0</v>
      </c>
      <c r="T13" s="62">
        <f t="shared" si="0"/>
        <v>0.31000000000000227</v>
      </c>
      <c r="U13" s="64">
        <f t="shared" si="0"/>
        <v>2.4133333333333411</v>
      </c>
      <c r="V13" s="64">
        <f t="shared" si="0"/>
        <v>0.31833333333327118</v>
      </c>
      <c r="W13" s="64">
        <f t="shared" si="0"/>
        <v>0</v>
      </c>
      <c r="X13" s="64">
        <f t="shared" si="0"/>
        <v>0.65</v>
      </c>
      <c r="Y13" s="64">
        <f t="shared" si="0"/>
        <v>0</v>
      </c>
      <c r="Z13" s="64">
        <f t="shared" si="0"/>
        <v>0</v>
      </c>
      <c r="AA13" s="83">
        <f t="shared" ref="AA13:AA35" si="1">IF(AND(K13=0, S13=0), 0, IF(K13=0, 1, ABS((S13-K13)/K13)))</f>
        <v>0</v>
      </c>
      <c r="AB13" s="60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0">
        <v>45800</v>
      </c>
      <c r="C14" s="61">
        <v>8.3333333333333301E-2</v>
      </c>
      <c r="D14" s="89">
        <v>14.421666666666667</v>
      </c>
      <c r="E14" s="63">
        <v>83.773333333333326</v>
      </c>
      <c r="F14" s="63">
        <v>568.36333333333334</v>
      </c>
      <c r="G14" s="63">
        <v>67.5</v>
      </c>
      <c r="H14" s="63">
        <v>0.84333333333333327</v>
      </c>
      <c r="I14" s="63">
        <v>0</v>
      </c>
      <c r="J14" s="63"/>
      <c r="K14" s="90">
        <v>0</v>
      </c>
      <c r="L14" s="89">
        <v>14.716666666666667</v>
      </c>
      <c r="M14" s="63">
        <v>81.333333333333329</v>
      </c>
      <c r="N14" s="63">
        <v>568.05000000000007</v>
      </c>
      <c r="O14" s="63">
        <v>67.5</v>
      </c>
      <c r="P14" s="63">
        <v>0.16666666666666666</v>
      </c>
      <c r="Q14" s="63">
        <v>0</v>
      </c>
      <c r="R14" s="63"/>
      <c r="S14" s="91">
        <v>0</v>
      </c>
      <c r="T14" s="62">
        <f t="shared" si="0"/>
        <v>0.29499999999999993</v>
      </c>
      <c r="U14" s="64">
        <f t="shared" si="0"/>
        <v>2.4399999999999977</v>
      </c>
      <c r="V14" s="64">
        <f>+ABS(N14-F14)</f>
        <v>0.31333333333327573</v>
      </c>
      <c r="W14" s="64">
        <f t="shared" si="0"/>
        <v>0</v>
      </c>
      <c r="X14" s="64">
        <f t="shared" si="0"/>
        <v>0.67666666666666664</v>
      </c>
      <c r="Y14" s="64">
        <f t="shared" si="0"/>
        <v>0</v>
      </c>
      <c r="Z14" s="64">
        <f t="shared" si="0"/>
        <v>0</v>
      </c>
      <c r="AA14" s="83">
        <f t="shared" si="1"/>
        <v>0</v>
      </c>
      <c r="AB14" s="60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0">
        <v>45800</v>
      </c>
      <c r="C15" s="61">
        <v>0.125</v>
      </c>
      <c r="D15" s="89">
        <v>14.008333333333333</v>
      </c>
      <c r="E15" s="63">
        <v>84.419999999999987</v>
      </c>
      <c r="F15" s="63">
        <v>567.98666666666657</v>
      </c>
      <c r="G15" s="63">
        <v>67.5</v>
      </c>
      <c r="H15" s="63">
        <v>0.45833333333333331</v>
      </c>
      <c r="I15" s="63">
        <v>0</v>
      </c>
      <c r="J15" s="63"/>
      <c r="K15" s="90">
        <v>0</v>
      </c>
      <c r="L15" s="89">
        <v>14.316666666666665</v>
      </c>
      <c r="M15" s="63">
        <v>81.966666666666669</v>
      </c>
      <c r="N15" s="63">
        <v>567.83333333333326</v>
      </c>
      <c r="O15" s="63">
        <v>67.5</v>
      </c>
      <c r="P15" s="63">
        <v>0.13333333333333333</v>
      </c>
      <c r="Q15" s="63">
        <v>0</v>
      </c>
      <c r="R15" s="63"/>
      <c r="S15" s="91">
        <v>0</v>
      </c>
      <c r="T15" s="62">
        <f t="shared" si="0"/>
        <v>0.30833333333333179</v>
      </c>
      <c r="U15" s="64">
        <f t="shared" si="0"/>
        <v>2.4533333333333189</v>
      </c>
      <c r="V15" s="64">
        <f t="shared" si="0"/>
        <v>0.15333333333330756</v>
      </c>
      <c r="W15" s="64">
        <f t="shared" si="0"/>
        <v>0</v>
      </c>
      <c r="X15" s="64">
        <f t="shared" si="0"/>
        <v>0.32499999999999996</v>
      </c>
      <c r="Y15" s="64">
        <f t="shared" si="0"/>
        <v>0</v>
      </c>
      <c r="Z15" s="64">
        <f t="shared" si="0"/>
        <v>0</v>
      </c>
      <c r="AA15" s="83">
        <f t="shared" si="1"/>
        <v>0</v>
      </c>
      <c r="AB15" s="60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0">
        <v>45800</v>
      </c>
      <c r="C16" s="61">
        <v>0.16666666666666699</v>
      </c>
      <c r="D16" s="89">
        <v>13.538333333333332</v>
      </c>
      <c r="E16" s="63">
        <v>85.221666666666678</v>
      </c>
      <c r="F16" s="63">
        <v>568.63833333333332</v>
      </c>
      <c r="G16" s="63">
        <v>22.5</v>
      </c>
      <c r="H16" s="63">
        <v>0.3116666666666667</v>
      </c>
      <c r="I16" s="63">
        <v>0</v>
      </c>
      <c r="J16" s="63"/>
      <c r="K16" s="90">
        <v>0</v>
      </c>
      <c r="L16" s="89">
        <v>13.816666666666668</v>
      </c>
      <c r="M16" s="63">
        <v>82.75</v>
      </c>
      <c r="N16" s="63">
        <v>567.96666666666658</v>
      </c>
      <c r="O16" s="63">
        <v>22.5</v>
      </c>
      <c r="P16" s="63">
        <v>0.31666666666666665</v>
      </c>
      <c r="Q16" s="63">
        <v>0</v>
      </c>
      <c r="R16" s="63"/>
      <c r="S16" s="91">
        <v>0</v>
      </c>
      <c r="T16" s="62">
        <f t="shared" si="0"/>
        <v>0.27833333333333599</v>
      </c>
      <c r="U16" s="64">
        <f t="shared" si="0"/>
        <v>2.4716666666666782</v>
      </c>
      <c r="V16" s="64">
        <f t="shared" si="0"/>
        <v>0.67166666666673791</v>
      </c>
      <c r="W16" s="64">
        <f t="shared" si="0"/>
        <v>0</v>
      </c>
      <c r="X16" s="64">
        <f t="shared" si="0"/>
        <v>4.9999999999999489E-3</v>
      </c>
      <c r="Y16" s="64">
        <f t="shared" si="0"/>
        <v>0</v>
      </c>
      <c r="Z16" s="64">
        <f t="shared" si="0"/>
        <v>0</v>
      </c>
      <c r="AA16" s="83">
        <f t="shared" si="1"/>
        <v>0</v>
      </c>
      <c r="AB16" s="60" t="str">
        <f t="shared" si="2"/>
        <v>Cumple</v>
      </c>
      <c r="AL16" t="s">
        <v>56</v>
      </c>
      <c r="AM16" t="s">
        <v>57</v>
      </c>
    </row>
    <row r="17" spans="2:39" ht="15" customHeight="1">
      <c r="B17" s="80">
        <v>45800</v>
      </c>
      <c r="C17" s="61">
        <v>0.20833333333333301</v>
      </c>
      <c r="D17" s="89">
        <v>13.21</v>
      </c>
      <c r="E17" s="63">
        <v>86.328333333333333</v>
      </c>
      <c r="F17" s="63">
        <v>568.745</v>
      </c>
      <c r="G17" s="63">
        <v>45</v>
      </c>
      <c r="H17" s="63">
        <v>1.2350000000000001</v>
      </c>
      <c r="I17" s="63">
        <v>0</v>
      </c>
      <c r="J17" s="63"/>
      <c r="K17" s="90">
        <v>0</v>
      </c>
      <c r="L17" s="89">
        <v>13.483333333333333</v>
      </c>
      <c r="M17" s="63">
        <v>83.8</v>
      </c>
      <c r="N17" s="63">
        <v>568.26666666666665</v>
      </c>
      <c r="O17" s="63">
        <v>45</v>
      </c>
      <c r="P17" s="63">
        <v>0.58333333333333337</v>
      </c>
      <c r="Q17" s="63">
        <v>0</v>
      </c>
      <c r="R17" s="63"/>
      <c r="S17" s="91">
        <v>0</v>
      </c>
      <c r="T17" s="62">
        <f t="shared" si="0"/>
        <v>0.27333333333333165</v>
      </c>
      <c r="U17" s="64">
        <f t="shared" si="0"/>
        <v>2.528333333333336</v>
      </c>
      <c r="V17" s="64">
        <f t="shared" si="0"/>
        <v>0.47833333333335304</v>
      </c>
      <c r="W17" s="64">
        <f t="shared" si="0"/>
        <v>0</v>
      </c>
      <c r="X17" s="64">
        <f t="shared" si="0"/>
        <v>0.65166666666666673</v>
      </c>
      <c r="Y17" s="64">
        <f t="shared" si="0"/>
        <v>0</v>
      </c>
      <c r="Z17" s="64">
        <f t="shared" si="0"/>
        <v>0</v>
      </c>
      <c r="AA17" s="83">
        <f t="shared" si="1"/>
        <v>0</v>
      </c>
      <c r="AB17" s="60" t="str">
        <f t="shared" si="2"/>
        <v>Cumple</v>
      </c>
      <c r="AL17" t="s">
        <v>58</v>
      </c>
      <c r="AM17" t="s">
        <v>58</v>
      </c>
    </row>
    <row r="18" spans="2:39" ht="15" customHeight="1">
      <c r="B18" s="80">
        <v>45800</v>
      </c>
      <c r="C18" s="61">
        <v>0.25</v>
      </c>
      <c r="D18" s="89">
        <v>13.541666666666666</v>
      </c>
      <c r="E18" s="63">
        <v>86.00333333333333</v>
      </c>
      <c r="F18" s="63">
        <v>569.01833333333332</v>
      </c>
      <c r="G18" s="63">
        <v>22.5</v>
      </c>
      <c r="H18" s="63">
        <v>1.2466666666666668</v>
      </c>
      <c r="I18" s="63">
        <v>88.179999999999993</v>
      </c>
      <c r="J18" s="63"/>
      <c r="K18" s="90">
        <v>0</v>
      </c>
      <c r="L18" s="89">
        <v>13.816666666666668</v>
      </c>
      <c r="M18" s="63">
        <v>83.483333333333334</v>
      </c>
      <c r="N18" s="63">
        <v>568.68333333333328</v>
      </c>
      <c r="O18" s="63">
        <v>22.5</v>
      </c>
      <c r="P18" s="63">
        <v>0.75</v>
      </c>
      <c r="Q18" s="63">
        <v>34.516666666666666</v>
      </c>
      <c r="R18" s="63"/>
      <c r="S18" s="91">
        <v>0</v>
      </c>
      <c r="T18" s="62">
        <f t="shared" si="0"/>
        <v>0.27500000000000213</v>
      </c>
      <c r="U18" s="64">
        <f t="shared" si="0"/>
        <v>2.519999999999996</v>
      </c>
      <c r="V18" s="64">
        <f t="shared" si="0"/>
        <v>0.33500000000003638</v>
      </c>
      <c r="W18" s="64">
        <f t="shared" si="0"/>
        <v>0</v>
      </c>
      <c r="X18" s="64">
        <f t="shared" si="0"/>
        <v>0.49666666666666681</v>
      </c>
      <c r="Y18" s="64">
        <f t="shared" si="0"/>
        <v>53.663333333333327</v>
      </c>
      <c r="Z18" s="64">
        <f t="shared" si="0"/>
        <v>0</v>
      </c>
      <c r="AA18" s="83">
        <f t="shared" si="1"/>
        <v>0</v>
      </c>
      <c r="AB18" s="60" t="str">
        <f t="shared" si="2"/>
        <v>Cumple</v>
      </c>
      <c r="AL18" t="s">
        <v>55</v>
      </c>
      <c r="AM18" t="s">
        <v>55</v>
      </c>
    </row>
    <row r="19" spans="2:39" ht="15" customHeight="1">
      <c r="B19" s="80">
        <v>45800</v>
      </c>
      <c r="C19" s="61">
        <v>0.29166666666666702</v>
      </c>
      <c r="D19" s="89">
        <v>16.016666666666666</v>
      </c>
      <c r="E19" s="63">
        <v>75.125</v>
      </c>
      <c r="F19" s="63">
        <v>569.58166666666659</v>
      </c>
      <c r="G19" s="63">
        <v>45</v>
      </c>
      <c r="H19" s="63">
        <v>1.9766666666666668</v>
      </c>
      <c r="I19" s="63">
        <v>187.99666666666667</v>
      </c>
      <c r="J19" s="63"/>
      <c r="K19" s="90">
        <v>0</v>
      </c>
      <c r="L19" s="89">
        <v>16.350000000000001</v>
      </c>
      <c r="M19" s="63">
        <v>72.933333333333351</v>
      </c>
      <c r="N19" s="63">
        <v>569.25</v>
      </c>
      <c r="O19" s="63">
        <v>45</v>
      </c>
      <c r="P19" s="63">
        <v>1.4666666666666668</v>
      </c>
      <c r="Q19" s="63">
        <v>145.13333333333335</v>
      </c>
      <c r="R19" s="63"/>
      <c r="S19" s="91">
        <v>0</v>
      </c>
      <c r="T19" s="62">
        <f t="shared" si="0"/>
        <v>0.3333333333333357</v>
      </c>
      <c r="U19" s="64">
        <f t="shared" si="0"/>
        <v>2.1916666666666487</v>
      </c>
      <c r="V19" s="64">
        <f t="shared" si="0"/>
        <v>0.33166666666659239</v>
      </c>
      <c r="W19" s="64">
        <f t="shared" si="0"/>
        <v>0</v>
      </c>
      <c r="X19" s="64">
        <f t="shared" si="0"/>
        <v>0.51</v>
      </c>
      <c r="Y19" s="64">
        <f t="shared" si="0"/>
        <v>42.863333333333316</v>
      </c>
      <c r="Z19" s="64">
        <f t="shared" si="0"/>
        <v>0</v>
      </c>
      <c r="AA19" s="83">
        <f t="shared" si="1"/>
        <v>0</v>
      </c>
      <c r="AB19" s="60" t="str">
        <f t="shared" si="2"/>
        <v>Cumple</v>
      </c>
      <c r="AL19" t="s">
        <v>55</v>
      </c>
      <c r="AM19" t="s">
        <v>55</v>
      </c>
    </row>
    <row r="20" spans="2:39" ht="15" customHeight="1">
      <c r="B20" s="80">
        <v>45800</v>
      </c>
      <c r="C20" s="61">
        <v>0.33333333333333298</v>
      </c>
      <c r="D20" s="89">
        <v>16.836666666666666</v>
      </c>
      <c r="E20" s="63">
        <v>70.7</v>
      </c>
      <c r="F20" s="63">
        <v>569.7166666666667</v>
      </c>
      <c r="G20" s="63">
        <v>67.5</v>
      </c>
      <c r="H20" s="63">
        <v>1.8099999999999998</v>
      </c>
      <c r="I20" s="63">
        <v>280.92166666666668</v>
      </c>
      <c r="J20" s="63"/>
      <c r="K20" s="90">
        <v>0</v>
      </c>
      <c r="L20" s="89">
        <v>17.183333333333337</v>
      </c>
      <c r="M20" s="63">
        <v>68.649999999999991</v>
      </c>
      <c r="N20" s="63">
        <v>569.56666666666672</v>
      </c>
      <c r="O20" s="63">
        <v>67.5</v>
      </c>
      <c r="P20" s="63">
        <v>1.6333333333333331</v>
      </c>
      <c r="Q20" s="63">
        <v>222.9</v>
      </c>
      <c r="R20" s="63"/>
      <c r="S20" s="91">
        <v>0</v>
      </c>
      <c r="T20" s="62">
        <f t="shared" si="0"/>
        <v>0.34666666666667112</v>
      </c>
      <c r="U20" s="64">
        <f t="shared" si="0"/>
        <v>2.0500000000000114</v>
      </c>
      <c r="V20" s="64">
        <f t="shared" si="0"/>
        <v>0.14999999999997726</v>
      </c>
      <c r="W20" s="64">
        <f t="shared" si="0"/>
        <v>0</v>
      </c>
      <c r="X20" s="64">
        <f t="shared" si="0"/>
        <v>0.17666666666666675</v>
      </c>
      <c r="Y20" s="64">
        <f t="shared" si="0"/>
        <v>58.021666666666675</v>
      </c>
      <c r="Z20" s="64">
        <f t="shared" si="0"/>
        <v>0</v>
      </c>
      <c r="AA20" s="83">
        <f t="shared" si="1"/>
        <v>0</v>
      </c>
      <c r="AB20" s="60" t="str">
        <f t="shared" si="2"/>
        <v>Cumple</v>
      </c>
      <c r="AL20" t="s">
        <v>55</v>
      </c>
      <c r="AM20" t="s">
        <v>55</v>
      </c>
    </row>
    <row r="21" spans="2:39" ht="15" customHeight="1">
      <c r="B21" s="80">
        <v>45800</v>
      </c>
      <c r="C21" s="61">
        <v>0.375</v>
      </c>
      <c r="D21" s="89">
        <v>17.594999999999999</v>
      </c>
      <c r="E21" s="63">
        <v>66.908333333333317</v>
      </c>
      <c r="F21" s="63">
        <v>569.75333333333333</v>
      </c>
      <c r="G21" s="63">
        <v>90</v>
      </c>
      <c r="H21" s="63">
        <v>2.6533333333333329</v>
      </c>
      <c r="I21" s="63">
        <v>266.92333333333335</v>
      </c>
      <c r="J21" s="63"/>
      <c r="K21" s="90">
        <v>0</v>
      </c>
      <c r="L21" s="89">
        <v>17.983333333333334</v>
      </c>
      <c r="M21" s="63">
        <v>64.983333333333334</v>
      </c>
      <c r="N21" s="63">
        <v>569.43333333333328</v>
      </c>
      <c r="O21" s="63">
        <v>90</v>
      </c>
      <c r="P21" s="63">
        <v>1.8499999999999999</v>
      </c>
      <c r="Q21" s="63">
        <v>210.08333333333334</v>
      </c>
      <c r="R21" s="63"/>
      <c r="S21" s="91">
        <v>0</v>
      </c>
      <c r="T21" s="62">
        <f t="shared" si="0"/>
        <v>0.38833333333333542</v>
      </c>
      <c r="U21" s="64">
        <f t="shared" si="0"/>
        <v>1.9249999999999829</v>
      </c>
      <c r="V21" s="64">
        <f t="shared" si="0"/>
        <v>0.32000000000005002</v>
      </c>
      <c r="W21" s="64">
        <f t="shared" si="0"/>
        <v>0</v>
      </c>
      <c r="X21" s="64">
        <f t="shared" si="0"/>
        <v>0.80333333333333301</v>
      </c>
      <c r="Y21" s="64">
        <f t="shared" si="0"/>
        <v>56.84</v>
      </c>
      <c r="Z21" s="64">
        <f t="shared" si="0"/>
        <v>0</v>
      </c>
      <c r="AA21" s="83">
        <f t="shared" si="1"/>
        <v>0</v>
      </c>
      <c r="AB21" s="60" t="str">
        <f t="shared" si="2"/>
        <v>Cumple</v>
      </c>
      <c r="AL21" t="s">
        <v>58</v>
      </c>
      <c r="AM21" t="s">
        <v>58</v>
      </c>
    </row>
    <row r="22" spans="2:39" ht="15" customHeight="1">
      <c r="B22" s="80">
        <v>45800</v>
      </c>
      <c r="C22" s="61">
        <v>0.41666666666666702</v>
      </c>
      <c r="D22" s="89">
        <v>18.09</v>
      </c>
      <c r="E22" s="63">
        <v>65.458333333333329</v>
      </c>
      <c r="F22" s="63">
        <v>569.58833333333337</v>
      </c>
      <c r="G22" s="63">
        <v>135</v>
      </c>
      <c r="H22" s="63">
        <v>2.0116666666666667</v>
      </c>
      <c r="I22" s="63">
        <v>260.18166666666667</v>
      </c>
      <c r="J22" s="63"/>
      <c r="K22" s="90">
        <v>0</v>
      </c>
      <c r="L22" s="89">
        <v>18.466666666666665</v>
      </c>
      <c r="M22" s="63">
        <v>63.566666666666663</v>
      </c>
      <c r="N22" s="63">
        <v>569.28333333333319</v>
      </c>
      <c r="O22" s="63">
        <v>135</v>
      </c>
      <c r="P22" s="63">
        <v>1.6833333333333333</v>
      </c>
      <c r="Q22" s="63">
        <v>239.66666666666666</v>
      </c>
      <c r="R22" s="63"/>
      <c r="S22" s="91">
        <v>0</v>
      </c>
      <c r="T22" s="62">
        <f t="shared" si="0"/>
        <v>0.37666666666666515</v>
      </c>
      <c r="U22" s="64">
        <f t="shared" si="0"/>
        <v>1.8916666666666657</v>
      </c>
      <c r="V22" s="64">
        <f t="shared" si="0"/>
        <v>0.30500000000017735</v>
      </c>
      <c r="W22" s="64">
        <f t="shared" si="0"/>
        <v>0</v>
      </c>
      <c r="X22" s="64">
        <f t="shared" si="0"/>
        <v>0.32833333333333337</v>
      </c>
      <c r="Y22" s="64">
        <f t="shared" si="0"/>
        <v>20.515000000000015</v>
      </c>
      <c r="Z22" s="64">
        <f t="shared" si="0"/>
        <v>0</v>
      </c>
      <c r="AA22" s="83">
        <f t="shared" si="1"/>
        <v>0</v>
      </c>
      <c r="AB22" s="60" t="str">
        <f t="shared" si="2"/>
        <v>Cumple</v>
      </c>
      <c r="AL22" t="s">
        <v>58</v>
      </c>
      <c r="AM22" t="s">
        <v>59</v>
      </c>
    </row>
    <row r="23" spans="2:39" ht="15" customHeight="1">
      <c r="B23" s="80">
        <v>45800</v>
      </c>
      <c r="C23" s="61">
        <v>0.45833333333333298</v>
      </c>
      <c r="D23" s="89">
        <v>18.84</v>
      </c>
      <c r="E23" s="63">
        <v>63.49666666666667</v>
      </c>
      <c r="F23" s="63">
        <v>568.95499999999993</v>
      </c>
      <c r="G23" s="63">
        <v>112.5</v>
      </c>
      <c r="H23" s="63">
        <v>2.5766666666666667</v>
      </c>
      <c r="I23" s="63">
        <v>360.47833333333341</v>
      </c>
      <c r="J23" s="63"/>
      <c r="K23" s="90">
        <v>5.8</v>
      </c>
      <c r="L23" s="89">
        <v>19.233333333333334</v>
      </c>
      <c r="M23" s="63">
        <v>61.650000000000006</v>
      </c>
      <c r="N23" s="63">
        <v>568.7833333333333</v>
      </c>
      <c r="O23" s="63">
        <v>112.5</v>
      </c>
      <c r="P23" s="63">
        <v>1.9000000000000001</v>
      </c>
      <c r="Q23" s="63">
        <v>321.3</v>
      </c>
      <c r="R23" s="63"/>
      <c r="S23" s="91">
        <v>5.6</v>
      </c>
      <c r="T23" s="62">
        <f t="shared" si="0"/>
        <v>0.39333333333333442</v>
      </c>
      <c r="U23" s="64">
        <f t="shared" si="0"/>
        <v>1.846666666666664</v>
      </c>
      <c r="V23" s="64">
        <f t="shared" si="0"/>
        <v>0.17166666666662422</v>
      </c>
      <c r="W23" s="64">
        <f t="shared" si="0"/>
        <v>0</v>
      </c>
      <c r="X23" s="64">
        <f t="shared" si="0"/>
        <v>0.67666666666666653</v>
      </c>
      <c r="Y23" s="64">
        <f>+ABS(Q23-I23)</f>
        <v>39.178333333333399</v>
      </c>
      <c r="Z23" s="64">
        <f t="shared" si="0"/>
        <v>0</v>
      </c>
      <c r="AA23" s="83">
        <f t="shared" si="1"/>
        <v>3.4482758620689689E-2</v>
      </c>
      <c r="AB23" s="60" t="str">
        <f t="shared" si="2"/>
        <v>Cumple</v>
      </c>
      <c r="AL23" t="s">
        <v>58</v>
      </c>
      <c r="AM23" t="s">
        <v>58</v>
      </c>
    </row>
    <row r="24" spans="2:39" ht="15" customHeight="1">
      <c r="B24" s="80">
        <v>45800</v>
      </c>
      <c r="C24" s="61">
        <v>0.5</v>
      </c>
      <c r="D24" s="89">
        <v>19.41</v>
      </c>
      <c r="E24" s="63">
        <v>61.681666666666672</v>
      </c>
      <c r="F24" s="63">
        <v>568.505</v>
      </c>
      <c r="G24" s="63">
        <v>135</v>
      </c>
      <c r="H24" s="63">
        <v>2.0083333333333333</v>
      </c>
      <c r="I24" s="63">
        <v>269.60666666666668</v>
      </c>
      <c r="J24" s="63"/>
      <c r="K24" s="90">
        <v>0</v>
      </c>
      <c r="L24" s="89">
        <v>19.816666666666666</v>
      </c>
      <c r="M24" s="63">
        <v>59.900000000000006</v>
      </c>
      <c r="N24" s="63">
        <v>567.83333333333337</v>
      </c>
      <c r="O24" s="63">
        <v>135</v>
      </c>
      <c r="P24" s="63">
        <v>1.5</v>
      </c>
      <c r="Q24" s="63">
        <v>231.10000000000002</v>
      </c>
      <c r="R24" s="63"/>
      <c r="S24" s="91">
        <v>0</v>
      </c>
      <c r="T24" s="62">
        <f t="shared" si="0"/>
        <v>0.40666666666666629</v>
      </c>
      <c r="U24" s="64">
        <f t="shared" si="0"/>
        <v>1.7816666666666663</v>
      </c>
      <c r="V24" s="64">
        <f t="shared" si="0"/>
        <v>0.67166666666662422</v>
      </c>
      <c r="W24" s="64">
        <f t="shared" si="0"/>
        <v>0</v>
      </c>
      <c r="X24" s="64">
        <f t="shared" si="0"/>
        <v>0.5083333333333333</v>
      </c>
      <c r="Y24" s="64">
        <f t="shared" si="0"/>
        <v>38.506666666666661</v>
      </c>
      <c r="Z24" s="64">
        <f t="shared" si="0"/>
        <v>0</v>
      </c>
      <c r="AA24" s="83">
        <f t="shared" si="1"/>
        <v>0</v>
      </c>
      <c r="AB24" s="60" t="str">
        <f t="shared" si="2"/>
        <v>Cumple</v>
      </c>
      <c r="AL24" t="s">
        <v>58</v>
      </c>
      <c r="AM24" t="s">
        <v>58</v>
      </c>
    </row>
    <row r="25" spans="2:39" ht="15" customHeight="1">
      <c r="B25" s="80">
        <v>45800</v>
      </c>
      <c r="C25" s="61">
        <v>0.54166666666666696</v>
      </c>
      <c r="D25" s="89">
        <v>18.416666666666668</v>
      </c>
      <c r="E25" s="63">
        <v>68.510000000000005</v>
      </c>
      <c r="F25" s="63">
        <v>567.24999999999989</v>
      </c>
      <c r="G25" s="63">
        <v>112.5</v>
      </c>
      <c r="H25" s="63">
        <v>2.1383333333333336</v>
      </c>
      <c r="I25" s="92">
        <v>227.92333333333332</v>
      </c>
      <c r="J25" s="63"/>
      <c r="K25" s="91">
        <v>0</v>
      </c>
      <c r="L25" s="93">
        <v>18.8</v>
      </c>
      <c r="M25" s="63">
        <v>66.516666666666666</v>
      </c>
      <c r="N25" s="63">
        <v>566.91666666666674</v>
      </c>
      <c r="O25" s="63">
        <v>112.5</v>
      </c>
      <c r="P25" s="63">
        <v>1.6499999999999997</v>
      </c>
      <c r="Q25" s="92">
        <v>173.58333333333334</v>
      </c>
      <c r="R25" s="63"/>
      <c r="S25" s="91">
        <v>0</v>
      </c>
      <c r="T25" s="62">
        <f t="shared" si="0"/>
        <v>0.38333333333333286</v>
      </c>
      <c r="U25" s="64">
        <f t="shared" si="0"/>
        <v>1.9933333333333394</v>
      </c>
      <c r="V25" s="64">
        <f t="shared" si="0"/>
        <v>0.33333333333314386</v>
      </c>
      <c r="W25" s="64">
        <f t="shared" si="0"/>
        <v>0</v>
      </c>
      <c r="X25" s="64">
        <f t="shared" si="0"/>
        <v>0.48833333333333395</v>
      </c>
      <c r="Y25" s="64">
        <f t="shared" si="0"/>
        <v>54.339999999999975</v>
      </c>
      <c r="Z25" s="64">
        <f t="shared" si="0"/>
        <v>0</v>
      </c>
      <c r="AA25" s="83">
        <f t="shared" si="1"/>
        <v>0</v>
      </c>
      <c r="AB25" s="60" t="str">
        <f t="shared" si="2"/>
        <v>Cumple</v>
      </c>
      <c r="AL25" t="s">
        <v>60</v>
      </c>
      <c r="AM25" t="s">
        <v>60</v>
      </c>
    </row>
    <row r="26" spans="2:39" ht="15" customHeight="1">
      <c r="B26" s="80">
        <v>45800</v>
      </c>
      <c r="C26" s="61">
        <v>0.58333333333333304</v>
      </c>
      <c r="D26" s="89">
        <v>19.454999999999998</v>
      </c>
      <c r="E26" s="63">
        <v>63.21</v>
      </c>
      <c r="F26" s="63">
        <v>566.42666666666673</v>
      </c>
      <c r="G26" s="63">
        <v>112.5</v>
      </c>
      <c r="H26" s="63">
        <v>1.8800000000000001</v>
      </c>
      <c r="I26" s="92">
        <v>308.755</v>
      </c>
      <c r="J26" s="63"/>
      <c r="K26" s="91">
        <v>0</v>
      </c>
      <c r="L26" s="93">
        <v>19.849999999999998</v>
      </c>
      <c r="M26" s="63">
        <v>61.366666666666667</v>
      </c>
      <c r="N26" s="63">
        <v>565.75</v>
      </c>
      <c r="O26" s="63">
        <v>112.5</v>
      </c>
      <c r="P26" s="63">
        <v>1.7</v>
      </c>
      <c r="Q26" s="92">
        <v>247.24999999999997</v>
      </c>
      <c r="R26" s="63"/>
      <c r="S26" s="91">
        <v>0</v>
      </c>
      <c r="T26" s="62">
        <f t="shared" si="0"/>
        <v>0.39499999999999957</v>
      </c>
      <c r="U26" s="64">
        <f t="shared" si="0"/>
        <v>1.8433333333333337</v>
      </c>
      <c r="V26" s="64">
        <f t="shared" si="0"/>
        <v>0.67666666666673336</v>
      </c>
      <c r="W26" s="64">
        <f t="shared" si="0"/>
        <v>0</v>
      </c>
      <c r="X26" s="64">
        <f t="shared" si="0"/>
        <v>0.18000000000000016</v>
      </c>
      <c r="Y26" s="64">
        <f t="shared" si="0"/>
        <v>61.505000000000024</v>
      </c>
      <c r="Z26" s="64">
        <f t="shared" si="0"/>
        <v>0</v>
      </c>
      <c r="AA26" s="83">
        <f t="shared" si="1"/>
        <v>0</v>
      </c>
      <c r="AB26" s="60" t="str">
        <f t="shared" si="2"/>
        <v>Cumple</v>
      </c>
      <c r="AL26" t="s">
        <v>61</v>
      </c>
      <c r="AM26" t="s">
        <v>61</v>
      </c>
    </row>
    <row r="27" spans="2:39" ht="15" customHeight="1">
      <c r="B27" s="80">
        <v>45800</v>
      </c>
      <c r="C27" s="61">
        <v>0.625</v>
      </c>
      <c r="D27" s="89">
        <v>18.951666666666664</v>
      </c>
      <c r="E27" s="63">
        <v>63.82</v>
      </c>
      <c r="F27" s="63">
        <v>565.92333333333329</v>
      </c>
      <c r="G27" s="63">
        <v>157.5</v>
      </c>
      <c r="H27" s="63">
        <v>2.7100000000000004</v>
      </c>
      <c r="I27" s="92">
        <v>186.86500000000001</v>
      </c>
      <c r="J27" s="63"/>
      <c r="K27" s="91">
        <v>0</v>
      </c>
      <c r="L27" s="93">
        <v>19.349999999999998</v>
      </c>
      <c r="M27" s="63">
        <v>61.966666666666669</v>
      </c>
      <c r="N27" s="63">
        <v>565.23333333333323</v>
      </c>
      <c r="O27" s="63">
        <v>135</v>
      </c>
      <c r="P27" s="63">
        <v>2.2166666666666663</v>
      </c>
      <c r="Q27" s="92">
        <v>139.88333333333333</v>
      </c>
      <c r="R27" s="63"/>
      <c r="S27" s="91">
        <v>0</v>
      </c>
      <c r="T27" s="62">
        <f t="shared" si="0"/>
        <v>0.39833333333333343</v>
      </c>
      <c r="U27" s="64">
        <f t="shared" si="0"/>
        <v>1.8533333333333317</v>
      </c>
      <c r="V27" s="64">
        <f t="shared" si="0"/>
        <v>0.69000000000005457</v>
      </c>
      <c r="W27" s="64">
        <f t="shared" si="0"/>
        <v>22.5</v>
      </c>
      <c r="X27" s="64">
        <f t="shared" si="0"/>
        <v>0.49333333333333407</v>
      </c>
      <c r="Y27" s="64">
        <f t="shared" si="0"/>
        <v>46.981666666666683</v>
      </c>
      <c r="Z27" s="64">
        <f t="shared" si="0"/>
        <v>0</v>
      </c>
      <c r="AA27" s="83">
        <f t="shared" si="1"/>
        <v>0</v>
      </c>
      <c r="AB27" s="60" t="str">
        <f t="shared" si="2"/>
        <v>Cumple</v>
      </c>
      <c r="AL27" t="s">
        <v>60</v>
      </c>
      <c r="AM27" t="s">
        <v>60</v>
      </c>
    </row>
    <row r="28" spans="2:39" ht="15" customHeight="1">
      <c r="B28" s="80">
        <v>45800</v>
      </c>
      <c r="C28" s="61">
        <v>0.66666666666666696</v>
      </c>
      <c r="D28" s="89">
        <v>18.38</v>
      </c>
      <c r="E28" s="63">
        <v>64.886666666666656</v>
      </c>
      <c r="F28" s="63">
        <v>566.12499999999989</v>
      </c>
      <c r="G28" s="63">
        <v>135</v>
      </c>
      <c r="H28" s="63">
        <v>2.1166666666666667</v>
      </c>
      <c r="I28" s="92">
        <v>129.94000000000003</v>
      </c>
      <c r="J28" s="63"/>
      <c r="K28" s="91">
        <v>0</v>
      </c>
      <c r="L28" s="93">
        <v>18.75</v>
      </c>
      <c r="M28" s="63">
        <v>63</v>
      </c>
      <c r="N28" s="63">
        <v>565.30000000000007</v>
      </c>
      <c r="O28" s="63">
        <v>112.5</v>
      </c>
      <c r="P28" s="63">
        <v>1.7833333333333332</v>
      </c>
      <c r="Q28" s="92">
        <v>103.95</v>
      </c>
      <c r="R28" s="63"/>
      <c r="S28" s="91">
        <v>0</v>
      </c>
      <c r="T28" s="62">
        <f t="shared" si="0"/>
        <v>0.37000000000000099</v>
      </c>
      <c r="U28" s="64">
        <f t="shared" si="0"/>
        <v>1.8866666666666561</v>
      </c>
      <c r="V28" s="64">
        <f t="shared" si="0"/>
        <v>0.8249999999998181</v>
      </c>
      <c r="W28" s="64">
        <f t="shared" si="0"/>
        <v>22.5</v>
      </c>
      <c r="X28" s="64">
        <f t="shared" si="0"/>
        <v>0.33333333333333348</v>
      </c>
      <c r="Y28" s="64">
        <f t="shared" si="0"/>
        <v>25.990000000000023</v>
      </c>
      <c r="Z28" s="64">
        <f t="shared" si="0"/>
        <v>0</v>
      </c>
      <c r="AA28" s="83">
        <f t="shared" si="1"/>
        <v>0</v>
      </c>
      <c r="AB28" s="60" t="str">
        <f t="shared" si="2"/>
        <v>Cumple</v>
      </c>
      <c r="AL28" t="s">
        <v>62</v>
      </c>
      <c r="AM28" t="s">
        <v>63</v>
      </c>
    </row>
    <row r="29" spans="2:39" ht="15" customHeight="1">
      <c r="B29" s="80">
        <v>45800</v>
      </c>
      <c r="C29" s="61">
        <v>0.70833333333333304</v>
      </c>
      <c r="D29" s="89">
        <v>17.591666666666669</v>
      </c>
      <c r="E29" s="63">
        <v>68.798333333333332</v>
      </c>
      <c r="F29" s="63">
        <v>566.63</v>
      </c>
      <c r="G29" s="63">
        <v>135</v>
      </c>
      <c r="H29" s="63">
        <v>2.0150000000000001</v>
      </c>
      <c r="I29" s="92">
        <v>81.921666666666667</v>
      </c>
      <c r="J29" s="63"/>
      <c r="K29" s="91">
        <v>0</v>
      </c>
      <c r="L29" s="93">
        <v>17.933333333333334</v>
      </c>
      <c r="M29" s="63">
        <v>66.8</v>
      </c>
      <c r="N29" s="63">
        <v>565.80000000000007</v>
      </c>
      <c r="O29" s="63">
        <v>135</v>
      </c>
      <c r="P29" s="63">
        <v>1.8166666666666667</v>
      </c>
      <c r="Q29" s="92">
        <v>40.599999999999994</v>
      </c>
      <c r="R29" s="63"/>
      <c r="S29" s="91">
        <v>0</v>
      </c>
      <c r="T29" s="62">
        <f t="shared" si="0"/>
        <v>0.34166666666666501</v>
      </c>
      <c r="U29" s="64">
        <f t="shared" si="0"/>
        <v>1.9983333333333348</v>
      </c>
      <c r="V29" s="64">
        <f t="shared" si="0"/>
        <v>0.82999999999992724</v>
      </c>
      <c r="W29" s="64">
        <f t="shared" si="0"/>
        <v>0</v>
      </c>
      <c r="X29" s="64">
        <f t="shared" si="0"/>
        <v>0.19833333333333347</v>
      </c>
      <c r="Y29" s="64">
        <f t="shared" si="0"/>
        <v>41.321666666666673</v>
      </c>
      <c r="Z29" s="64">
        <f t="shared" si="0"/>
        <v>0</v>
      </c>
      <c r="AA29" s="83">
        <f t="shared" si="1"/>
        <v>0</v>
      </c>
      <c r="AB29" s="60" t="str">
        <f t="shared" si="2"/>
        <v>Cumple</v>
      </c>
      <c r="AL29" t="s">
        <v>64</v>
      </c>
      <c r="AM29" t="s">
        <v>64</v>
      </c>
    </row>
    <row r="30" spans="2:39" ht="15" customHeight="1">
      <c r="B30" s="80">
        <v>45800</v>
      </c>
      <c r="C30" s="61">
        <v>0.75</v>
      </c>
      <c r="D30" s="89">
        <v>16.698333333333334</v>
      </c>
      <c r="E30" s="63">
        <v>72.62833333333333</v>
      </c>
      <c r="F30" s="63">
        <v>566.65333333333331</v>
      </c>
      <c r="G30" s="63">
        <v>90</v>
      </c>
      <c r="H30" s="63">
        <v>1.3183333333333334</v>
      </c>
      <c r="I30" s="92">
        <v>12.166666666666666</v>
      </c>
      <c r="J30" s="63"/>
      <c r="K30" s="91">
        <v>0</v>
      </c>
      <c r="L30" s="93">
        <v>17.066666666666666</v>
      </c>
      <c r="M30" s="63">
        <v>70.516666666666666</v>
      </c>
      <c r="N30" s="63">
        <v>566.33333333333337</v>
      </c>
      <c r="O30" s="63">
        <v>90</v>
      </c>
      <c r="P30" s="63">
        <v>0.65</v>
      </c>
      <c r="Q30" s="92">
        <v>1.1666666666666667</v>
      </c>
      <c r="R30" s="63"/>
      <c r="S30" s="91">
        <v>0</v>
      </c>
      <c r="T30" s="62">
        <f t="shared" si="0"/>
        <v>0.36833333333333229</v>
      </c>
      <c r="U30" s="64">
        <f t="shared" si="0"/>
        <v>2.1116666666666646</v>
      </c>
      <c r="V30" s="64">
        <f t="shared" si="0"/>
        <v>0.31999999999993634</v>
      </c>
      <c r="W30" s="64">
        <f t="shared" si="0"/>
        <v>0</v>
      </c>
      <c r="X30" s="64">
        <f t="shared" si="0"/>
        <v>0.66833333333333333</v>
      </c>
      <c r="Y30" s="64">
        <f t="shared" si="0"/>
        <v>11</v>
      </c>
      <c r="Z30" s="64">
        <f t="shared" si="0"/>
        <v>0</v>
      </c>
      <c r="AA30" s="83">
        <f t="shared" si="1"/>
        <v>0</v>
      </c>
      <c r="AB30" s="60" t="str">
        <f t="shared" si="2"/>
        <v>Cumple</v>
      </c>
      <c r="AL30" t="s">
        <v>54</v>
      </c>
      <c r="AM30" t="s">
        <v>54</v>
      </c>
    </row>
    <row r="31" spans="2:39" ht="15" customHeight="1">
      <c r="B31" s="80">
        <v>45800</v>
      </c>
      <c r="C31" s="61">
        <v>0.79166666666666696</v>
      </c>
      <c r="D31" s="89">
        <v>16.058333333333334</v>
      </c>
      <c r="E31" s="63">
        <v>76.98</v>
      </c>
      <c r="F31" s="63">
        <v>567.50000000000011</v>
      </c>
      <c r="G31" s="63">
        <v>90</v>
      </c>
      <c r="H31" s="63">
        <v>0.53833333333333344</v>
      </c>
      <c r="I31" s="92">
        <v>0</v>
      </c>
      <c r="J31" s="63"/>
      <c r="K31" s="91">
        <v>0</v>
      </c>
      <c r="L31" s="93">
        <v>16.366666666666667</v>
      </c>
      <c r="M31" s="63">
        <v>74.75</v>
      </c>
      <c r="N31" s="63">
        <v>566.83333333333337</v>
      </c>
      <c r="O31" s="63">
        <v>67.5</v>
      </c>
      <c r="P31" s="63">
        <v>0.3833333333333333</v>
      </c>
      <c r="Q31" s="92">
        <v>0</v>
      </c>
      <c r="R31" s="63"/>
      <c r="S31" s="91">
        <v>0</v>
      </c>
      <c r="T31" s="62">
        <f t="shared" si="0"/>
        <v>0.30833333333333357</v>
      </c>
      <c r="U31" s="64">
        <f t="shared" si="0"/>
        <v>2.230000000000004</v>
      </c>
      <c r="V31" s="64">
        <f t="shared" si="0"/>
        <v>0.66666666666674246</v>
      </c>
      <c r="W31" s="64">
        <f t="shared" si="0"/>
        <v>22.5</v>
      </c>
      <c r="X31" s="64">
        <f t="shared" si="0"/>
        <v>0.15500000000000014</v>
      </c>
      <c r="Y31" s="64">
        <f t="shared" si="0"/>
        <v>0</v>
      </c>
      <c r="Z31" s="64">
        <f t="shared" si="0"/>
        <v>0</v>
      </c>
      <c r="AA31" s="83">
        <f t="shared" si="1"/>
        <v>0</v>
      </c>
      <c r="AB31" s="60" t="str">
        <f t="shared" si="2"/>
        <v>Cumple</v>
      </c>
      <c r="AL31" t="s">
        <v>65</v>
      </c>
      <c r="AM31" t="s">
        <v>65</v>
      </c>
    </row>
    <row r="32" spans="2:39" ht="15" customHeight="1">
      <c r="B32" s="80">
        <v>45800</v>
      </c>
      <c r="C32" s="61">
        <v>0.83333333333333304</v>
      </c>
      <c r="D32" s="89">
        <v>15.64</v>
      </c>
      <c r="E32" s="63">
        <v>79.043333333333337</v>
      </c>
      <c r="F32" s="63">
        <v>568.4083333333333</v>
      </c>
      <c r="G32" s="63">
        <v>22.5</v>
      </c>
      <c r="H32" s="63">
        <v>1.2499999999999998</v>
      </c>
      <c r="I32" s="92">
        <v>0</v>
      </c>
      <c r="J32" s="63"/>
      <c r="K32" s="91">
        <v>0</v>
      </c>
      <c r="L32" s="93">
        <v>15.966666666666667</v>
      </c>
      <c r="M32" s="63">
        <v>76.733333333333334</v>
      </c>
      <c r="N32" s="63">
        <v>567.9</v>
      </c>
      <c r="O32" s="63">
        <v>22.5</v>
      </c>
      <c r="P32" s="63">
        <v>0.76666666666666661</v>
      </c>
      <c r="Q32" s="92">
        <v>0</v>
      </c>
      <c r="R32" s="63"/>
      <c r="S32" s="91">
        <v>0</v>
      </c>
      <c r="T32" s="62">
        <f t="shared" si="0"/>
        <v>0.32666666666666622</v>
      </c>
      <c r="U32" s="64">
        <f t="shared" si="0"/>
        <v>2.3100000000000023</v>
      </c>
      <c r="V32" s="64">
        <f t="shared" si="0"/>
        <v>0.50833333333332575</v>
      </c>
      <c r="W32" s="64">
        <f t="shared" si="0"/>
        <v>0</v>
      </c>
      <c r="X32" s="64">
        <f t="shared" si="0"/>
        <v>0.48333333333333317</v>
      </c>
      <c r="Y32" s="64">
        <f t="shared" si="0"/>
        <v>0</v>
      </c>
      <c r="Z32" s="64">
        <f t="shared" si="0"/>
        <v>0</v>
      </c>
      <c r="AA32" s="83">
        <f t="shared" si="1"/>
        <v>0</v>
      </c>
      <c r="AB32" s="60" t="str">
        <f t="shared" si="2"/>
        <v>Cumple</v>
      </c>
      <c r="AL32" t="s">
        <v>55</v>
      </c>
      <c r="AM32" t="s">
        <v>54</v>
      </c>
    </row>
    <row r="33" spans="2:39" ht="15" customHeight="1">
      <c r="B33" s="80">
        <v>45800</v>
      </c>
      <c r="C33" s="61">
        <v>0.875</v>
      </c>
      <c r="D33" s="89">
        <v>15.458333333333334</v>
      </c>
      <c r="E33" s="63">
        <v>80.071666666666673</v>
      </c>
      <c r="F33" s="63">
        <v>569.38000000000011</v>
      </c>
      <c r="G33" s="63">
        <v>67.5</v>
      </c>
      <c r="H33" s="63">
        <v>0.64166666666666672</v>
      </c>
      <c r="I33" s="92">
        <v>0</v>
      </c>
      <c r="J33" s="63"/>
      <c r="K33" s="91">
        <v>0</v>
      </c>
      <c r="L33" s="93">
        <v>15.783333333333331</v>
      </c>
      <c r="M33" s="63">
        <v>77.733333333333334</v>
      </c>
      <c r="N33" s="63">
        <v>568.71666666666658</v>
      </c>
      <c r="O33" s="63">
        <v>67.5</v>
      </c>
      <c r="P33" s="63">
        <v>0.65</v>
      </c>
      <c r="Q33" s="92">
        <v>0</v>
      </c>
      <c r="R33" s="63"/>
      <c r="S33" s="91">
        <v>0</v>
      </c>
      <c r="T33" s="62">
        <f t="shared" si="0"/>
        <v>0.32499999999999751</v>
      </c>
      <c r="U33" s="64">
        <f t="shared" si="0"/>
        <v>2.3383333333333383</v>
      </c>
      <c r="V33" s="64">
        <f t="shared" si="0"/>
        <v>0.66333333333352584</v>
      </c>
      <c r="W33" s="64">
        <f t="shared" si="0"/>
        <v>0</v>
      </c>
      <c r="X33" s="64">
        <f t="shared" si="0"/>
        <v>8.3333333333333037E-3</v>
      </c>
      <c r="Y33" s="64">
        <f t="shared" si="0"/>
        <v>0</v>
      </c>
      <c r="Z33" s="64">
        <f t="shared" si="0"/>
        <v>0</v>
      </c>
      <c r="AA33" s="83">
        <f t="shared" si="1"/>
        <v>0</v>
      </c>
      <c r="AB33" s="60" t="str">
        <f t="shared" si="2"/>
        <v>Cumple</v>
      </c>
      <c r="AL33" t="s">
        <v>55</v>
      </c>
      <c r="AM33" t="s">
        <v>55</v>
      </c>
    </row>
    <row r="34" spans="2:39" ht="15" customHeight="1">
      <c r="B34" s="80">
        <v>45800</v>
      </c>
      <c r="C34" s="61">
        <v>0.91666666666666696</v>
      </c>
      <c r="D34" s="89">
        <v>15.321666666666665</v>
      </c>
      <c r="E34" s="63">
        <v>83.654999999999987</v>
      </c>
      <c r="F34" s="63">
        <v>569.69999999999993</v>
      </c>
      <c r="G34" s="63">
        <v>22.5</v>
      </c>
      <c r="H34" s="63">
        <v>0.54166666666666674</v>
      </c>
      <c r="I34" s="92">
        <v>0</v>
      </c>
      <c r="J34" s="63"/>
      <c r="K34" s="91">
        <v>1</v>
      </c>
      <c r="L34" s="93">
        <v>15.65</v>
      </c>
      <c r="M34" s="63">
        <v>81.216666666666669</v>
      </c>
      <c r="N34" s="63">
        <v>569.05000000000007</v>
      </c>
      <c r="O34" s="63">
        <v>22.5</v>
      </c>
      <c r="P34" s="63">
        <v>0.3833333333333333</v>
      </c>
      <c r="Q34" s="92">
        <v>0</v>
      </c>
      <c r="R34" s="63"/>
      <c r="S34" s="91">
        <v>1</v>
      </c>
      <c r="T34" s="62">
        <f t="shared" si="0"/>
        <v>0.32833333333333492</v>
      </c>
      <c r="U34" s="64">
        <f t="shared" si="0"/>
        <v>2.4383333333333184</v>
      </c>
      <c r="V34" s="64">
        <f t="shared" si="0"/>
        <v>0.64999999999986358</v>
      </c>
      <c r="W34" s="64">
        <f t="shared" si="0"/>
        <v>0</v>
      </c>
      <c r="X34" s="64">
        <f t="shared" si="0"/>
        <v>0.15833333333333344</v>
      </c>
      <c r="Y34" s="64">
        <f t="shared" si="0"/>
        <v>0</v>
      </c>
      <c r="Z34" s="64">
        <f t="shared" si="0"/>
        <v>0</v>
      </c>
      <c r="AA34" s="83">
        <f t="shared" si="1"/>
        <v>0</v>
      </c>
      <c r="AB34" s="60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0">
        <v>45800</v>
      </c>
      <c r="C35" s="61">
        <v>0.95833333333333304</v>
      </c>
      <c r="D35" s="94">
        <v>14.603333333333333</v>
      </c>
      <c r="E35" s="95">
        <v>89.206666666666663</v>
      </c>
      <c r="F35" s="95">
        <v>569.35333333333335</v>
      </c>
      <c r="G35" s="95">
        <v>67.5</v>
      </c>
      <c r="H35" s="95">
        <v>0.52</v>
      </c>
      <c r="I35" s="96">
        <v>0</v>
      </c>
      <c r="J35" s="95"/>
      <c r="K35" s="97">
        <v>0.2</v>
      </c>
      <c r="L35" s="98">
        <v>14.9</v>
      </c>
      <c r="M35" s="95">
        <v>86.616666666666674</v>
      </c>
      <c r="N35" s="95">
        <v>568.7166666666667</v>
      </c>
      <c r="O35" s="95">
        <v>67.5</v>
      </c>
      <c r="P35" s="95">
        <v>0.3666666666666667</v>
      </c>
      <c r="Q35" s="96">
        <v>0</v>
      </c>
      <c r="R35" s="95"/>
      <c r="S35" s="97">
        <v>0.2</v>
      </c>
      <c r="T35" s="84">
        <f t="shared" si="0"/>
        <v>0.29666666666666686</v>
      </c>
      <c r="U35" s="85">
        <f t="shared" si="0"/>
        <v>2.5899999999999892</v>
      </c>
      <c r="V35" s="85">
        <f t="shared" si="0"/>
        <v>0.63666666666665606</v>
      </c>
      <c r="W35" s="85">
        <f t="shared" si="0"/>
        <v>0</v>
      </c>
      <c r="X35" s="85">
        <f t="shared" si="0"/>
        <v>0.15333333333333332</v>
      </c>
      <c r="Y35" s="85">
        <f t="shared" si="0"/>
        <v>0</v>
      </c>
      <c r="Z35" s="85">
        <f t="shared" si="0"/>
        <v>0</v>
      </c>
      <c r="AA35" s="83">
        <f t="shared" si="1"/>
        <v>0</v>
      </c>
      <c r="AB35" s="65" t="str">
        <f t="shared" si="2"/>
        <v>Cumple</v>
      </c>
      <c r="AL35" t="s">
        <v>55</v>
      </c>
      <c r="AM35" t="s">
        <v>55</v>
      </c>
    </row>
    <row r="36" spans="2:39" ht="33" customHeight="1">
      <c r="B36" s="110" t="s">
        <v>42</v>
      </c>
      <c r="C36" s="111"/>
      <c r="D36" s="112">
        <v>45806</v>
      </c>
      <c r="E36" s="113"/>
      <c r="F36" s="113"/>
      <c r="G36" s="113"/>
      <c r="H36" s="113"/>
      <c r="I36" s="114"/>
      <c r="J36" s="115" t="s">
        <v>43</v>
      </c>
      <c r="K36" s="115"/>
      <c r="L36" s="115"/>
      <c r="M36" s="115"/>
      <c r="N36" s="115"/>
      <c r="O36" s="115"/>
      <c r="P36" s="116"/>
      <c r="Q36" s="117" t="s">
        <v>73</v>
      </c>
      <c r="R36" s="118"/>
      <c r="S36" s="118"/>
      <c r="T36" s="119"/>
      <c r="U36" s="119"/>
      <c r="V36" s="119"/>
      <c r="W36" s="119"/>
      <c r="X36" s="119"/>
      <c r="Y36" s="119"/>
      <c r="Z36" s="119"/>
      <c r="AA36" s="119"/>
      <c r="AB36" s="120"/>
    </row>
    <row r="37" spans="2:39" ht="33" customHeight="1">
      <c r="B37" s="121" t="s">
        <v>45</v>
      </c>
      <c r="C37" s="122"/>
      <c r="D37" s="123" t="s">
        <v>46</v>
      </c>
      <c r="E37" s="124"/>
      <c r="F37" s="124"/>
      <c r="G37" s="124"/>
      <c r="H37" s="124"/>
      <c r="I37" s="125"/>
      <c r="J37" s="126" t="s">
        <v>47</v>
      </c>
      <c r="K37" s="127"/>
      <c r="L37" s="127"/>
      <c r="M37" s="127"/>
      <c r="N37" s="127"/>
      <c r="O37" s="127"/>
      <c r="P37" s="127"/>
      <c r="Q37" s="130" t="s">
        <v>48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2"/>
    </row>
    <row r="38" spans="2:39" ht="33" customHeight="1" thickBot="1">
      <c r="B38" s="136" t="s">
        <v>49</v>
      </c>
      <c r="C38" s="137"/>
      <c r="D38" s="138" t="s">
        <v>50</v>
      </c>
      <c r="E38" s="139"/>
      <c r="F38" s="139"/>
      <c r="G38" s="139"/>
      <c r="H38" s="139"/>
      <c r="I38" s="140"/>
      <c r="J38" s="128"/>
      <c r="K38" s="129"/>
      <c r="L38" s="129"/>
      <c r="M38" s="129"/>
      <c r="N38" s="129"/>
      <c r="O38" s="129"/>
      <c r="P38" s="129"/>
      <c r="Q38" s="133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5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</mergeCells>
  <conditionalFormatting sqref="G12:G24">
    <cfRule type="cellIs" dxfId="19" priority="2" operator="equal">
      <formula>FALSE</formula>
    </cfRule>
  </conditionalFormatting>
  <conditionalFormatting sqref="T12:T35">
    <cfRule type="cellIs" dxfId="18" priority="19" operator="greaterThan">
      <formula>0.5</formula>
    </cfRule>
    <cfRule type="cellIs" dxfId="17" priority="20" operator="lessThanOrEqual">
      <formula>0.5</formula>
    </cfRule>
  </conditionalFormatting>
  <conditionalFormatting sqref="U12:U35">
    <cfRule type="cellIs" dxfId="16" priority="17" operator="greaterThan">
      <formula>5</formula>
    </cfRule>
    <cfRule type="cellIs" dxfId="15" priority="18" operator="lessThanOrEqual">
      <formula>5</formula>
    </cfRule>
  </conditionalFormatting>
  <conditionalFormatting sqref="V12:V35">
    <cfRule type="cellIs" dxfId="14" priority="15" operator="greaterThan">
      <formula>1</formula>
    </cfRule>
    <cfRule type="cellIs" dxfId="13" priority="16" operator="lessThanOrEqual">
      <formula>1</formula>
    </cfRule>
  </conditionalFormatting>
  <conditionalFormatting sqref="W12:W35">
    <cfRule type="cellIs" dxfId="12" priority="13" operator="greaterThan">
      <formula>22.5</formula>
    </cfRule>
    <cfRule type="cellIs" dxfId="11" priority="14" operator="lessThanOrEqual">
      <formula>22.5</formula>
    </cfRule>
  </conditionalFormatting>
  <conditionalFormatting sqref="X12:X35">
    <cfRule type="cellIs" dxfId="10" priority="7" operator="lessThanOrEqual">
      <formula>1</formula>
    </cfRule>
    <cfRule type="cellIs" dxfId="9" priority="8" operator="greaterThan">
      <formula>1</formula>
    </cfRule>
  </conditionalFormatting>
  <conditionalFormatting sqref="Y12:Y35">
    <cfRule type="cellIs" dxfId="8" priority="5" operator="lessThanOrEqual">
      <formula>90</formula>
    </cfRule>
    <cfRule type="cellIs" dxfId="7" priority="6" operator="greaterThan">
      <formula>90</formula>
    </cfRule>
  </conditionalFormatting>
  <conditionalFormatting sqref="Z12:Z35">
    <cfRule type="cellIs" dxfId="6" priority="11" operator="greaterThan">
      <formula>0.8</formula>
    </cfRule>
    <cfRule type="cellIs" dxfId="5" priority="12" operator="lessThanOrEqual">
      <formula>0.8</formula>
    </cfRule>
  </conditionalFormatting>
  <conditionalFormatting sqref="AA12:AA35">
    <cfRule type="cellIs" dxfId="4" priority="1" operator="equal">
      <formula>0</formula>
    </cfRule>
    <cfRule type="expression" dxfId="3" priority="9">
      <formula>OR(AND(K12=0, S12=0), AND(K12&lt;&gt;0, ABS(S12-K12)/K12 &lt;= 0.05))</formula>
    </cfRule>
    <cfRule type="expression" dxfId="2" priority="10">
      <formula>AND(K12&lt;&gt;0, S, ABS(S12-K12)/K12 &gt; 0.05)</formula>
    </cfRule>
  </conditionalFormatting>
  <conditionalFormatting sqref="AK11">
    <cfRule type="cellIs" dxfId="1" priority="3" operator="lessThan">
      <formula>0.05</formula>
    </cfRule>
    <cfRule type="cellIs" dxfId="0" priority="4" operator="greater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6540-A6D8-4E7B-A2DB-B7CC96B632E3}">
  <dimension ref="A2:C9"/>
  <sheetViews>
    <sheetView workbookViewId="0">
      <selection activeCell="A8" sqref="A8"/>
    </sheetView>
  </sheetViews>
  <sheetFormatPr baseColWidth="10" defaultColWidth="11.42578125" defaultRowHeight="14.25"/>
  <cols>
    <col min="1" max="2" width="15" style="105" customWidth="1"/>
    <col min="3" max="3" width="78.28515625" style="105" customWidth="1"/>
    <col min="4" max="16384" width="11.42578125" style="105"/>
  </cols>
  <sheetData>
    <row r="2" spans="1:3" ht="15">
      <c r="A2" s="104" t="s">
        <v>74</v>
      </c>
    </row>
    <row r="4" spans="1:3" ht="15">
      <c r="A4" s="106" t="s">
        <v>75</v>
      </c>
      <c r="B4" s="106" t="s">
        <v>76</v>
      </c>
      <c r="C4" s="106" t="s">
        <v>77</v>
      </c>
    </row>
    <row r="5" spans="1:3">
      <c r="A5" s="107">
        <v>44269</v>
      </c>
      <c r="B5" s="108">
        <v>1</v>
      </c>
      <c r="C5" s="109" t="s">
        <v>78</v>
      </c>
    </row>
    <row r="6" spans="1:3">
      <c r="A6" s="107">
        <v>44791</v>
      </c>
      <c r="B6" s="108">
        <v>2</v>
      </c>
      <c r="C6" s="109" t="s">
        <v>79</v>
      </c>
    </row>
    <row r="7" spans="1:3">
      <c r="A7" s="107">
        <v>45447</v>
      </c>
      <c r="B7" s="108">
        <v>3</v>
      </c>
      <c r="C7" s="109" t="s">
        <v>80</v>
      </c>
    </row>
    <row r="8" spans="1:3">
      <c r="A8" s="107"/>
      <c r="B8" s="108"/>
      <c r="C8" s="109"/>
    </row>
    <row r="9" spans="1:3">
      <c r="A9" s="107"/>
      <c r="B9" s="108"/>
      <c r="C9" s="10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8B4E8897D55449C80A22DA0695850" ma:contentTypeVersion="3" ma:contentTypeDescription="Crear nuevo documento." ma:contentTypeScope="" ma:versionID="421ced67a557eaa3f2747eba89a54094">
  <xsd:schema xmlns:xsd="http://www.w3.org/2001/XMLSchema" xmlns:xs="http://www.w3.org/2001/XMLSchema" xmlns:p="http://schemas.microsoft.com/office/2006/metadata/properties" xmlns:ns2="cfad4e1c-eea5-4e91-ae8f-5369871007fb" targetNamespace="http://schemas.microsoft.com/office/2006/metadata/properties" ma:root="true" ma:fieldsID="29ca33375982a7711d712b1ebb334325" ns2:_="">
    <xsd:import namespace="cfad4e1c-eea5-4e91-ae8f-536987100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d4e1c-eea5-4e91-ae8f-536987100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8D37E5-7DC4-4D19-9D10-F7A66B2B9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EE75A-019E-4E91-94E2-0A01373CA3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B1EA0A-A19F-4A7B-BC82-8FD78E0D2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ad4e1c-eea5-4e91-ae8f-536987100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Fechas </vt:lpstr>
      <vt:lpstr>230303</vt:lpstr>
      <vt:lpstr>230903</vt:lpstr>
      <vt:lpstr>23-11-17</vt:lpstr>
      <vt:lpstr>24-05-16</vt:lpstr>
      <vt:lpstr>24-11-18</vt:lpstr>
      <vt:lpstr>25-05-22</vt:lpstr>
      <vt:lpstr>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Jerson Fabian Bueno Guarin</dc:creator>
  <cp:keywords/>
  <dc:description/>
  <cp:lastModifiedBy>Holman Leonardo Perez Diaz</cp:lastModifiedBy>
  <cp:revision/>
  <dcterms:created xsi:type="dcterms:W3CDTF">2025-10-10T13:20:27Z</dcterms:created>
  <dcterms:modified xsi:type="dcterms:W3CDTF">2026-02-12T14:28:15Z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0x0101005078B4E8897D55449C80A22DA0695850</vt:lpwstr>
  </property>
</Properties>
</file>